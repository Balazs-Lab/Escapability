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nitido/Documents/GitHub/Escapability/Viral Escape Data/"/>
    </mc:Choice>
  </mc:AlternateContent>
  <xr:revisionPtr revIDLastSave="0" documentId="13_ncr:1_{AF4A2E88-BD49-3642-88A7-D1E7392A6CAE}" xr6:coauthVersionLast="47" xr6:coauthVersionMax="47" xr10:uidLastSave="{00000000-0000-0000-0000-000000000000}"/>
  <bookViews>
    <workbookView xWindow="11760" yWindow="2620" windowWidth="51440" windowHeight="19220" activeTab="1" xr2:uid="{CDFADA51-DCBB-AC4A-9D9F-F2B80D10B122}"/>
  </bookViews>
  <sheets>
    <sheet name="Haplotypes 1" sheetId="1" r:id="rId1"/>
    <sheet name="cluster" sheetId="5" r:id="rId2"/>
  </sheets>
  <definedNames>
    <definedName name="_xlnm._FilterDatabase" localSheetId="0" hidden="1">'Haplotypes 1'!$A$8:$AV$8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" i="1" l="1"/>
  <c r="M8" i="1"/>
  <c r="W8" i="1"/>
  <c r="V8" i="1"/>
  <c r="R8" i="1"/>
  <c r="AJ8" i="1"/>
  <c r="K8" i="1"/>
  <c r="N8" i="1"/>
  <c r="L8" i="1"/>
  <c r="AF8" i="1"/>
  <c r="AD8" i="1"/>
  <c r="AE8" i="1"/>
  <c r="AM8" i="1"/>
  <c r="AH8" i="1"/>
  <c r="AG8" i="1"/>
  <c r="H8" i="1"/>
  <c r="I8" i="1"/>
  <c r="G8" i="1"/>
  <c r="O8" i="1"/>
  <c r="AB8" i="1"/>
  <c r="T8" i="1"/>
  <c r="S8" i="1"/>
  <c r="AQ8" i="1"/>
  <c r="AO8" i="1"/>
  <c r="AN8" i="1"/>
  <c r="AL8" i="1"/>
  <c r="AK8" i="1"/>
  <c r="AI8" i="1"/>
  <c r="AC8" i="1"/>
  <c r="AA8" i="1"/>
  <c r="Z8" i="1"/>
  <c r="Y8" i="1"/>
  <c r="X8" i="1"/>
  <c r="U8" i="1"/>
  <c r="Q8" i="1"/>
  <c r="P8" i="1"/>
  <c r="J8" i="1"/>
  <c r="F8" i="1"/>
  <c r="E8" i="1"/>
</calcChain>
</file>

<file path=xl/sharedStrings.xml><?xml version="1.0" encoding="utf-8"?>
<sst xmlns="http://schemas.openxmlformats.org/spreadsheetml/2006/main" count="197" uniqueCount="96">
  <si>
    <t>Samples</t>
  </si>
  <si>
    <t>HXB2</t>
  </si>
  <si>
    <t>REJO.c</t>
  </si>
  <si>
    <t>A</t>
  </si>
  <si>
    <t>WT</t>
  </si>
  <si>
    <t>T</t>
  </si>
  <si>
    <t>N</t>
  </si>
  <si>
    <t>G</t>
  </si>
  <si>
    <t>D</t>
  </si>
  <si>
    <t>E</t>
  </si>
  <si>
    <t>S</t>
  </si>
  <si>
    <t>K</t>
  </si>
  <si>
    <t>H</t>
  </si>
  <si>
    <t>R</t>
  </si>
  <si>
    <t>MUT</t>
  </si>
  <si>
    <t>DEL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</si>
  <si>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</si>
  <si>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</si>
  <si>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</si>
  <si>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</si>
  <si>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</si>
  <si>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</si>
  <si>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</si>
  <si>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</si>
  <si>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</si>
  <si>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</si>
  <si>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</si>
  <si>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</si>
  <si>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</si>
  <si>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</si>
  <si>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</si>
  <si>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</si>
  <si>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</si>
  <si>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</si>
  <si>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</si>
  <si>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</si>
  <si>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</si>
  <si>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</si>
  <si>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</si>
  <si>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</si>
  <si>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</si>
  <si>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</si>
  <si>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CD50-m131</t>
  </si>
  <si>
    <t>Region</t>
  </si>
  <si>
    <t>Escape Path ID</t>
  </si>
  <si>
    <t>L</t>
  </si>
  <si>
    <t>M</t>
  </si>
  <si>
    <t>Week</t>
  </si>
  <si>
    <t>Q</t>
  </si>
  <si>
    <t>P</t>
  </si>
  <si>
    <t>I</t>
  </si>
  <si>
    <t>V</t>
  </si>
  <si>
    <t>F</t>
  </si>
  <si>
    <t>B</t>
  </si>
  <si>
    <t>C</t>
  </si>
  <si>
    <t>N/A</t>
  </si>
  <si>
    <t>*</t>
  </si>
  <si>
    <t>K96E</t>
  </si>
  <si>
    <t>S97N</t>
  </si>
  <si>
    <t>T49N</t>
  </si>
  <si>
    <t>D113E</t>
  </si>
  <si>
    <t>L122I</t>
  </si>
  <si>
    <t>D141N</t>
  </si>
  <si>
    <t>T162P</t>
  </si>
  <si>
    <t>D167N</t>
  </si>
  <si>
    <t>D167G</t>
  </si>
  <si>
    <t>T198A</t>
  </si>
  <si>
    <t>E275K</t>
  </si>
  <si>
    <t>N276D</t>
  </si>
  <si>
    <t>D279A</t>
  </si>
  <si>
    <t>D279N</t>
  </si>
  <si>
    <t>A281K</t>
  </si>
  <si>
    <t>A281D</t>
  </si>
  <si>
    <t>I285DEL</t>
  </si>
  <si>
    <t>H287Q</t>
  </si>
  <si>
    <t>H287G</t>
  </si>
  <si>
    <t>Q343R</t>
  </si>
  <si>
    <t>N361K</t>
  </si>
  <si>
    <t>G459D</t>
  </si>
  <si>
    <t>N460D</t>
  </si>
  <si>
    <t>N460S</t>
  </si>
  <si>
    <t>S461N</t>
  </si>
  <si>
    <t>S464N</t>
  </si>
  <si>
    <t>P465L</t>
  </si>
  <si>
    <t>P465S</t>
  </si>
  <si>
    <t>P465T</t>
  </si>
  <si>
    <t>D474N</t>
  </si>
  <si>
    <t>D477N</t>
  </si>
  <si>
    <t>D477E</t>
  </si>
  <si>
    <t>S480N</t>
  </si>
  <si>
    <t>V505M</t>
  </si>
  <si>
    <t>V539I</t>
  </si>
  <si>
    <t>F672V</t>
  </si>
  <si>
    <t>A723T</t>
  </si>
  <si>
    <t>A854T</t>
  </si>
  <si>
    <t>L855M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</si>
</sst>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9" fontId="0" fillId="0" borderId="8" xfId="1" applyFont="1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9" fontId="0" fillId="0" borderId="0" xfId="1" applyFont="1"/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8" xfId="1" applyFont="1" applyFill="1" applyBorder="1" applyAlignment="1">
      <alignment horizontal="center" vertical="center"/>
    </xf>
    <xf numFmtId="9" fontId="0" fillId="0" borderId="10" xfId="1" applyFont="1" applyFill="1" applyBorder="1" applyAlignment="1">
      <alignment horizontal="center" vertical="center"/>
    </xf>
    <xf numFmtId="9" fontId="0" fillId="0" borderId="11" xfId="1" applyFont="1" applyFill="1" applyBorder="1" applyAlignment="1">
      <alignment horizontal="center" vertical="center"/>
    </xf>
    <xf numFmtId="9" fontId="0" fillId="0" borderId="13" xfId="1" applyFont="1" applyFill="1" applyBorder="1" applyAlignment="1">
      <alignment horizontal="center" vertical="center"/>
    </xf>
    <xf numFmtId="9" fontId="1" fillId="0" borderId="8" xfId="1" applyFont="1" applyFill="1" applyBorder="1" applyAlignment="1">
      <alignment horizontal="center" vertical="center"/>
    </xf>
    <xf numFmtId="9" fontId="0" fillId="0" borderId="9" xfId="1" applyFont="1" applyFill="1" applyBorder="1" applyAlignment="1">
      <alignment horizontal="center" vertical="center"/>
    </xf>
    <xf numFmtId="9" fontId="0" fillId="0" borderId="15" xfId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9" fontId="0" fillId="0" borderId="12" xfId="1" applyFont="1" applyFill="1" applyBorder="1" applyAlignment="1">
      <alignment horizontal="center" vertical="center"/>
    </xf>
    <xf numFmtId="9" fontId="0" fillId="0" borderId="16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DC0D-AFE3-C44C-86FE-4CCFCE592970}">
  <dimension ref="A2:AU35"/>
  <sheetViews>
    <sheetView zoomScale="97" zoomScaleNormal="97" workbookViewId="0">
      <selection activeCell="A8" sqref="A8:B35"/>
    </sheetView>
  </sheetViews>
  <sheetFormatPr baseColWidth="10" defaultRowHeight="16" x14ac:dyDescent="0.2"/>
  <cols>
    <col min="1" max="1" width="16.5" customWidth="1"/>
    <col min="2" max="2" width="5.5" customWidth="1"/>
    <col min="3" max="3" width="13.1640625" bestFit="1" customWidth="1"/>
    <col min="4" max="4" width="16.5" customWidth="1"/>
    <col min="5" max="5" width="5.33203125" bestFit="1" customWidth="1"/>
    <col min="6" max="6" width="5.83203125" bestFit="1" customWidth="1"/>
    <col min="7" max="8" width="5.83203125" customWidth="1"/>
    <col min="9" max="9" width="5.6640625" bestFit="1" customWidth="1"/>
    <col min="10" max="10" width="6.83203125" bestFit="1" customWidth="1"/>
    <col min="11" max="14" width="6.83203125" customWidth="1"/>
    <col min="15" max="15" width="7.33203125" customWidth="1"/>
    <col min="16" max="16" width="6.83203125" bestFit="1" customWidth="1"/>
    <col min="17" max="17" width="6.6640625" bestFit="1" customWidth="1"/>
    <col min="18" max="18" width="6.6640625" customWidth="1"/>
    <col min="19" max="19" width="6.5" bestFit="1" customWidth="1"/>
    <col min="20" max="20" width="6.6640625" bestFit="1" customWidth="1"/>
    <col min="21" max="21" width="7.83203125" bestFit="1" customWidth="1"/>
    <col min="22" max="22" width="7.83203125" customWidth="1"/>
    <col min="23" max="24" width="6.83203125" bestFit="1" customWidth="1"/>
    <col min="25" max="25" width="6.6640625" bestFit="1" customWidth="1"/>
    <col min="26" max="27" width="6.83203125" bestFit="1" customWidth="1"/>
    <col min="28" max="29" width="6.6640625" bestFit="1" customWidth="1"/>
    <col min="30" max="32" width="6.6640625" customWidth="1"/>
    <col min="33" max="33" width="6.33203125" bestFit="1" customWidth="1"/>
    <col min="34" max="34" width="5.83203125" customWidth="1"/>
    <col min="35" max="35" width="6.83203125" bestFit="1" customWidth="1"/>
    <col min="36" max="36" width="6.83203125" customWidth="1"/>
    <col min="37" max="37" width="6.6640625" bestFit="1" customWidth="1"/>
    <col min="38" max="38" width="7.1640625" bestFit="1" customWidth="1"/>
    <col min="39" max="39" width="6" bestFit="1" customWidth="1"/>
    <col min="40" max="41" width="6.5" bestFit="1" customWidth="1"/>
    <col min="42" max="42" width="5.83203125" customWidth="1"/>
    <col min="43" max="43" width="6.83203125" bestFit="1" customWidth="1"/>
    <col min="44" max="47" width="5.83203125" customWidth="1"/>
  </cols>
  <sheetData>
    <row r="2" spans="1:47" ht="17" thickBot="1" x14ac:dyDescent="0.25">
      <c r="A2" t="s">
        <v>43</v>
      </c>
      <c r="E2" s="22" t="s">
        <v>56</v>
      </c>
      <c r="L2" s="22" t="s">
        <v>56</v>
      </c>
      <c r="M2" s="22"/>
      <c r="N2" s="22" t="s">
        <v>56</v>
      </c>
    </row>
    <row r="3" spans="1:47" x14ac:dyDescent="0.2">
      <c r="A3" t="s">
        <v>2</v>
      </c>
      <c r="E3" s="10"/>
      <c r="F3" s="10"/>
      <c r="G3" s="10">
        <v>48</v>
      </c>
      <c r="H3" s="10">
        <v>112</v>
      </c>
      <c r="I3" s="10">
        <v>121</v>
      </c>
      <c r="J3" s="10">
        <v>142</v>
      </c>
      <c r="K3" s="10">
        <v>163</v>
      </c>
      <c r="L3" s="15">
        <v>168</v>
      </c>
      <c r="M3" s="16"/>
      <c r="N3" s="10">
        <v>199</v>
      </c>
      <c r="O3" s="10">
        <v>276</v>
      </c>
      <c r="P3" s="10">
        <v>277</v>
      </c>
      <c r="Q3" s="15">
        <v>280</v>
      </c>
      <c r="R3" s="16"/>
      <c r="S3" s="15">
        <v>282</v>
      </c>
      <c r="T3" s="16"/>
      <c r="U3" s="5">
        <v>284</v>
      </c>
      <c r="V3" s="15">
        <v>288</v>
      </c>
      <c r="W3" s="16"/>
      <c r="X3" s="10">
        <v>343</v>
      </c>
      <c r="Y3" s="10"/>
      <c r="Z3" s="10">
        <v>457</v>
      </c>
      <c r="AA3" s="15">
        <v>458</v>
      </c>
      <c r="AB3" s="16"/>
      <c r="AC3" s="7">
        <v>459</v>
      </c>
      <c r="AD3" s="6">
        <v>462</v>
      </c>
      <c r="AE3" s="15">
        <v>464</v>
      </c>
      <c r="AF3" s="19"/>
      <c r="AG3" s="16"/>
      <c r="AH3" s="10">
        <v>473</v>
      </c>
      <c r="AI3" s="15">
        <v>476</v>
      </c>
      <c r="AJ3" s="16"/>
      <c r="AK3" s="10">
        <v>481</v>
      </c>
      <c r="AL3" s="10">
        <v>506</v>
      </c>
      <c r="AM3" s="10">
        <v>538</v>
      </c>
      <c r="AN3" s="10">
        <v>673</v>
      </c>
      <c r="AO3" s="10">
        <v>722</v>
      </c>
      <c r="AP3" s="10">
        <v>853</v>
      </c>
      <c r="AQ3" s="10">
        <v>854</v>
      </c>
    </row>
    <row r="4" spans="1:47" x14ac:dyDescent="0.2">
      <c r="A4" t="s">
        <v>1</v>
      </c>
      <c r="E4" s="3">
        <v>96</v>
      </c>
      <c r="F4" s="3">
        <v>97</v>
      </c>
      <c r="G4" s="3">
        <v>49</v>
      </c>
      <c r="H4" s="3">
        <v>113</v>
      </c>
      <c r="I4" s="3">
        <v>122</v>
      </c>
      <c r="J4" s="3">
        <v>141</v>
      </c>
      <c r="K4" s="3">
        <v>162</v>
      </c>
      <c r="L4" s="17">
        <v>167</v>
      </c>
      <c r="M4" s="18"/>
      <c r="N4" s="3">
        <v>198</v>
      </c>
      <c r="O4" s="3">
        <v>275</v>
      </c>
      <c r="P4" s="3">
        <v>276</v>
      </c>
      <c r="Q4" s="17">
        <v>279</v>
      </c>
      <c r="R4" s="18"/>
      <c r="S4" s="17">
        <v>281</v>
      </c>
      <c r="T4" s="18"/>
      <c r="U4" s="8">
        <v>285</v>
      </c>
      <c r="V4" s="17">
        <v>287</v>
      </c>
      <c r="W4" s="18"/>
      <c r="X4" s="3">
        <v>343</v>
      </c>
      <c r="Y4" s="3">
        <v>361</v>
      </c>
      <c r="Z4" s="3">
        <v>459</v>
      </c>
      <c r="AA4" s="17">
        <v>460</v>
      </c>
      <c r="AB4" s="18"/>
      <c r="AC4" s="9">
        <v>461</v>
      </c>
      <c r="AD4" s="21">
        <v>464</v>
      </c>
      <c r="AE4" s="17">
        <v>465</v>
      </c>
      <c r="AF4" s="31"/>
      <c r="AG4" s="18"/>
      <c r="AH4" s="3">
        <v>474</v>
      </c>
      <c r="AI4" s="17">
        <v>477</v>
      </c>
      <c r="AJ4" s="18"/>
      <c r="AK4" s="3">
        <v>480</v>
      </c>
      <c r="AL4" s="3">
        <v>505</v>
      </c>
      <c r="AM4" s="3">
        <v>539</v>
      </c>
      <c r="AN4" s="3">
        <v>672</v>
      </c>
      <c r="AO4" s="3">
        <v>723</v>
      </c>
      <c r="AP4" s="3">
        <v>854</v>
      </c>
      <c r="AQ4" s="3">
        <v>855</v>
      </c>
      <c r="AR4" s="2"/>
      <c r="AS4" s="2"/>
      <c r="AT4" s="2"/>
      <c r="AU4" s="2"/>
    </row>
    <row r="5" spans="1:47" x14ac:dyDescent="0.2">
      <c r="A5" t="s">
        <v>4</v>
      </c>
      <c r="E5" s="3" t="s">
        <v>11</v>
      </c>
      <c r="F5" s="3" t="s">
        <v>10</v>
      </c>
      <c r="G5" s="3" t="s">
        <v>5</v>
      </c>
      <c r="H5" s="3" t="s">
        <v>8</v>
      </c>
      <c r="I5" s="3" t="s">
        <v>45</v>
      </c>
      <c r="J5" s="3" t="s">
        <v>8</v>
      </c>
      <c r="K5" s="3" t="s">
        <v>5</v>
      </c>
      <c r="L5" s="17" t="s">
        <v>8</v>
      </c>
      <c r="M5" s="18"/>
      <c r="N5" s="3" t="s">
        <v>5</v>
      </c>
      <c r="O5" s="3" t="s">
        <v>9</v>
      </c>
      <c r="P5" s="3" t="s">
        <v>6</v>
      </c>
      <c r="Q5" s="17" t="s">
        <v>8</v>
      </c>
      <c r="R5" s="18"/>
      <c r="S5" s="17" t="s">
        <v>3</v>
      </c>
      <c r="T5" s="18"/>
      <c r="U5" s="8" t="s">
        <v>50</v>
      </c>
      <c r="V5" s="17" t="s">
        <v>12</v>
      </c>
      <c r="W5" s="18"/>
      <c r="X5" s="3" t="s">
        <v>48</v>
      </c>
      <c r="Y5" s="3" t="s">
        <v>6</v>
      </c>
      <c r="Z5" s="3" t="s">
        <v>7</v>
      </c>
      <c r="AA5" s="17" t="s">
        <v>6</v>
      </c>
      <c r="AB5" s="18"/>
      <c r="AC5" s="9" t="s">
        <v>10</v>
      </c>
      <c r="AD5" s="21" t="s">
        <v>10</v>
      </c>
      <c r="AE5" s="17" t="s">
        <v>49</v>
      </c>
      <c r="AF5" s="31"/>
      <c r="AG5" s="18"/>
      <c r="AH5" s="3" t="s">
        <v>8</v>
      </c>
      <c r="AI5" s="17" t="s">
        <v>8</v>
      </c>
      <c r="AJ5" s="18"/>
      <c r="AK5" s="3" t="s">
        <v>10</v>
      </c>
      <c r="AL5" s="3" t="s">
        <v>51</v>
      </c>
      <c r="AM5" s="3" t="s">
        <v>51</v>
      </c>
      <c r="AN5" s="3" t="s">
        <v>52</v>
      </c>
      <c r="AO5" s="3" t="s">
        <v>3</v>
      </c>
      <c r="AP5" s="3" t="s">
        <v>3</v>
      </c>
      <c r="AQ5" s="3" t="s">
        <v>45</v>
      </c>
      <c r="AR5" s="2"/>
      <c r="AS5" s="2"/>
      <c r="AT5" s="2"/>
      <c r="AU5" s="2"/>
    </row>
    <row r="6" spans="1:47" x14ac:dyDescent="0.2">
      <c r="A6" t="s">
        <v>14</v>
      </c>
      <c r="E6" s="14" t="s">
        <v>9</v>
      </c>
      <c r="F6" s="14" t="s">
        <v>6</v>
      </c>
      <c r="G6" s="14" t="s">
        <v>6</v>
      </c>
      <c r="H6" s="14" t="s">
        <v>9</v>
      </c>
      <c r="I6" s="14" t="s">
        <v>50</v>
      </c>
      <c r="J6" s="14" t="s">
        <v>6</v>
      </c>
      <c r="K6" s="14" t="s">
        <v>49</v>
      </c>
      <c r="L6" s="14" t="s">
        <v>6</v>
      </c>
      <c r="M6" s="14" t="s">
        <v>7</v>
      </c>
      <c r="N6" s="14" t="s">
        <v>3</v>
      </c>
      <c r="O6" s="14" t="s">
        <v>11</v>
      </c>
      <c r="P6" s="14" t="s">
        <v>8</v>
      </c>
      <c r="Q6" s="12" t="s">
        <v>3</v>
      </c>
      <c r="R6" s="12" t="s">
        <v>6</v>
      </c>
      <c r="S6" s="12" t="s">
        <v>11</v>
      </c>
      <c r="T6" s="12" t="s">
        <v>8</v>
      </c>
      <c r="U6" s="12" t="s">
        <v>15</v>
      </c>
      <c r="V6" s="14" t="s">
        <v>48</v>
      </c>
      <c r="W6" s="14" t="s">
        <v>7</v>
      </c>
      <c r="X6" s="14" t="s">
        <v>13</v>
      </c>
      <c r="Y6" s="14" t="s">
        <v>11</v>
      </c>
      <c r="Z6" s="14" t="s">
        <v>8</v>
      </c>
      <c r="AA6" s="12" t="s">
        <v>8</v>
      </c>
      <c r="AB6" s="13" t="s">
        <v>10</v>
      </c>
      <c r="AC6" s="13" t="s">
        <v>6</v>
      </c>
      <c r="AD6" s="13" t="s">
        <v>6</v>
      </c>
      <c r="AE6" s="14" t="s">
        <v>45</v>
      </c>
      <c r="AF6" s="13" t="s">
        <v>10</v>
      </c>
      <c r="AG6" s="14" t="s">
        <v>5</v>
      </c>
      <c r="AH6" s="14" t="s">
        <v>6</v>
      </c>
      <c r="AI6" s="14" t="s">
        <v>6</v>
      </c>
      <c r="AJ6" s="14" t="s">
        <v>9</v>
      </c>
      <c r="AK6" s="14" t="s">
        <v>6</v>
      </c>
      <c r="AL6" s="14" t="s">
        <v>46</v>
      </c>
      <c r="AM6" s="14" t="s">
        <v>50</v>
      </c>
      <c r="AN6" s="14" t="s">
        <v>51</v>
      </c>
      <c r="AO6" s="14" t="s">
        <v>5</v>
      </c>
      <c r="AP6" s="14" t="s">
        <v>5</v>
      </c>
      <c r="AQ6" s="14" t="s">
        <v>46</v>
      </c>
    </row>
    <row r="7" spans="1:47" ht="17" thickBot="1" x14ac:dyDescent="0.25"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2"/>
      <c r="R7" s="12"/>
      <c r="S7" s="12"/>
      <c r="T7" s="12"/>
      <c r="U7" s="12"/>
      <c r="V7" s="14"/>
      <c r="W7" s="14"/>
      <c r="X7" s="14"/>
      <c r="Y7" s="14"/>
      <c r="Z7" s="14"/>
      <c r="AA7" s="12"/>
      <c r="AB7" s="13"/>
      <c r="AC7" s="13"/>
      <c r="AD7" s="13"/>
      <c r="AE7" s="14"/>
      <c r="AF7" s="13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spans="1:47" ht="17" thickBot="1" x14ac:dyDescent="0.25">
      <c r="A8" t="s">
        <v>0</v>
      </c>
      <c r="B8" t="s">
        <v>47</v>
      </c>
      <c r="C8" t="s">
        <v>44</v>
      </c>
      <c r="E8" s="4" t="str">
        <f>_xlfn.CONCAT(E5,E4,E6)</f>
        <v>K96E</v>
      </c>
      <c r="F8" s="4" t="str">
        <f>_xlfn.CONCAT(F5,F4,F6)</f>
        <v>S97N</v>
      </c>
      <c r="G8" s="4" t="str">
        <f>_xlfn.CONCAT(G5,G4,G6)</f>
        <v>T49N</v>
      </c>
      <c r="H8" s="4" t="str">
        <f>_xlfn.CONCAT(H5,H4,H6)</f>
        <v>D113E</v>
      </c>
      <c r="I8" s="4" t="str">
        <f>_xlfn.CONCAT(I5,I4,I6)</f>
        <v>L122I</v>
      </c>
      <c r="J8" s="4" t="str">
        <f>_xlfn.CONCAT(J5,J4,J6)</f>
        <v>D141N</v>
      </c>
      <c r="K8" s="4" t="str">
        <f>_xlfn.CONCAT(K5,K4,K6)</f>
        <v>T162P</v>
      </c>
      <c r="L8" s="4" t="str">
        <f>_xlfn.CONCAT(L5,L4,L6)</f>
        <v>D167N</v>
      </c>
      <c r="M8" s="4" t="str">
        <f>_xlfn.CONCAT(L5,L4,M6)</f>
        <v>D167G</v>
      </c>
      <c r="N8" s="4" t="str">
        <f>_xlfn.CONCAT(N5,N4,N6)</f>
        <v>T198A</v>
      </c>
      <c r="O8" s="4" t="str">
        <f t="shared" ref="O8" si="0">_xlfn.CONCAT(O5,O4,O6)</f>
        <v>E275K</v>
      </c>
      <c r="P8" s="4" t="str">
        <f t="shared" ref="P8:U8" si="1">_xlfn.CONCAT(P5,P4,P6)</f>
        <v>N276D</v>
      </c>
      <c r="Q8" s="4" t="str">
        <f t="shared" si="1"/>
        <v>D279A</v>
      </c>
      <c r="R8" s="4" t="str">
        <f>_xlfn.CONCAT(Q5,Q4,R6)</f>
        <v>D279N</v>
      </c>
      <c r="S8" s="4" t="str">
        <f t="shared" ref="S8" si="2">_xlfn.CONCAT(S5,S4,S6)</f>
        <v>A281K</v>
      </c>
      <c r="T8" s="4" t="str">
        <f>_xlfn.CONCAT(S5,S4,T6)</f>
        <v>A281D</v>
      </c>
      <c r="U8" s="4" t="str">
        <f t="shared" si="1"/>
        <v>I285DEL</v>
      </c>
      <c r="V8" s="4" t="str">
        <f t="shared" ref="V8" si="3">_xlfn.CONCAT(V5,V4,V6)</f>
        <v>H287Q</v>
      </c>
      <c r="W8" s="4" t="str">
        <f>_xlfn.CONCAT(V5,V4,W6)</f>
        <v>H287G</v>
      </c>
      <c r="X8" s="4" t="str">
        <f t="shared" ref="X8:Y8" si="4">_xlfn.CONCAT(X5,X4,X6)</f>
        <v>Q343R</v>
      </c>
      <c r="Y8" s="4" t="str">
        <f t="shared" si="4"/>
        <v>N361K</v>
      </c>
      <c r="Z8" s="4" t="str">
        <f t="shared" ref="Z8:AD8" si="5">_xlfn.CONCAT(Z5,Z4,Z6)</f>
        <v>G459D</v>
      </c>
      <c r="AA8" s="4" t="str">
        <f t="shared" si="5"/>
        <v>N460D</v>
      </c>
      <c r="AB8" s="4" t="str">
        <f>_xlfn.CONCAT(AA5,AA4,AB6)</f>
        <v>N460S</v>
      </c>
      <c r="AC8" s="4" t="str">
        <f t="shared" si="5"/>
        <v>S461N</v>
      </c>
      <c r="AD8" s="4" t="str">
        <f t="shared" si="5"/>
        <v>S464N</v>
      </c>
      <c r="AE8" s="4" t="str">
        <f t="shared" ref="AE8" si="6">_xlfn.CONCAT(AE5,AE4,AE6)</f>
        <v>P465L</v>
      </c>
      <c r="AF8" s="4" t="str">
        <f>_xlfn.CONCAT(AE5,AE4,AF6)</f>
        <v>P465S</v>
      </c>
      <c r="AG8" s="4" t="str">
        <f>_xlfn.CONCAT(AE5,AE4,AG6)</f>
        <v>P465T</v>
      </c>
      <c r="AH8" s="30" t="str">
        <f t="shared" ref="AH8" si="7">_xlfn.CONCAT(AH5,AH4,AH6)</f>
        <v>D474N</v>
      </c>
      <c r="AI8" s="4" t="str">
        <f t="shared" ref="AI8:AK8" si="8">_xlfn.CONCAT(AI5,AI4,AI6)</f>
        <v>D477N</v>
      </c>
      <c r="AJ8" s="4" t="str">
        <f>_xlfn.CONCAT(AI5,AI4,AJ6)</f>
        <v>D477E</v>
      </c>
      <c r="AK8" s="4" t="str">
        <f t="shared" si="8"/>
        <v>S480N</v>
      </c>
      <c r="AL8" s="4" t="str">
        <f>_xlfn.CONCAT(AL5,AL4,AL6)</f>
        <v>V505M</v>
      </c>
      <c r="AM8" s="4" t="str">
        <f>_xlfn.CONCAT(AM5,AM4,AM6)</f>
        <v>V539I</v>
      </c>
      <c r="AN8" s="4" t="str">
        <f>_xlfn.CONCAT(AN5,AN4,AN6)</f>
        <v>F672V</v>
      </c>
      <c r="AO8" s="4" t="str">
        <f>_xlfn.CONCAT(AO5,AO4,AO6)</f>
        <v>A723T</v>
      </c>
      <c r="AP8" s="4" t="str">
        <f>_xlfn.CONCAT(AP5,AP4,AP6)</f>
        <v>A854T</v>
      </c>
      <c r="AQ8" s="4" t="str">
        <f>_xlfn.CONCAT(AQ5,AQ4,AQ6)</f>
        <v>L855M</v>
      </c>
    </row>
    <row r="9" spans="1:47" x14ac:dyDescent="0.2">
      <c r="A9" t="s">
        <v>16</v>
      </c>
      <c r="B9" s="2">
        <v>24</v>
      </c>
      <c r="C9" s="2" t="s">
        <v>8</v>
      </c>
      <c r="E9" s="23"/>
      <c r="F9" s="23">
        <v>0.45980773164246203</v>
      </c>
      <c r="G9" s="23"/>
      <c r="H9" s="23"/>
      <c r="I9" s="23"/>
      <c r="J9" s="23"/>
      <c r="K9" s="23"/>
      <c r="L9" s="23">
        <v>0.43660009300000002</v>
      </c>
      <c r="M9" s="23"/>
      <c r="N9" s="23"/>
      <c r="O9" s="24"/>
      <c r="P9" s="24"/>
      <c r="Q9" s="24">
        <v>0.98674285699999997</v>
      </c>
      <c r="R9" s="24"/>
      <c r="S9" s="24"/>
      <c r="T9" s="24"/>
      <c r="U9" s="24"/>
      <c r="V9" s="32"/>
      <c r="W9" s="23">
        <v>0.85914833899999998</v>
      </c>
      <c r="X9" s="23"/>
      <c r="Y9" s="23">
        <v>0.64985476600000003</v>
      </c>
      <c r="Z9" s="23">
        <v>0.98045784499999999</v>
      </c>
      <c r="AA9" s="24"/>
      <c r="AB9" s="25"/>
      <c r="AC9" s="26"/>
      <c r="AD9" s="26"/>
      <c r="AE9" s="26"/>
      <c r="AF9" s="26"/>
      <c r="AG9" s="23"/>
      <c r="AH9" s="29"/>
      <c r="AI9" s="23"/>
      <c r="AJ9" s="23"/>
      <c r="AK9" s="23"/>
      <c r="AL9" s="23"/>
      <c r="AM9" s="23"/>
      <c r="AN9" s="23"/>
      <c r="AO9" s="23"/>
      <c r="AP9" s="23"/>
      <c r="AQ9" s="11"/>
    </row>
    <row r="10" spans="1:47" x14ac:dyDescent="0.2">
      <c r="A10" t="s">
        <v>17</v>
      </c>
      <c r="B10" s="2">
        <v>18</v>
      </c>
      <c r="C10" s="2" t="s">
        <v>3</v>
      </c>
      <c r="E10" s="23"/>
      <c r="F10" s="23">
        <v>0.62283642334268297</v>
      </c>
      <c r="G10" s="23"/>
      <c r="H10" s="23"/>
      <c r="I10" s="23"/>
      <c r="J10" s="23">
        <v>0.989883662</v>
      </c>
      <c r="K10" s="23"/>
      <c r="L10" s="23"/>
      <c r="M10" s="23"/>
      <c r="N10" s="23"/>
      <c r="O10" s="24"/>
      <c r="P10" s="24"/>
      <c r="Q10" s="24">
        <v>0.961540952</v>
      </c>
      <c r="R10" s="24"/>
      <c r="S10" s="24"/>
      <c r="T10" s="24"/>
      <c r="U10" s="24"/>
      <c r="V10" s="32"/>
      <c r="W10" s="23"/>
      <c r="X10" s="23"/>
      <c r="Y10" s="23">
        <v>0.98947199200000002</v>
      </c>
      <c r="Z10" s="23"/>
      <c r="AA10" s="24">
        <v>0.98501768099999998</v>
      </c>
      <c r="AB10" s="25"/>
      <c r="AC10" s="26"/>
      <c r="AD10" s="26"/>
      <c r="AE10" s="26"/>
      <c r="AF10" s="26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11"/>
    </row>
    <row r="11" spans="1:47" x14ac:dyDescent="0.2">
      <c r="A11" t="s">
        <v>18</v>
      </c>
      <c r="B11" s="2">
        <v>20</v>
      </c>
      <c r="C11" s="2" t="s">
        <v>3</v>
      </c>
      <c r="E11" s="23">
        <v>0.52473629499999996</v>
      </c>
      <c r="F11" s="23">
        <v>0.98602230483271303</v>
      </c>
      <c r="G11" s="23"/>
      <c r="H11" s="23"/>
      <c r="I11" s="23"/>
      <c r="J11" s="23"/>
      <c r="K11" s="23"/>
      <c r="L11" s="23"/>
      <c r="M11" s="23"/>
      <c r="N11" s="23"/>
      <c r="O11" s="24"/>
      <c r="P11" s="24"/>
      <c r="Q11" s="24">
        <v>0.99264489600000005</v>
      </c>
      <c r="R11" s="24"/>
      <c r="S11" s="24"/>
      <c r="T11" s="24"/>
      <c r="U11" s="24"/>
      <c r="V11" s="32"/>
      <c r="W11" s="23"/>
      <c r="X11" s="23"/>
      <c r="Y11" s="23"/>
      <c r="Z11" s="23"/>
      <c r="AA11" s="24"/>
      <c r="AB11" s="25">
        <v>0.53752952799999998</v>
      </c>
      <c r="AC11" s="26"/>
      <c r="AD11" s="26"/>
      <c r="AE11" s="26"/>
      <c r="AF11" s="26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11"/>
    </row>
    <row r="12" spans="1:47" x14ac:dyDescent="0.2">
      <c r="A12" t="s">
        <v>19</v>
      </c>
      <c r="B12" s="2">
        <v>19</v>
      </c>
      <c r="C12" s="2" t="s">
        <v>3</v>
      </c>
      <c r="E12" s="23"/>
      <c r="F12" s="23">
        <v>0.35964287670482498</v>
      </c>
      <c r="G12" s="23"/>
      <c r="H12" s="23"/>
      <c r="I12" s="23"/>
      <c r="J12" s="23"/>
      <c r="K12" s="23"/>
      <c r="L12" s="23"/>
      <c r="M12" s="23"/>
      <c r="N12" s="23"/>
      <c r="O12" s="24"/>
      <c r="P12" s="24"/>
      <c r="Q12" s="24">
        <v>0.99076044299999999</v>
      </c>
      <c r="R12" s="24"/>
      <c r="S12" s="24"/>
      <c r="T12" s="24"/>
      <c r="U12" s="24"/>
      <c r="V12" s="32"/>
      <c r="W12" s="23"/>
      <c r="X12" s="23"/>
      <c r="Y12" s="23"/>
      <c r="Z12" s="23"/>
      <c r="AA12" s="24">
        <v>0.98057208399999995</v>
      </c>
      <c r="AB12" s="25"/>
      <c r="AC12" s="26"/>
      <c r="AD12" s="26"/>
      <c r="AE12" s="26"/>
      <c r="AF12" s="26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11">
        <v>0.98331193800000005</v>
      </c>
    </row>
    <row r="13" spans="1:47" x14ac:dyDescent="0.2">
      <c r="A13" t="s">
        <v>20</v>
      </c>
      <c r="B13" s="2">
        <v>12</v>
      </c>
      <c r="C13" s="2" t="s">
        <v>3</v>
      </c>
      <c r="E13" s="23"/>
      <c r="F13" s="23">
        <v>0</v>
      </c>
      <c r="G13" s="23"/>
      <c r="H13" s="23"/>
      <c r="I13" s="23"/>
      <c r="J13" s="23"/>
      <c r="K13" s="23"/>
      <c r="L13" s="23"/>
      <c r="M13" s="23"/>
      <c r="N13" s="23"/>
      <c r="O13" s="24"/>
      <c r="P13" s="24"/>
      <c r="Q13" s="24">
        <v>0.99421654299999995</v>
      </c>
      <c r="R13" s="24"/>
      <c r="S13" s="24"/>
      <c r="T13" s="24"/>
      <c r="U13" s="24"/>
      <c r="V13" s="32"/>
      <c r="W13" s="23"/>
      <c r="X13" s="23"/>
      <c r="Y13" s="23"/>
      <c r="Z13" s="23"/>
      <c r="AA13" s="24">
        <v>0.50064139100000005</v>
      </c>
      <c r="AB13" s="25"/>
      <c r="AC13" s="26"/>
      <c r="AD13" s="26"/>
      <c r="AE13" s="26"/>
      <c r="AF13" s="26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11"/>
    </row>
    <row r="14" spans="1:47" x14ac:dyDescent="0.2">
      <c r="A14" t="s">
        <v>21</v>
      </c>
      <c r="B14" s="2">
        <v>14</v>
      </c>
      <c r="C14" s="2" t="s">
        <v>53</v>
      </c>
      <c r="E14" s="23"/>
      <c r="F14" s="23">
        <v>0</v>
      </c>
      <c r="G14" s="23"/>
      <c r="H14" s="23"/>
      <c r="I14" s="23"/>
      <c r="J14" s="23"/>
      <c r="K14" s="23"/>
      <c r="L14" s="23"/>
      <c r="M14" s="23"/>
      <c r="N14" s="23"/>
      <c r="O14" s="24"/>
      <c r="P14" s="24">
        <v>0.72665036699999996</v>
      </c>
      <c r="Q14" s="24">
        <v>0.97638957199999998</v>
      </c>
      <c r="R14" s="24"/>
      <c r="S14" s="24"/>
      <c r="T14" s="24"/>
      <c r="U14" s="24"/>
      <c r="V14" s="32"/>
      <c r="W14" s="23"/>
      <c r="X14" s="23">
        <v>0.99203187299999995</v>
      </c>
      <c r="Y14" s="23"/>
      <c r="Z14" s="23"/>
      <c r="AA14" s="24"/>
      <c r="AB14" s="25"/>
      <c r="AC14" s="26"/>
      <c r="AD14" s="26"/>
      <c r="AE14" s="26"/>
      <c r="AF14" s="26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11"/>
      <c r="AT14" s="1"/>
    </row>
    <row r="15" spans="1:47" x14ac:dyDescent="0.2">
      <c r="A15" t="s">
        <v>22</v>
      </c>
      <c r="B15" s="2">
        <v>20</v>
      </c>
      <c r="C15" s="2" t="s">
        <v>54</v>
      </c>
      <c r="E15" s="23"/>
      <c r="F15" s="23">
        <v>0</v>
      </c>
      <c r="G15" s="23"/>
      <c r="H15" s="23"/>
      <c r="I15" s="23"/>
      <c r="J15" s="23"/>
      <c r="K15" s="23"/>
      <c r="L15" s="23"/>
      <c r="M15" s="23"/>
      <c r="N15" s="23"/>
      <c r="O15" s="24"/>
      <c r="P15" s="24"/>
      <c r="Q15" s="24"/>
      <c r="R15" s="24"/>
      <c r="S15" s="24"/>
      <c r="T15" s="24"/>
      <c r="U15" s="24"/>
      <c r="V15" s="32"/>
      <c r="W15" s="23"/>
      <c r="X15" s="23"/>
      <c r="Y15" s="27"/>
      <c r="Z15" s="23"/>
      <c r="AA15" s="24"/>
      <c r="AB15" s="25"/>
      <c r="AC15" s="26"/>
      <c r="AD15" s="26"/>
      <c r="AE15" s="26"/>
      <c r="AF15" s="26"/>
      <c r="AG15" s="23">
        <v>0.74448612870080499</v>
      </c>
      <c r="AH15" s="23"/>
      <c r="AI15" s="23">
        <v>0.91031401499999998</v>
      </c>
      <c r="AJ15" s="23"/>
      <c r="AK15" s="23"/>
      <c r="AL15" s="23"/>
      <c r="AM15" s="23"/>
      <c r="AN15" s="23"/>
      <c r="AO15" s="23"/>
      <c r="AP15" s="23"/>
      <c r="AQ15" s="11"/>
      <c r="AT15" s="1"/>
    </row>
    <row r="16" spans="1:47" x14ac:dyDescent="0.2">
      <c r="A16" t="s">
        <v>23</v>
      </c>
      <c r="B16" s="2">
        <v>17</v>
      </c>
      <c r="C16" s="2" t="s">
        <v>55</v>
      </c>
      <c r="E16" s="23"/>
      <c r="F16" s="23">
        <v>0</v>
      </c>
      <c r="G16" s="23"/>
      <c r="H16" s="23"/>
      <c r="I16" s="23"/>
      <c r="J16" s="23"/>
      <c r="K16" s="23"/>
      <c r="L16" s="23"/>
      <c r="M16" s="23"/>
      <c r="N16" s="23"/>
      <c r="O16" s="24"/>
      <c r="P16" s="24"/>
      <c r="Q16" s="24"/>
      <c r="R16" s="24"/>
      <c r="S16" s="24"/>
      <c r="T16" s="24"/>
      <c r="U16" s="24"/>
      <c r="V16" s="32"/>
      <c r="W16" s="23"/>
      <c r="X16" s="23"/>
      <c r="Y16" s="23"/>
      <c r="Z16" s="23"/>
      <c r="AA16" s="24"/>
      <c r="AB16" s="25"/>
      <c r="AC16" s="26"/>
      <c r="AD16" s="26"/>
      <c r="AE16" s="26"/>
      <c r="AF16" s="26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11"/>
      <c r="AT16" s="1"/>
    </row>
    <row r="17" spans="1:46" x14ac:dyDescent="0.2">
      <c r="A17" t="s">
        <v>24</v>
      </c>
      <c r="B17" s="2">
        <v>21</v>
      </c>
      <c r="C17" s="2" t="s">
        <v>53</v>
      </c>
      <c r="E17" s="23"/>
      <c r="F17" s="23">
        <v>0.90900952746339203</v>
      </c>
      <c r="G17" s="23"/>
      <c r="H17" s="23"/>
      <c r="I17" s="23"/>
      <c r="J17" s="23"/>
      <c r="K17" s="23"/>
      <c r="L17" s="23"/>
      <c r="M17" s="23"/>
      <c r="N17" s="23"/>
      <c r="O17" s="24"/>
      <c r="P17" s="24">
        <v>0.99463251600000002</v>
      </c>
      <c r="Q17" s="24">
        <v>0.98891682999999997</v>
      </c>
      <c r="R17" s="24"/>
      <c r="S17" s="24"/>
      <c r="T17" s="24"/>
      <c r="U17" s="24"/>
      <c r="V17" s="32"/>
      <c r="W17" s="23"/>
      <c r="X17" s="23"/>
      <c r="Y17" s="23"/>
      <c r="Z17" s="23"/>
      <c r="AA17" s="24"/>
      <c r="AB17" s="25"/>
      <c r="AC17" s="26">
        <v>0.51396703679729105</v>
      </c>
      <c r="AD17" s="26"/>
      <c r="AE17" s="26"/>
      <c r="AF17" s="26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11"/>
      <c r="AT17" s="1"/>
    </row>
    <row r="18" spans="1:46" x14ac:dyDescent="0.2">
      <c r="A18" t="s">
        <v>25</v>
      </c>
      <c r="B18" s="2">
        <v>22</v>
      </c>
      <c r="C18" s="2" t="s">
        <v>3</v>
      </c>
      <c r="E18" s="23"/>
      <c r="F18" s="23">
        <v>0.990522422561257</v>
      </c>
      <c r="G18" s="23"/>
      <c r="H18" s="23"/>
      <c r="I18" s="23"/>
      <c r="J18" s="23"/>
      <c r="K18" s="23"/>
      <c r="L18" s="23"/>
      <c r="M18" s="23"/>
      <c r="N18" s="23"/>
      <c r="O18" s="24"/>
      <c r="P18" s="24"/>
      <c r="Q18" s="24">
        <v>0.98950617299999999</v>
      </c>
      <c r="R18" s="24"/>
      <c r="S18" s="24"/>
      <c r="T18" s="24"/>
      <c r="U18" s="24"/>
      <c r="V18" s="32"/>
      <c r="W18" s="23"/>
      <c r="X18" s="23"/>
      <c r="Y18" s="23"/>
      <c r="Z18" s="23"/>
      <c r="AA18" s="24">
        <v>0.98684210500000002</v>
      </c>
      <c r="AB18" s="25"/>
      <c r="AC18" s="26"/>
      <c r="AD18" s="26"/>
      <c r="AE18" s="26"/>
      <c r="AF18" s="26"/>
      <c r="AG18" s="23"/>
      <c r="AH18" s="23"/>
      <c r="AI18" s="23"/>
      <c r="AJ18" s="23"/>
      <c r="AK18" s="23"/>
      <c r="AL18" s="23"/>
      <c r="AM18" s="23"/>
      <c r="AN18" s="23"/>
      <c r="AO18" s="23">
        <v>0.62802821200000003</v>
      </c>
      <c r="AP18" s="23"/>
      <c r="AQ18" s="11"/>
    </row>
    <row r="19" spans="1:46" x14ac:dyDescent="0.2">
      <c r="A19" t="s">
        <v>26</v>
      </c>
      <c r="B19" s="2">
        <v>19</v>
      </c>
      <c r="C19" s="2" t="s">
        <v>3</v>
      </c>
      <c r="E19" s="23"/>
      <c r="F19" s="23">
        <v>0.82706766917293195</v>
      </c>
      <c r="G19" s="23"/>
      <c r="H19" s="23"/>
      <c r="I19" s="23"/>
      <c r="J19" s="23"/>
      <c r="K19" s="23"/>
      <c r="L19" s="23"/>
      <c r="M19" s="23"/>
      <c r="N19" s="23"/>
      <c r="O19" s="24"/>
      <c r="P19" s="24"/>
      <c r="Q19" s="24">
        <v>0.98607242299999998</v>
      </c>
      <c r="R19" s="24"/>
      <c r="S19" s="24"/>
      <c r="T19" s="24"/>
      <c r="U19" s="24"/>
      <c r="V19" s="32"/>
      <c r="W19" s="23"/>
      <c r="X19" s="23"/>
      <c r="Y19" s="23"/>
      <c r="Z19" s="23"/>
      <c r="AA19" s="24">
        <v>0.94694244599999999</v>
      </c>
      <c r="AB19" s="25"/>
      <c r="AC19" s="26"/>
      <c r="AD19" s="26"/>
      <c r="AE19" s="26"/>
      <c r="AF19" s="26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11"/>
    </row>
    <row r="20" spans="1:46" x14ac:dyDescent="0.2">
      <c r="A20" t="s">
        <v>27</v>
      </c>
      <c r="B20" s="2">
        <v>9</v>
      </c>
      <c r="C20" s="2" t="s">
        <v>53</v>
      </c>
      <c r="E20" s="23"/>
      <c r="F20" s="23">
        <v>0</v>
      </c>
      <c r="G20" s="23"/>
      <c r="H20" s="23"/>
      <c r="I20" s="23"/>
      <c r="J20" s="23"/>
      <c r="K20" s="23"/>
      <c r="L20" s="23"/>
      <c r="M20" s="23"/>
      <c r="N20" s="23"/>
      <c r="O20" s="24"/>
      <c r="P20" s="24">
        <v>0.36007326000000001</v>
      </c>
      <c r="Q20" s="24">
        <v>0.98950917900000002</v>
      </c>
      <c r="R20" s="24"/>
      <c r="S20" s="24"/>
      <c r="T20" s="24"/>
      <c r="U20" s="24"/>
      <c r="V20" s="32"/>
      <c r="W20" s="23"/>
      <c r="X20" s="23"/>
      <c r="Y20" s="23"/>
      <c r="Z20" s="23"/>
      <c r="AA20" s="24"/>
      <c r="AB20" s="25"/>
      <c r="AC20" s="26"/>
      <c r="AD20" s="26"/>
      <c r="AE20" s="26"/>
      <c r="AF20" s="26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11"/>
    </row>
    <row r="21" spans="1:46" x14ac:dyDescent="0.2">
      <c r="A21" t="s">
        <v>28</v>
      </c>
      <c r="B21" s="2">
        <v>20</v>
      </c>
      <c r="C21" s="2" t="s">
        <v>9</v>
      </c>
      <c r="E21" s="23"/>
      <c r="F21" s="23">
        <v>0</v>
      </c>
      <c r="G21" s="23"/>
      <c r="H21" s="23"/>
      <c r="I21" s="23"/>
      <c r="J21" s="23"/>
      <c r="K21" s="23"/>
      <c r="L21" s="23"/>
      <c r="M21" s="23"/>
      <c r="N21" s="23"/>
      <c r="O21" s="24"/>
      <c r="P21" s="24"/>
      <c r="Q21" s="24"/>
      <c r="R21" s="24"/>
      <c r="S21" s="24"/>
      <c r="T21" s="24"/>
      <c r="U21" s="24">
        <v>0.96701495599999998</v>
      </c>
      <c r="V21" s="32"/>
      <c r="W21" s="23"/>
      <c r="X21" s="23"/>
      <c r="Y21" s="23"/>
      <c r="Z21" s="23"/>
      <c r="AA21" s="24"/>
      <c r="AB21" s="25"/>
      <c r="AC21" s="26"/>
      <c r="AD21" s="26"/>
      <c r="AE21" s="26"/>
      <c r="AF21" s="26"/>
      <c r="AG21" s="23"/>
      <c r="AH21" s="23"/>
      <c r="AI21" s="23"/>
      <c r="AJ21" s="23"/>
      <c r="AK21" s="23">
        <v>0.50243483200000005</v>
      </c>
      <c r="AL21" s="23">
        <v>0.99425837320574095</v>
      </c>
      <c r="AM21" s="23"/>
      <c r="AN21" s="23">
        <v>0.57070856804032</v>
      </c>
      <c r="AO21" s="23"/>
      <c r="AP21" s="23"/>
      <c r="AQ21" s="11"/>
    </row>
    <row r="22" spans="1:46" x14ac:dyDescent="0.2">
      <c r="A22" t="s">
        <v>29</v>
      </c>
      <c r="B22" s="2">
        <v>24</v>
      </c>
      <c r="C22" s="2" t="s">
        <v>53</v>
      </c>
      <c r="E22" s="23"/>
      <c r="F22" s="23">
        <v>0.75439043013489404</v>
      </c>
      <c r="G22" s="23"/>
      <c r="H22" s="23"/>
      <c r="I22" s="23"/>
      <c r="J22" s="23"/>
      <c r="K22" s="23"/>
      <c r="L22" s="23"/>
      <c r="M22" s="23"/>
      <c r="N22" s="23"/>
      <c r="O22" s="24"/>
      <c r="P22" s="24">
        <v>0.54122669099999998</v>
      </c>
      <c r="Q22" s="24">
        <v>0.91919653000000001</v>
      </c>
      <c r="R22" s="24"/>
      <c r="S22" s="24"/>
      <c r="T22" s="24"/>
      <c r="U22" s="24"/>
      <c r="V22" s="32"/>
      <c r="W22" s="23"/>
      <c r="X22" s="23"/>
      <c r="Y22" s="23"/>
      <c r="Z22" s="23"/>
      <c r="AA22" s="24"/>
      <c r="AB22" s="25"/>
      <c r="AC22" s="26"/>
      <c r="AD22" s="26"/>
      <c r="AE22" s="26"/>
      <c r="AF22" s="26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11"/>
    </row>
    <row r="23" spans="1:46" x14ac:dyDescent="0.2">
      <c r="A23" t="s">
        <v>30</v>
      </c>
      <c r="B23" s="2">
        <v>24</v>
      </c>
      <c r="C23" s="2" t="s">
        <v>3</v>
      </c>
      <c r="E23" s="23"/>
      <c r="F23" s="23">
        <v>0.99510869565217397</v>
      </c>
      <c r="G23" s="23"/>
      <c r="H23" s="23"/>
      <c r="I23" s="23"/>
      <c r="J23" s="23"/>
      <c r="K23" s="23"/>
      <c r="L23" s="23"/>
      <c r="M23" s="23"/>
      <c r="N23" s="23"/>
      <c r="O23" s="24"/>
      <c r="P23" s="24"/>
      <c r="Q23" s="24">
        <v>0.992021759</v>
      </c>
      <c r="R23" s="24"/>
      <c r="S23" s="24"/>
      <c r="T23" s="24"/>
      <c r="U23" s="24"/>
      <c r="V23" s="32"/>
      <c r="W23" s="23"/>
      <c r="X23" s="23"/>
      <c r="Y23" s="23"/>
      <c r="Z23" s="23"/>
      <c r="AA23" s="24">
        <v>0.994940202</v>
      </c>
      <c r="AB23" s="25"/>
      <c r="AC23" s="26"/>
      <c r="AD23" s="26"/>
      <c r="AE23" s="26"/>
      <c r="AF23" s="26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11"/>
    </row>
    <row r="24" spans="1:46" x14ac:dyDescent="0.2">
      <c r="A24" t="s">
        <v>31</v>
      </c>
      <c r="B24" s="2">
        <v>13</v>
      </c>
      <c r="C24" s="2" t="s">
        <v>52</v>
      </c>
      <c r="E24" s="23"/>
      <c r="F24" s="23">
        <v>0</v>
      </c>
      <c r="G24" s="23"/>
      <c r="H24" s="23"/>
      <c r="I24" s="23"/>
      <c r="J24" s="23"/>
      <c r="K24" s="23"/>
      <c r="L24" s="23"/>
      <c r="M24" s="23"/>
      <c r="N24" s="23"/>
      <c r="O24" s="24"/>
      <c r="P24" s="24">
        <v>0.34806783400000002</v>
      </c>
      <c r="Q24" s="24"/>
      <c r="R24" s="24"/>
      <c r="S24" s="24">
        <v>0.75743425903170303</v>
      </c>
      <c r="T24" s="24">
        <v>0.23322683699999999</v>
      </c>
      <c r="U24" s="24"/>
      <c r="V24" s="32"/>
      <c r="W24" s="23"/>
      <c r="X24" s="23"/>
      <c r="Y24" s="23"/>
      <c r="Z24" s="23"/>
      <c r="AA24" s="24"/>
      <c r="AB24" s="25"/>
      <c r="AC24" s="26"/>
      <c r="AD24" s="26"/>
      <c r="AE24" s="26"/>
      <c r="AF24" s="26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11"/>
    </row>
    <row r="25" spans="1:46" x14ac:dyDescent="0.2">
      <c r="A25" t="s">
        <v>32</v>
      </c>
      <c r="B25" s="2">
        <v>22</v>
      </c>
      <c r="C25" s="2"/>
      <c r="E25" s="23"/>
      <c r="F25" s="23">
        <v>0.34073441502988899</v>
      </c>
      <c r="G25" s="23"/>
      <c r="H25" s="23"/>
      <c r="I25" s="23"/>
      <c r="J25" s="23"/>
      <c r="K25" s="23"/>
      <c r="L25" s="23"/>
      <c r="M25" s="23"/>
      <c r="N25" s="23"/>
      <c r="O25" s="24"/>
      <c r="P25" s="24">
        <v>0.25269377799999998</v>
      </c>
      <c r="Q25" s="24">
        <v>0.22903672899999999</v>
      </c>
      <c r="R25" s="24"/>
      <c r="S25" s="24">
        <v>0.58045292000000004</v>
      </c>
      <c r="T25" s="24"/>
      <c r="U25" s="24"/>
      <c r="V25" s="32"/>
      <c r="W25" s="23"/>
      <c r="X25" s="23"/>
      <c r="Y25" s="23"/>
      <c r="Z25" s="23"/>
      <c r="AA25" s="24">
        <v>0.30608695699999999</v>
      </c>
      <c r="AB25" s="25"/>
      <c r="AC25" s="26"/>
      <c r="AD25" s="26"/>
      <c r="AE25" s="26"/>
      <c r="AF25" s="26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11"/>
    </row>
    <row r="26" spans="1:46" x14ac:dyDescent="0.2">
      <c r="A26" t="s">
        <v>33</v>
      </c>
      <c r="B26" s="2">
        <v>24</v>
      </c>
      <c r="C26" s="2"/>
      <c r="E26" s="23"/>
      <c r="F26" s="23">
        <v>0</v>
      </c>
      <c r="G26" s="23">
        <v>0.93338408799999995</v>
      </c>
      <c r="H26" s="23"/>
      <c r="I26" s="23">
        <v>0.99269005799999999</v>
      </c>
      <c r="J26" s="23"/>
      <c r="K26" s="23"/>
      <c r="L26" s="23"/>
      <c r="M26" s="23"/>
      <c r="N26" s="23"/>
      <c r="O26" s="24">
        <v>0.97008547008546997</v>
      </c>
      <c r="P26" s="24"/>
      <c r="Q26" s="24"/>
      <c r="R26" s="24"/>
      <c r="S26" s="24"/>
      <c r="T26" s="24"/>
      <c r="U26" s="24"/>
      <c r="V26" s="32"/>
      <c r="W26" s="23"/>
      <c r="X26" s="23"/>
      <c r="Y26" s="23"/>
      <c r="Z26" s="23"/>
      <c r="AA26" s="24"/>
      <c r="AB26" s="25"/>
      <c r="AC26" s="26">
        <v>0.97626803164262399</v>
      </c>
      <c r="AD26" s="26"/>
      <c r="AE26" s="26"/>
      <c r="AF26" s="26"/>
      <c r="AG26" s="23">
        <v>0.99529190199999995</v>
      </c>
      <c r="AH26" s="23"/>
      <c r="AI26" s="23"/>
      <c r="AJ26" s="23"/>
      <c r="AK26" s="23"/>
      <c r="AL26" s="23"/>
      <c r="AM26" s="23"/>
      <c r="AN26" s="23"/>
      <c r="AO26" s="23"/>
      <c r="AP26" s="23"/>
      <c r="AQ26" s="11"/>
    </row>
    <row r="27" spans="1:46" x14ac:dyDescent="0.2">
      <c r="A27" t="s">
        <v>34</v>
      </c>
      <c r="B27" s="2">
        <v>15</v>
      </c>
      <c r="C27" s="2"/>
      <c r="E27" s="23"/>
      <c r="F27" s="23">
        <v>0</v>
      </c>
      <c r="G27" s="23"/>
      <c r="H27" s="23">
        <v>0.96349614400000005</v>
      </c>
      <c r="I27" s="23"/>
      <c r="J27" s="23"/>
      <c r="K27" s="23"/>
      <c r="L27" s="23"/>
      <c r="M27" s="23"/>
      <c r="N27" s="23"/>
      <c r="O27" s="24"/>
      <c r="P27" s="24"/>
      <c r="Q27" s="24">
        <v>0.99278954500000005</v>
      </c>
      <c r="R27" s="24"/>
      <c r="S27" s="24"/>
      <c r="T27" s="24"/>
      <c r="U27" s="24"/>
      <c r="V27" s="32"/>
      <c r="W27" s="23"/>
      <c r="X27" s="23"/>
      <c r="Y27" s="23"/>
      <c r="Z27" s="23"/>
      <c r="AA27" s="24"/>
      <c r="AB27" s="25"/>
      <c r="AC27" s="26"/>
      <c r="AD27" s="26"/>
      <c r="AE27" s="26">
        <v>0.99622641499999998</v>
      </c>
      <c r="AF27" s="26"/>
      <c r="AG27" s="23"/>
      <c r="AH27" s="23">
        <v>0.99686716799999997</v>
      </c>
      <c r="AI27" s="23"/>
      <c r="AJ27" s="23"/>
      <c r="AK27" s="23"/>
      <c r="AL27" s="23"/>
      <c r="AM27" s="20">
        <v>0.99608958407394199</v>
      </c>
      <c r="AN27" s="23"/>
      <c r="AO27" s="23"/>
      <c r="AP27" s="23"/>
      <c r="AQ27" s="11"/>
    </row>
    <row r="28" spans="1:46" x14ac:dyDescent="0.2">
      <c r="A28" t="s">
        <v>35</v>
      </c>
      <c r="B28" s="2">
        <v>9</v>
      </c>
      <c r="C28" s="2"/>
      <c r="E28" s="23"/>
      <c r="F28" s="23">
        <v>0</v>
      </c>
      <c r="G28" s="23"/>
      <c r="H28" s="23"/>
      <c r="I28" s="23"/>
      <c r="J28" s="23"/>
      <c r="K28" s="23"/>
      <c r="L28" s="23"/>
      <c r="M28" s="23"/>
      <c r="N28" s="23"/>
      <c r="O28" s="24"/>
      <c r="P28" s="24"/>
      <c r="Q28" s="24"/>
      <c r="R28" s="24"/>
      <c r="S28" s="24"/>
      <c r="T28" s="24"/>
      <c r="U28" s="24"/>
      <c r="V28" s="32"/>
      <c r="W28" s="23"/>
      <c r="X28" s="23"/>
      <c r="Y28" s="23"/>
      <c r="Z28" s="23"/>
      <c r="AA28" s="24"/>
      <c r="AB28" s="25"/>
      <c r="AC28" s="26"/>
      <c r="AD28" s="26">
        <v>0.98062015499999999</v>
      </c>
      <c r="AE28" s="26"/>
      <c r="AF28" s="26">
        <v>0.94405594405594395</v>
      </c>
      <c r="AG28" s="23"/>
      <c r="AH28" s="23"/>
      <c r="AI28" s="23">
        <v>0.98179059199999996</v>
      </c>
      <c r="AJ28" s="23"/>
      <c r="AK28" s="23"/>
      <c r="AL28" s="23"/>
      <c r="AM28" s="23"/>
      <c r="AN28" s="23"/>
      <c r="AO28" s="23"/>
      <c r="AP28" s="23"/>
      <c r="AQ28" s="11"/>
    </row>
    <row r="29" spans="1:46" x14ac:dyDescent="0.2">
      <c r="A29" t="s">
        <v>36</v>
      </c>
      <c r="B29" s="2">
        <v>25</v>
      </c>
      <c r="C29" s="2" t="s">
        <v>3</v>
      </c>
      <c r="E29" s="23"/>
      <c r="F29" s="23">
        <v>0.86976744186046495</v>
      </c>
      <c r="G29" s="23"/>
      <c r="H29" s="23"/>
      <c r="I29" s="23"/>
      <c r="J29" s="23"/>
      <c r="K29" s="23"/>
      <c r="L29" s="23">
        <v>0.48985801200000001</v>
      </c>
      <c r="M29" s="23"/>
      <c r="N29" s="23"/>
      <c r="O29" s="24"/>
      <c r="P29" s="24"/>
      <c r="Q29" s="24">
        <v>0.87327188899999997</v>
      </c>
      <c r="R29" s="24"/>
      <c r="S29" s="24"/>
      <c r="T29" s="24"/>
      <c r="U29" s="24"/>
      <c r="V29" s="32"/>
      <c r="W29" s="23"/>
      <c r="X29" s="23"/>
      <c r="Y29" s="23">
        <v>0.22915416899999999</v>
      </c>
      <c r="Z29" s="23"/>
      <c r="AA29" s="24">
        <v>0.99687744</v>
      </c>
      <c r="AB29" s="25"/>
      <c r="AC29" s="26"/>
      <c r="AD29" s="26"/>
      <c r="AE29" s="26"/>
      <c r="AF29" s="26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11"/>
    </row>
    <row r="30" spans="1:46" x14ac:dyDescent="0.2">
      <c r="A30" t="s">
        <v>37</v>
      </c>
      <c r="B30" s="2">
        <v>22</v>
      </c>
      <c r="C30" s="2"/>
      <c r="E30" s="23"/>
      <c r="F30" s="23">
        <v>0</v>
      </c>
      <c r="G30" s="23"/>
      <c r="H30" s="23"/>
      <c r="I30" s="23"/>
      <c r="J30" s="23"/>
      <c r="K30" s="23">
        <v>0.95811965811965805</v>
      </c>
      <c r="L30" s="23"/>
      <c r="M30" s="23"/>
      <c r="N30" s="23">
        <v>0.74307095300000003</v>
      </c>
      <c r="O30" s="24"/>
      <c r="P30" s="24"/>
      <c r="Q30" s="24"/>
      <c r="R30" s="24">
        <v>0.18785850900000001</v>
      </c>
      <c r="S30" s="24"/>
      <c r="T30" s="24"/>
      <c r="U30" s="24"/>
      <c r="V30" s="32"/>
      <c r="W30" s="23"/>
      <c r="X30" s="23"/>
      <c r="Y30" s="23"/>
      <c r="Z30" s="23"/>
      <c r="AA30" s="24"/>
      <c r="AB30" s="25"/>
      <c r="AC30" s="26"/>
      <c r="AD30" s="26"/>
      <c r="AE30" s="26"/>
      <c r="AF30" s="26"/>
      <c r="AG30" s="23"/>
      <c r="AH30" s="23"/>
      <c r="AI30" s="23"/>
      <c r="AJ30" s="23">
        <v>0.68650871400000002</v>
      </c>
      <c r="AK30" s="23"/>
      <c r="AL30" s="23"/>
      <c r="AM30" s="23"/>
      <c r="AN30" s="23"/>
      <c r="AO30" s="23"/>
      <c r="AP30" s="23"/>
      <c r="AQ30" s="11"/>
    </row>
    <row r="31" spans="1:46" x14ac:dyDescent="0.2">
      <c r="A31" t="s">
        <v>38</v>
      </c>
      <c r="B31" s="2">
        <v>26</v>
      </c>
      <c r="C31" s="2" t="s">
        <v>53</v>
      </c>
      <c r="E31" s="23"/>
      <c r="F31" s="23">
        <v>0.97145256087321596</v>
      </c>
      <c r="G31" s="23"/>
      <c r="H31" s="23"/>
      <c r="I31" s="23"/>
      <c r="J31" s="23"/>
      <c r="K31" s="23"/>
      <c r="L31" s="23"/>
      <c r="M31" s="23"/>
      <c r="N31" s="23"/>
      <c r="O31" s="24"/>
      <c r="P31" s="24">
        <v>0.99510227600000001</v>
      </c>
      <c r="Q31" s="24">
        <v>0.99194244600000003</v>
      </c>
      <c r="R31" s="24"/>
      <c r="S31" s="24"/>
      <c r="T31" s="24"/>
      <c r="U31" s="24"/>
      <c r="V31" s="32">
        <v>0.395877378</v>
      </c>
      <c r="W31" s="23"/>
      <c r="X31" s="23"/>
      <c r="Y31" s="23"/>
      <c r="Z31" s="23"/>
      <c r="AA31" s="24"/>
      <c r="AB31" s="25"/>
      <c r="AC31" s="26">
        <v>0.64741345800000005</v>
      </c>
      <c r="AD31" s="26"/>
      <c r="AE31" s="26"/>
      <c r="AF31" s="26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11"/>
    </row>
    <row r="32" spans="1:46" x14ac:dyDescent="0.2">
      <c r="A32" t="s">
        <v>39</v>
      </c>
      <c r="B32" s="2">
        <v>18</v>
      </c>
      <c r="C32" s="2" t="s">
        <v>3</v>
      </c>
      <c r="E32" s="23"/>
      <c r="F32" s="23">
        <v>0.13243761996161199</v>
      </c>
      <c r="G32" s="23"/>
      <c r="H32" s="23"/>
      <c r="I32" s="23"/>
      <c r="J32" s="23"/>
      <c r="K32" s="23"/>
      <c r="L32" s="23"/>
      <c r="M32" s="23"/>
      <c r="N32" s="23"/>
      <c r="O32" s="24"/>
      <c r="P32" s="24"/>
      <c r="Q32" s="24">
        <v>0.96565656600000005</v>
      </c>
      <c r="R32" s="24"/>
      <c r="S32" s="24"/>
      <c r="T32" s="24"/>
      <c r="U32" s="24"/>
      <c r="V32" s="32">
        <v>0.33206106899999999</v>
      </c>
      <c r="W32" s="23"/>
      <c r="X32" s="23"/>
      <c r="Y32" s="23"/>
      <c r="Z32" s="23"/>
      <c r="AA32" s="24">
        <v>0.9296875</v>
      </c>
      <c r="AB32" s="25"/>
      <c r="AC32" s="26"/>
      <c r="AD32" s="26"/>
      <c r="AE32" s="26"/>
      <c r="AF32" s="26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11"/>
    </row>
    <row r="33" spans="1:43" x14ac:dyDescent="0.2">
      <c r="A33" t="s">
        <v>40</v>
      </c>
      <c r="B33" s="2">
        <v>20</v>
      </c>
      <c r="C33" s="2" t="s">
        <v>53</v>
      </c>
      <c r="E33" s="23"/>
      <c r="F33" s="23">
        <v>0.99701937406855401</v>
      </c>
      <c r="G33" s="23"/>
      <c r="H33" s="23"/>
      <c r="I33" s="23"/>
      <c r="J33" s="23"/>
      <c r="K33" s="23"/>
      <c r="L33" s="23"/>
      <c r="M33" s="23"/>
      <c r="N33" s="23"/>
      <c r="O33" s="24"/>
      <c r="P33" s="24">
        <v>0.99570200600000003</v>
      </c>
      <c r="Q33" s="24">
        <v>0.98994252900000002</v>
      </c>
      <c r="R33" s="24"/>
      <c r="S33" s="24"/>
      <c r="T33" s="24"/>
      <c r="U33" s="24"/>
      <c r="V33" s="32"/>
      <c r="W33" s="23"/>
      <c r="X33" s="23"/>
      <c r="Y33" s="23"/>
      <c r="Z33" s="23"/>
      <c r="AA33" s="24"/>
      <c r="AB33" s="25"/>
      <c r="AC33" s="26">
        <v>0.99517491000000002</v>
      </c>
      <c r="AD33" s="26"/>
      <c r="AE33" s="26"/>
      <c r="AF33" s="26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11"/>
    </row>
    <row r="34" spans="1:43" x14ac:dyDescent="0.2">
      <c r="A34" t="s">
        <v>41</v>
      </c>
      <c r="B34" s="2">
        <v>26</v>
      </c>
      <c r="C34" s="2"/>
      <c r="E34" s="23"/>
      <c r="F34" s="23">
        <v>0.42832764505119397</v>
      </c>
      <c r="G34" s="23"/>
      <c r="H34" s="23"/>
      <c r="I34" s="23"/>
      <c r="J34" s="23"/>
      <c r="K34" s="23"/>
      <c r="L34" s="23"/>
      <c r="M34" s="23">
        <v>0.45407662100000001</v>
      </c>
      <c r="N34" s="23"/>
      <c r="O34" s="24"/>
      <c r="P34" s="24"/>
      <c r="Q34" s="24">
        <v>0.610504202</v>
      </c>
      <c r="R34" s="24"/>
      <c r="S34" s="24"/>
      <c r="T34" s="24"/>
      <c r="U34" s="24"/>
      <c r="V34" s="32"/>
      <c r="W34" s="23"/>
      <c r="X34" s="23"/>
      <c r="Y34" s="23"/>
      <c r="Z34" s="23">
        <v>0.57604823199999999</v>
      </c>
      <c r="AA34" s="24"/>
      <c r="AB34" s="25"/>
      <c r="AC34" s="26"/>
      <c r="AD34" s="26"/>
      <c r="AE34" s="26"/>
      <c r="AF34" s="26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11"/>
    </row>
    <row r="35" spans="1:43" ht="17" thickBot="1" x14ac:dyDescent="0.25">
      <c r="A35" t="s">
        <v>42</v>
      </c>
      <c r="B35" s="2">
        <v>15</v>
      </c>
      <c r="C35" s="2" t="s">
        <v>53</v>
      </c>
      <c r="E35" s="28"/>
      <c r="F35" s="28">
        <v>0</v>
      </c>
      <c r="G35" s="28"/>
      <c r="H35" s="28"/>
      <c r="I35" s="28"/>
      <c r="J35" s="28"/>
      <c r="K35" s="28"/>
      <c r="L35" s="28"/>
      <c r="M35" s="28"/>
      <c r="N35" s="28"/>
      <c r="O35" s="24"/>
      <c r="P35" s="24">
        <v>0.32761765799999998</v>
      </c>
      <c r="Q35" s="24">
        <v>0.99505256600000003</v>
      </c>
      <c r="R35" s="24"/>
      <c r="S35" s="24"/>
      <c r="T35" s="24"/>
      <c r="U35" s="24"/>
      <c r="V35" s="33"/>
      <c r="W35" s="28"/>
      <c r="X35" s="23"/>
      <c r="Y35" s="23"/>
      <c r="Z35" s="23"/>
      <c r="AA35" s="24"/>
      <c r="AB35" s="25"/>
      <c r="AC35" s="26"/>
      <c r="AD35" s="26"/>
      <c r="AE35" s="26"/>
      <c r="AF35" s="26"/>
      <c r="AG35" s="23"/>
      <c r="AH35" s="23"/>
      <c r="AI35" s="23"/>
      <c r="AJ35" s="23"/>
      <c r="AK35" s="23"/>
      <c r="AL35" s="23"/>
      <c r="AM35" s="23"/>
      <c r="AN35" s="23"/>
      <c r="AO35" s="23"/>
      <c r="AP35" s="23">
        <v>0.99482248500000003</v>
      </c>
      <c r="AQ35" s="11"/>
    </row>
  </sheetData>
  <mergeCells count="60">
    <mergeCell ref="AP6:AP7"/>
    <mergeCell ref="AI3:AJ3"/>
    <mergeCell ref="AI4:AJ4"/>
    <mergeCell ref="AI5:AJ5"/>
    <mergeCell ref="Q3:R3"/>
    <mergeCell ref="Q4:R4"/>
    <mergeCell ref="Q5:R5"/>
    <mergeCell ref="V3:W3"/>
    <mergeCell ref="V4:W4"/>
    <mergeCell ref="V5:W5"/>
    <mergeCell ref="AM6:AM7"/>
    <mergeCell ref="AD6:AD7"/>
    <mergeCell ref="AF6:AF7"/>
    <mergeCell ref="L6:L7"/>
    <mergeCell ref="N6:N7"/>
    <mergeCell ref="AJ6:AJ7"/>
    <mergeCell ref="V6:V7"/>
    <mergeCell ref="M6:M7"/>
    <mergeCell ref="AE6:AE7"/>
    <mergeCell ref="AE5:AG5"/>
    <mergeCell ref="AE4:AG4"/>
    <mergeCell ref="AE3:AG3"/>
    <mergeCell ref="AH6:AH7"/>
    <mergeCell ref="O6:O7"/>
    <mergeCell ref="G6:G7"/>
    <mergeCell ref="I6:I7"/>
    <mergeCell ref="H6:H7"/>
    <mergeCell ref="K6:K7"/>
    <mergeCell ref="J6:J7"/>
    <mergeCell ref="E6:E7"/>
    <mergeCell ref="F6:F7"/>
    <mergeCell ref="AQ6:AQ7"/>
    <mergeCell ref="P6:P7"/>
    <mergeCell ref="X6:X7"/>
    <mergeCell ref="AG6:AG7"/>
    <mergeCell ref="AI6:AI7"/>
    <mergeCell ref="AC6:AC7"/>
    <mergeCell ref="AO6:AO7"/>
    <mergeCell ref="AK6:AK7"/>
    <mergeCell ref="AL6:AL7"/>
    <mergeCell ref="AN6:AN7"/>
    <mergeCell ref="S6:S7"/>
    <mergeCell ref="S4:T4"/>
    <mergeCell ref="S5:T5"/>
    <mergeCell ref="S3:T3"/>
    <mergeCell ref="L3:M3"/>
    <mergeCell ref="L4:M4"/>
    <mergeCell ref="L5:M5"/>
    <mergeCell ref="AA3:AB3"/>
    <mergeCell ref="AA4:AB4"/>
    <mergeCell ref="AA5:AB5"/>
    <mergeCell ref="AA6:AA7"/>
    <mergeCell ref="AB6:AB7"/>
    <mergeCell ref="R6:R7"/>
    <mergeCell ref="Z6:Z7"/>
    <mergeCell ref="Q6:Q7"/>
    <mergeCell ref="U6:U7"/>
    <mergeCell ref="W6:W7"/>
    <mergeCell ref="T6:T7"/>
    <mergeCell ref="Y6:Y7"/>
  </mergeCells>
  <conditionalFormatting sqref="E9:AQ35">
    <cfRule type="colorScale" priority="7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horizontalDpi="0" verticalDpi="0"/>
  <ignoredErrors>
    <ignoredError sqref="T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BEEB-1430-AF4E-B46A-390B24A860BB}">
  <dimension ref="A1:AO28"/>
  <sheetViews>
    <sheetView tabSelected="1" zoomScale="80" zoomScaleNormal="80" workbookViewId="0">
      <selection activeCell="V36" sqref="V36"/>
    </sheetView>
  </sheetViews>
  <sheetFormatPr baseColWidth="10" defaultRowHeight="16" x14ac:dyDescent="0.2"/>
  <cols>
    <col min="27" max="27" width="14" bestFit="1" customWidth="1"/>
    <col min="28" max="28" width="16" bestFit="1" customWidth="1"/>
  </cols>
  <sheetData>
    <row r="1" spans="1:41" x14ac:dyDescent="0.2">
      <c r="A1" t="s">
        <v>0</v>
      </c>
      <c r="B1" t="s">
        <v>47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</row>
    <row r="2" spans="1:41" x14ac:dyDescent="0.2">
      <c r="A2" t="s">
        <v>16</v>
      </c>
      <c r="B2" s="2">
        <v>24</v>
      </c>
      <c r="D2">
        <v>0.45980773164246203</v>
      </c>
      <c r="J2">
        <v>0.43660009300000002</v>
      </c>
      <c r="O2">
        <v>0.98674285699999997</v>
      </c>
      <c r="U2">
        <v>0.85914833899999998</v>
      </c>
      <c r="W2">
        <v>0.64985476600000003</v>
      </c>
      <c r="X2">
        <v>0.98045784499999999</v>
      </c>
    </row>
    <row r="3" spans="1:41" x14ac:dyDescent="0.2">
      <c r="A3" t="s">
        <v>17</v>
      </c>
      <c r="B3" s="2">
        <v>18</v>
      </c>
      <c r="D3">
        <v>0.62283642334268297</v>
      </c>
      <c r="H3">
        <v>0.989883662</v>
      </c>
      <c r="O3">
        <v>0.961540952</v>
      </c>
      <c r="U3" s="2"/>
      <c r="V3" s="2"/>
      <c r="W3" s="2">
        <v>0.98947199200000002</v>
      </c>
      <c r="X3" s="2"/>
      <c r="Y3" s="2">
        <v>0.98501768099999998</v>
      </c>
    </row>
    <row r="4" spans="1:41" x14ac:dyDescent="0.2">
      <c r="A4" t="s">
        <v>18</v>
      </c>
      <c r="B4" s="2">
        <v>20</v>
      </c>
      <c r="C4">
        <v>0.52473629499999996</v>
      </c>
      <c r="D4">
        <v>0.98602230483271303</v>
      </c>
      <c r="O4">
        <v>0.99264489600000005</v>
      </c>
      <c r="U4" s="2"/>
      <c r="V4" s="2"/>
      <c r="W4" s="2"/>
      <c r="X4" s="2"/>
      <c r="Y4" s="2"/>
      <c r="Z4">
        <v>0.53752952799999998</v>
      </c>
    </row>
    <row r="5" spans="1:41" x14ac:dyDescent="0.2">
      <c r="A5" t="s">
        <v>19</v>
      </c>
      <c r="B5" s="2">
        <v>19</v>
      </c>
      <c r="D5">
        <v>0.35964287670482498</v>
      </c>
      <c r="O5">
        <v>0.99076044299999999</v>
      </c>
      <c r="U5" s="2"/>
      <c r="V5" s="2"/>
      <c r="W5" s="2"/>
      <c r="X5" s="2"/>
      <c r="Y5">
        <v>0.98057208399999995</v>
      </c>
      <c r="AO5">
        <v>0.98331193800000005</v>
      </c>
    </row>
    <row r="6" spans="1:41" x14ac:dyDescent="0.2">
      <c r="A6" t="s">
        <v>20</v>
      </c>
      <c r="B6" s="2">
        <v>12</v>
      </c>
      <c r="D6">
        <v>0</v>
      </c>
      <c r="O6">
        <v>0.99421654299999995</v>
      </c>
      <c r="U6" s="2"/>
      <c r="V6" s="2"/>
      <c r="W6" s="2"/>
      <c r="X6" s="2"/>
      <c r="Y6">
        <v>0.50064139100000005</v>
      </c>
    </row>
    <row r="7" spans="1:41" x14ac:dyDescent="0.2">
      <c r="A7" t="s">
        <v>21</v>
      </c>
      <c r="B7" s="2">
        <v>14</v>
      </c>
      <c r="D7">
        <v>0</v>
      </c>
      <c r="N7">
        <v>0.72665036699999996</v>
      </c>
      <c r="O7">
        <v>0.97638957199999998</v>
      </c>
      <c r="U7" s="2"/>
      <c r="V7" s="2">
        <v>0.99203187299999995</v>
      </c>
      <c r="W7" s="2"/>
      <c r="X7" s="2"/>
    </row>
    <row r="8" spans="1:41" x14ac:dyDescent="0.2">
      <c r="A8" t="s">
        <v>22</v>
      </c>
      <c r="B8" s="2">
        <v>20</v>
      </c>
      <c r="D8">
        <v>0</v>
      </c>
      <c r="U8" s="2"/>
      <c r="V8" s="2"/>
      <c r="W8" s="2"/>
      <c r="X8" s="2"/>
      <c r="AE8">
        <v>0.74448612870080499</v>
      </c>
      <c r="AG8">
        <v>0.91031401499999998</v>
      </c>
    </row>
    <row r="9" spans="1:41" x14ac:dyDescent="0.2">
      <c r="A9" t="s">
        <v>23</v>
      </c>
      <c r="B9" s="2">
        <v>17</v>
      </c>
      <c r="D9">
        <v>0</v>
      </c>
      <c r="U9" s="2"/>
      <c r="V9" s="2"/>
      <c r="W9" s="2"/>
      <c r="X9" s="2"/>
    </row>
    <row r="10" spans="1:41" x14ac:dyDescent="0.2">
      <c r="A10" t="s">
        <v>24</v>
      </c>
      <c r="B10" s="2">
        <v>21</v>
      </c>
      <c r="D10">
        <v>0.90900952746339203</v>
      </c>
      <c r="N10">
        <v>0.99463251600000002</v>
      </c>
      <c r="O10">
        <v>0.98891682999999997</v>
      </c>
      <c r="U10" s="2"/>
      <c r="V10" s="2"/>
      <c r="W10" s="2"/>
      <c r="X10" s="2"/>
      <c r="AA10">
        <v>0.51396703679729105</v>
      </c>
    </row>
    <row r="11" spans="1:41" x14ac:dyDescent="0.2">
      <c r="A11" t="s">
        <v>25</v>
      </c>
      <c r="B11" s="2">
        <v>22</v>
      </c>
      <c r="D11">
        <v>0.990522422561257</v>
      </c>
      <c r="O11">
        <v>0.98950617299999999</v>
      </c>
      <c r="U11" s="2"/>
      <c r="V11" s="2"/>
      <c r="W11" s="2"/>
      <c r="X11" s="2"/>
      <c r="Y11">
        <v>0.98684210500000002</v>
      </c>
      <c r="AM11">
        <v>0.62802821200000003</v>
      </c>
    </row>
    <row r="12" spans="1:41" x14ac:dyDescent="0.2">
      <c r="A12" t="s">
        <v>26</v>
      </c>
      <c r="B12" s="2">
        <v>19</v>
      </c>
      <c r="D12">
        <v>0.82706766917293195</v>
      </c>
      <c r="O12">
        <v>0.98607242299999998</v>
      </c>
      <c r="U12" s="2"/>
      <c r="V12" s="2"/>
      <c r="W12" s="2"/>
      <c r="X12" s="2"/>
      <c r="Y12">
        <v>0.94694244599999999</v>
      </c>
    </row>
    <row r="13" spans="1:41" x14ac:dyDescent="0.2">
      <c r="A13" t="s">
        <v>27</v>
      </c>
      <c r="B13" s="2">
        <v>9</v>
      </c>
      <c r="D13">
        <v>0</v>
      </c>
      <c r="N13">
        <v>0.36007326000000001</v>
      </c>
      <c r="O13">
        <v>0.98950917900000002</v>
      </c>
      <c r="U13" s="2"/>
      <c r="V13" s="2"/>
      <c r="W13" s="2"/>
      <c r="X13" s="2"/>
    </row>
    <row r="14" spans="1:41" x14ac:dyDescent="0.2">
      <c r="A14" t="s">
        <v>28</v>
      </c>
      <c r="B14" s="2">
        <v>20</v>
      </c>
      <c r="D14">
        <v>0</v>
      </c>
      <c r="S14">
        <v>0.96701495599999998</v>
      </c>
      <c r="U14" s="2"/>
      <c r="V14" s="2"/>
      <c r="W14" s="2"/>
      <c r="X14" s="2"/>
      <c r="AI14">
        <v>0.50243483200000005</v>
      </c>
      <c r="AJ14">
        <v>0.99425837320574095</v>
      </c>
      <c r="AL14">
        <v>0.57070856804032</v>
      </c>
    </row>
    <row r="15" spans="1:41" x14ac:dyDescent="0.2">
      <c r="A15" t="s">
        <v>29</v>
      </c>
      <c r="B15" s="2">
        <v>24</v>
      </c>
      <c r="D15">
        <v>0.75439043013489404</v>
      </c>
      <c r="N15">
        <v>0.54122669099999998</v>
      </c>
      <c r="O15">
        <v>0.91919653000000001</v>
      </c>
      <c r="U15" s="2"/>
      <c r="V15" s="2"/>
      <c r="W15" s="2"/>
      <c r="X15" s="2"/>
    </row>
    <row r="16" spans="1:41" x14ac:dyDescent="0.2">
      <c r="A16" t="s">
        <v>30</v>
      </c>
      <c r="B16" s="2">
        <v>24</v>
      </c>
      <c r="D16">
        <v>0.99510869565217397</v>
      </c>
      <c r="O16">
        <v>0.992021759</v>
      </c>
      <c r="U16" s="2"/>
      <c r="V16" s="2"/>
      <c r="W16" s="2"/>
      <c r="X16" s="2"/>
      <c r="Y16">
        <v>0.994940202</v>
      </c>
    </row>
    <row r="17" spans="1:40" x14ac:dyDescent="0.2">
      <c r="A17" t="s">
        <v>31</v>
      </c>
      <c r="B17" s="2">
        <v>13</v>
      </c>
      <c r="D17">
        <v>0</v>
      </c>
      <c r="N17">
        <v>0.34806783400000002</v>
      </c>
      <c r="Q17">
        <v>0.75743425903170303</v>
      </c>
      <c r="R17">
        <v>0.23322683699999999</v>
      </c>
      <c r="U17" s="2"/>
      <c r="V17" s="2"/>
      <c r="W17" s="2"/>
      <c r="X17" s="2"/>
    </row>
    <row r="18" spans="1:40" x14ac:dyDescent="0.2">
      <c r="A18" t="s">
        <v>32</v>
      </c>
      <c r="B18" s="2">
        <v>22</v>
      </c>
      <c r="D18">
        <v>0.34073441502988899</v>
      </c>
      <c r="N18">
        <v>0.25269377799999998</v>
      </c>
      <c r="O18">
        <v>0.22903672899999999</v>
      </c>
      <c r="Q18">
        <v>0.58045292000000004</v>
      </c>
      <c r="U18" s="2"/>
      <c r="V18" s="2"/>
      <c r="W18" s="2"/>
      <c r="X18" s="2"/>
      <c r="Y18">
        <v>0.30608695699999999</v>
      </c>
    </row>
    <row r="19" spans="1:40" x14ac:dyDescent="0.2">
      <c r="A19" t="s">
        <v>33</v>
      </c>
      <c r="B19" s="2">
        <v>24</v>
      </c>
      <c r="D19">
        <v>0</v>
      </c>
      <c r="E19">
        <v>0.93338408799999995</v>
      </c>
      <c r="G19">
        <v>0.99269005799999999</v>
      </c>
      <c r="M19">
        <v>0.97008547008546997</v>
      </c>
      <c r="U19" s="2"/>
      <c r="V19" s="2"/>
      <c r="W19" s="2"/>
      <c r="X19" s="2"/>
      <c r="AA19">
        <v>0.97626803164262399</v>
      </c>
      <c r="AE19">
        <v>0.99529190199999995</v>
      </c>
    </row>
    <row r="20" spans="1:40" x14ac:dyDescent="0.2">
      <c r="A20" t="s">
        <v>34</v>
      </c>
      <c r="B20" s="2">
        <v>15</v>
      </c>
      <c r="D20">
        <v>0</v>
      </c>
      <c r="F20">
        <v>0.96349614400000005</v>
      </c>
      <c r="O20">
        <v>0.99278954500000005</v>
      </c>
      <c r="U20" s="2"/>
      <c r="V20" s="2"/>
      <c r="W20" s="2"/>
      <c r="X20" s="2"/>
      <c r="AC20">
        <v>0.99622641499999998</v>
      </c>
      <c r="AF20">
        <v>0.99686716799999997</v>
      </c>
      <c r="AK20">
        <v>0.99608958407394199</v>
      </c>
    </row>
    <row r="21" spans="1:40" x14ac:dyDescent="0.2">
      <c r="A21" t="s">
        <v>35</v>
      </c>
      <c r="B21" s="2">
        <v>9</v>
      </c>
      <c r="D21">
        <v>0</v>
      </c>
      <c r="AB21">
        <v>0.98062015499999999</v>
      </c>
      <c r="AD21">
        <v>0.94405594405594395</v>
      </c>
      <c r="AG21">
        <v>0.98179059199999996</v>
      </c>
    </row>
    <row r="22" spans="1:40" x14ac:dyDescent="0.2">
      <c r="A22" t="s">
        <v>36</v>
      </c>
      <c r="B22" s="2">
        <v>25</v>
      </c>
      <c r="D22">
        <v>0.86976744186046495</v>
      </c>
      <c r="J22">
        <v>0.48985801200000001</v>
      </c>
      <c r="O22">
        <v>0.87327188899999997</v>
      </c>
      <c r="W22">
        <v>0.22915416899999999</v>
      </c>
      <c r="Y22">
        <v>0.99687744</v>
      </c>
    </row>
    <row r="23" spans="1:40" x14ac:dyDescent="0.2">
      <c r="A23" t="s">
        <v>37</v>
      </c>
      <c r="B23" s="2">
        <v>22</v>
      </c>
      <c r="D23">
        <v>0</v>
      </c>
      <c r="I23">
        <v>0.95811965811965805</v>
      </c>
      <c r="L23">
        <v>0.74307095300000003</v>
      </c>
      <c r="P23">
        <v>0.18785850900000001</v>
      </c>
      <c r="AH23">
        <v>0.68650871400000002</v>
      </c>
    </row>
    <row r="24" spans="1:40" x14ac:dyDescent="0.2">
      <c r="A24" t="s">
        <v>38</v>
      </c>
      <c r="B24" s="2">
        <v>26</v>
      </c>
      <c r="D24">
        <v>0.97145256087321596</v>
      </c>
      <c r="N24">
        <v>0.99510227600000001</v>
      </c>
      <c r="O24">
        <v>0.99194244600000003</v>
      </c>
      <c r="T24">
        <v>0.395877378</v>
      </c>
      <c r="AA24">
        <v>0.64741345800000005</v>
      </c>
    </row>
    <row r="25" spans="1:40" x14ac:dyDescent="0.2">
      <c r="A25" t="s">
        <v>39</v>
      </c>
      <c r="B25" s="2">
        <v>18</v>
      </c>
      <c r="D25">
        <v>0.13243761996161199</v>
      </c>
      <c r="O25">
        <v>0.96565656600000005</v>
      </c>
      <c r="T25">
        <v>0.33206106899999999</v>
      </c>
      <c r="Y25">
        <v>0.9296875</v>
      </c>
    </row>
    <row r="26" spans="1:40" x14ac:dyDescent="0.2">
      <c r="A26" t="s">
        <v>40</v>
      </c>
      <c r="B26" s="2">
        <v>20</v>
      </c>
      <c r="D26">
        <v>0.99701937406855401</v>
      </c>
      <c r="N26">
        <v>0.99570200600000003</v>
      </c>
      <c r="O26">
        <v>0.98994252900000002</v>
      </c>
      <c r="AA26">
        <v>0.99517491000000002</v>
      </c>
    </row>
    <row r="27" spans="1:40" x14ac:dyDescent="0.2">
      <c r="A27" t="s">
        <v>41</v>
      </c>
      <c r="B27" s="2">
        <v>26</v>
      </c>
      <c r="D27">
        <v>0.42832764505119397</v>
      </c>
      <c r="K27">
        <v>0.45407662100000001</v>
      </c>
      <c r="O27">
        <v>0.610504202</v>
      </c>
      <c r="X27">
        <v>0.57604823199999999</v>
      </c>
    </row>
    <row r="28" spans="1:40" x14ac:dyDescent="0.2">
      <c r="A28" t="s">
        <v>42</v>
      </c>
      <c r="B28" s="2">
        <v>15</v>
      </c>
      <c r="D28">
        <v>0</v>
      </c>
      <c r="N28">
        <v>0.32761765799999998</v>
      </c>
      <c r="O28">
        <v>0.99505256600000003</v>
      </c>
      <c r="AN28">
        <v>0.99482248500000003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Haplotypes 1</vt:lpstr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2025-01-03T16:45:12Z</dcterms:modified>
</cp:coreProperties>
</file>