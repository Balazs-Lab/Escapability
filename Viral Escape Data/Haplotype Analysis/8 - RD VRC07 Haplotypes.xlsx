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C5EE0488-4E9E-044A-9BA9-4A25F2C33EA2}" xr6:coauthVersionLast="47" xr6:coauthVersionMax="47" xr10:uidLastSave="{00000000-0000-0000-0000-000000000000}"/>
  <bookViews>
    <workbookView xWindow="22340" yWindow="500" windowWidth="44100" windowHeight="29500" activeTab="1" xr2:uid="{CDFADA51-DCBB-AC4A-9D9F-F2B80D10B122}"/>
  </bookViews>
  <sheets>
    <sheet name="RV Haplotypes Edited" sheetId="12" r:id="rId1"/>
    <sheet name="RD Haplotypes" sheetId="5" r:id="rId2"/>
    <sheet name="RV Hap Count" sheetId="20" r:id="rId3"/>
    <sheet name="RV Escape Paths" sheetId="18" r:id="rId4"/>
    <sheet name="RD Raw 0.1" sheetId="9" r:id="rId5"/>
    <sheet name="survival" sheetId="15" r:id="rId6"/>
    <sheet name="Expression" sheetId="17" r:id="rId7"/>
    <sheet name="RV Survival Analysis" sheetId="16" r:id="rId8"/>
    <sheet name="sequencing metadata" sheetId="19" r:id="rId9"/>
  </sheets>
  <definedNames>
    <definedName name="_xlnm._FilterDatabase" localSheetId="1" hidden="1">'RD Haplotypes'!$A$10:$BU$31</definedName>
    <definedName name="_xlnm._FilterDatabase" localSheetId="4" hidden="1">'RD Raw 0.1'!$A$1:$AB$894</definedName>
    <definedName name="_xlnm._FilterDatabase" localSheetId="0" hidden="1">'RV Haplotypes Edited'!$C$10:$Z$10</definedName>
    <definedName name="_xlnm._FilterDatabase" localSheetId="7" hidden="1">'RV Survival Analysis'!$A$1:$E$1</definedName>
    <definedName name="_xlnm._FilterDatabase" localSheetId="5" hidden="1">survival!$A$1:$F$1</definedName>
  </definedNames>
  <calcPr calcId="191029"/>
  <pivotCaches>
    <pivotCache cacheId="3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0" i="9" l="1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AJ13" i="5" l="1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B11" i="16" l="1"/>
  <c r="B10" i="16"/>
  <c r="B9" i="16"/>
  <c r="B8" i="16"/>
  <c r="B7" i="16"/>
  <c r="B6" i="16"/>
  <c r="B5" i="16"/>
  <c r="B4" i="16"/>
  <c r="B3" i="16"/>
  <c r="B2" i="16"/>
  <c r="D19" i="12"/>
  <c r="D18" i="12"/>
  <c r="D17" i="12"/>
  <c r="D16" i="12"/>
  <c r="D15" i="12"/>
  <c r="D14" i="12"/>
  <c r="D13" i="12"/>
  <c r="D12" i="12"/>
  <c r="D11" i="12"/>
  <c r="B16" i="12"/>
  <c r="B19" i="12"/>
  <c r="B11" i="12"/>
  <c r="E15" i="12"/>
  <c r="E14" i="12"/>
  <c r="E13" i="12"/>
  <c r="E12" i="5"/>
  <c r="E12" i="12" s="1"/>
  <c r="E11" i="5"/>
  <c r="E11" i="12" s="1"/>
  <c r="E18" i="12"/>
  <c r="E17" i="12"/>
  <c r="E16" i="12"/>
  <c r="E19" i="12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1" i="5"/>
  <c r="D12" i="5"/>
  <c r="F12" i="5"/>
  <c r="F11" i="5"/>
  <c r="C5" i="18"/>
  <c r="C4" i="18"/>
  <c r="C3" i="18"/>
  <c r="C2" i="18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11" i="5" l="1"/>
  <c r="G12" i="5"/>
  <c r="C11" i="5" l="1"/>
  <c r="C12" i="5"/>
</calcChain>
</file>

<file path=xl/sharedStrings.xml><?xml version="1.0" encoding="utf-8"?>
<sst xmlns="http://schemas.openxmlformats.org/spreadsheetml/2006/main" count="2700" uniqueCount="357">
  <si>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</si>
  <si>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</si>
  <si>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</si>
  <si>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</si>
  <si>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</si>
  <si>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</si>
  <si>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</si>
  <si>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</si>
  <si>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</si>
  <si>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</si>
  <si>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</si>
  <si>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</si>
  <si>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</si>
  <si>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</si>
  <si>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</si>
  <si>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</si>
  <si>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</si>
  <si>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</si>
  <si>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</si>
  <si>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</si>
  <si>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</si>
  <si>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</si>
  <si>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</si>
  <si>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</si>
  <si>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</si>
  <si>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</si>
  <si>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</si>
  <si>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</si>
  <si>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</si>
  <si>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</si>
  <si>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</si>
  <si>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</si>
  <si>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</si>
  <si>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</si>
  <si>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</si>
  <si>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</si>
  <si>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</si>
  <si>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</si>
  <si>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</si>
  <si>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</si>
  <si>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</si>
  <si>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</si>
  <si>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</si>
  <si>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</si>
  <si>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</si>
  <si>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</si>
  <si>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</si>
  <si>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</si>
  <si>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</si>
  <si>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Expression</t>
  </si>
  <si>
    <t>Escape Path</t>
  </si>
  <si>
    <t>Other</t>
  </si>
  <si>
    <t>Escape Path + ID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</si>
  <si>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</si>
  <si>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</si>
  <si>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</si>
  <si>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</si>
  <si>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</si>
  <si>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</si>
  <si>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</si>
  <si>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</si>
  <si>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</si>
  <si>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</si>
  <si>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</si>
  <si>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</si>
  <si>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</si>
  <si>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</si>
  <si>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</si>
  <si>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</si>
  <si>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</si>
  <si>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</si>
  <si>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</si>
  <si>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</si>
  <si>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</si>
  <si>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Score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</si>
  <si>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</si>
  <si>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</si>
  <si>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</si>
  <si>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</si>
  <si>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</si>
  <si>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</si>
  <si>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</si>
  <si>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</si>
  <si>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</si>
  <si>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</si>
  <si>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</si>
  <si>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</si>
  <si>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</si>
  <si>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</si>
  <si>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</si>
  <si>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</si>
  <si>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</si>
  <si>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</si>
  <si>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</si>
  <si>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</si>
  <si>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</si>
  <si>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</si>
  <si>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</si>
  <si>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</si>
  <si>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</si>
  <si>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</si>
  <si>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</si>
  <si>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</si>
  <si>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</si>
  <si>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</si>
  <si>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</si>
  <si>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</si>
  <si>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</si>
  <si>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</si>
  <si>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</si>
  <si>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</si>
  <si>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</si>
  <si>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</si>
  <si>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</si>
  <si>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</si>
  <si>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</si>
  <si>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</si>
  <si>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</si>
  <si>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</si>
  <si>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</si>
  <si>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</si>
  <si>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</si>
  <si>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</si>
  <si>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</si>
  <si>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</si>
  <si>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</si>
  <si>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</si>
  <si>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</si>
  <si>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</si>
  <si>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</si>
  <si>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</si>
  <si>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</si>
  <si>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</si>
  <si>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</si>
  <si>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</si>
  <si>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</si>
  <si>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</si>
  <si>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</si>
  <si>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</si>
  <si>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</si>
  <si>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</si>
  <si>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</si>
  <si>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</si>
  <si>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</si>
  <si>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</si>
  <si>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</si>
  <si>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</si>
  <si>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</si>
  <si>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</si>
  <si>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</si>
  <si>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</si>
  <si>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</si>
  <si>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</si>
  <si>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</si>
  <si>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</si>
  <si>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</si>
  <si>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</si>
  <si>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</si>
  <si>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</si>
  <si>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</si>
  <si>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</si>
  <si>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</si>
  <si>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</si>
  <si>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</si>
  <si>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</si>
  <si>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</si>
  <si>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</si>
  <si>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</si>
  <si>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</si>
  <si>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</si>
  <si>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</si>
  <si>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</si>
  <si>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</si>
  <si>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</si>
  <si>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</si>
  <si>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</si>
  <si>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</si>
  <si>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</si>
  <si>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</si>
  <si>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</si>
  <si>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</si>
  <si>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</si>
  <si>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</si>
  <si>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</si>
  <si>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</si>
  <si>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</si>
  <si>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</si>
  <si>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</si>
  <si>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</si>
  <si>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</si>
  <si>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</si>
  <si>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</si>
  <si>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</si>
  <si>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</si>
  <si>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</si>
  <si>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</si>
  <si>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</si>
  <si>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</si>
  <si>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</si>
  <si>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</si>
  <si>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</si>
  <si>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</si>
  <si>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</si>
  <si>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</si>
  <si>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</si>
  <si>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</si>
  <si>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</si>
  <si>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</si>
  <si>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</si>
  <si>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</si>
  <si>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</si>
  <si>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</si>
  <si>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</si>
  <si>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</si>
  <si>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</si>
  <si>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</si>
  <si>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</si>
  <si>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</si>
  <si>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</si>
  <si>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</si>
  <si>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</si>
  <si>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</si>
  <si>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</si>
  <si>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</si>
  <si>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</si>
  <si>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</si>
  <si>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</si>
  <si>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</si>
  <si>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</si>
  <si>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</si>
  <si>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</si>
  <si>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</si>
  <si>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</si>
  <si>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</si>
  <si>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</si>
  <si>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</si>
  <si>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</si>
  <si>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</si>
  <si>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</si>
  <si>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</si>
  <si>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</si>
  <si>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</si>
  <si>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</si>
  <si>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</si>
  <si>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</si>
  <si>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</si>
  <si>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</si>
  <si>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</si>
  <si>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</si>
  <si>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</si>
  <si>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</si>
  <si>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</si>
  <si>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</si>
  <si>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</si>
  <si>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</si>
  <si>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</si>
  <si>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</si>
  <si>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</si>
  <si>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</si>
  <si>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</si>
  <si>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</si>
  <si>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</si>
  <si>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</si>
  <si>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</si>
  <si>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</si>
  <si>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</si>
  <si>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</si>
  <si>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</si>
  <si>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</si>
  <si>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</si>
  <si>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</si>
  <si>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</si>
  <si>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</si>
  <si>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</si>
  <si>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</si>
  <si>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</si>
  <si>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</si>
  <si>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</si>
  <si>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</si>
  <si>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</si>
  <si>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</si>
  <si>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</si>
  <si>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</si>
  <si>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</si>
  <si>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</si>
  <si>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</si>
  <si>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</si>
  <si>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</si>
  <si>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</si>
  <si>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</si>
  <si>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</si>
  <si>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</si>
  <si>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</si>
  <si>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</si>
  <si>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</si>
  <si>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</si>
  <si>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</si>
  <si>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</si>
  <si>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</si>
  <si>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</si>
  <si>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</si>
  <si>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</si>
  <si>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</si>
  <si>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</si>
  <si>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</si>
  <si>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</si>
  <si>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</si>
  <si>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</si>
  <si>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</si>
  <si>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</si>
  <si>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</si>
  <si>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</si>
  <si>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</si>
  <si>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</si>
  <si>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</si>
  <si>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</si>
  <si>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</si>
  <si>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</si>
  <si>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</si>
  <si>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</si>
  <si>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</si>
  <si>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</si>
  <si>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</si>
  <si>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</si>
  <si>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Time of Sequencing</t>
  </si>
  <si>
    <t>sample</t>
  </si>
  <si>
    <t>week</t>
  </si>
  <si>
    <t>Time After Escape</t>
  </si>
  <si>
    <t>Geometric Mean Expression (mg/ml)</t>
  </si>
  <si>
    <t>Time to Escape (Weeks)</t>
  </si>
  <si>
    <t>Sample ID</t>
  </si>
  <si>
    <t>HXB2 Pos</t>
  </si>
  <si>
    <t>WT AA</t>
  </si>
  <si>
    <t>Mut AA</t>
  </si>
  <si>
    <t>Count of Escape Path</t>
  </si>
  <si>
    <t>Count of Escape Path2</t>
  </si>
  <si>
    <t>CD50-m161</t>
  </si>
  <si>
    <t>CD50-m163</t>
  </si>
  <si>
    <t>CD50-m166</t>
  </si>
  <si>
    <t>CD50-m167</t>
  </si>
  <si>
    <t>CD50-m168</t>
  </si>
  <si>
    <t>CD50-m169</t>
  </si>
  <si>
    <t>CD50-m170</t>
  </si>
  <si>
    <t>CD50-m172</t>
  </si>
  <si>
    <t>CD50-m175</t>
  </si>
  <si>
    <t>CD50-m176</t>
  </si>
  <si>
    <t>D279A</t>
  </si>
  <si>
    <t>D279K</t>
  </si>
  <si>
    <t>D279H</t>
  </si>
  <si>
    <t>A: D279A</t>
  </si>
  <si>
    <t>RV Pos</t>
  </si>
  <si>
    <t>(blank)</t>
  </si>
  <si>
    <t>CD50-m151</t>
  </si>
  <si>
    <t>CD50-m152</t>
  </si>
  <si>
    <t>DEL</t>
  </si>
  <si>
    <t>RD_aa</t>
  </si>
  <si>
    <t>464b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</si>
</sst>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9" fontId="5" fillId="0" borderId="0" xfId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/>
    <xf numFmtId="0" fontId="12" fillId="0" borderId="8" xfId="0" applyFont="1" applyBorder="1"/>
    <xf numFmtId="1" fontId="12" fillId="0" borderId="2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9" fontId="0" fillId="0" borderId="0" xfId="1" applyFont="1"/>
    <xf numFmtId="0" fontId="13" fillId="0" borderId="10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9" fontId="12" fillId="0" borderId="0" xfId="1" applyFont="1" applyBorder="1"/>
    <xf numFmtId="9" fontId="12" fillId="0" borderId="2" xfId="1" applyFont="1" applyBorder="1"/>
    <xf numFmtId="9" fontId="12" fillId="0" borderId="3" xfId="1" applyFont="1" applyBorder="1"/>
    <xf numFmtId="9" fontId="12" fillId="0" borderId="5" xfId="1" applyFont="1" applyBorder="1"/>
    <xf numFmtId="9" fontId="12" fillId="0" borderId="8" xfId="1" applyFont="1" applyBorder="1"/>
    <xf numFmtId="9" fontId="12" fillId="0" borderId="9" xfId="1" applyFont="1" applyBorder="1"/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/>
    <xf numFmtId="1" fontId="12" fillId="0" borderId="12" xfId="0" applyNumberFormat="1" applyFont="1" applyBorder="1" applyAlignment="1">
      <alignment horizontal="center"/>
    </xf>
    <xf numFmtId="9" fontId="12" fillId="0" borderId="12" xfId="1" applyFont="1" applyBorder="1"/>
    <xf numFmtId="9" fontId="12" fillId="0" borderId="13" xfId="1" applyFont="1" applyBorder="1"/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40.554238657409" createdVersion="8" refreshedVersion="8" minRefreshableVersion="3" recordCount="20" xr:uid="{31C3EBB8-C770-7141-AA18-9FE84EEB2983}">
  <cacheSource type="worksheet">
    <worksheetSource ref="A10:G30" sheet="RD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8">
        <s v="A: D279A"/>
        <m/>
        <s v="B: D279K" u="1"/>
        <s v="C: D279H" u="1"/>
        <s v="A: D279A + N460D" u="1"/>
        <s v="B: D279A + N276D" u="1"/>
        <s v="C: D279A + Other" u="1"/>
        <s v="D: Other" u="1"/>
      </sharedItems>
    </cacheField>
    <cacheField name="Geometric Mean Expression (mg/ml)" numFmtId="1">
      <sharedItems containsString="0" containsBlank="1" containsNumber="1" minValue="64.163600000000002" maxValue="65.427400000000006"/>
    </cacheField>
    <cacheField name="Time to Escape (Weeks)" numFmtId="1">
      <sharedItems containsBlank="1"/>
    </cacheField>
    <cacheField name="Time of Sequencing" numFmtId="1">
      <sharedItems containsBlank="1"/>
    </cacheField>
    <cacheField name="Time After Escape" numFmtId="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D50-m151"/>
    <s v="A"/>
    <x v="0"/>
    <n v="64.163600000000002"/>
    <e v="#N/A"/>
    <e v="#N/A"/>
    <e v="#N/A"/>
  </r>
  <r>
    <s v="CD50-m152"/>
    <s v="A"/>
    <x v="0"/>
    <n v="65.427400000000006"/>
    <e v="#N/A"/>
    <e v="#N/A"/>
    <e v="#N/A"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  <r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6BFE-8E49-864B-B52A-365F678C80EC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showAll="0"/>
    <pivotField showAll="0"/>
    <pivotField axis="axisRow" dataField="1" showAll="0">
      <items count="9">
        <item m="1" x="4"/>
        <item m="1" x="5"/>
        <item m="1" x="6"/>
        <item m="1" x="7"/>
        <item x="0"/>
        <item m="1" x="2"/>
        <item m="1" x="3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3">
    <i>
      <x v="4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1">
    <format dxfId="1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H38"/>
  <sheetViews>
    <sheetView showGridLines="0" zoomScale="124" zoomScaleNormal="124" workbookViewId="0">
      <selection activeCell="B8" sqref="B7:I19"/>
    </sheetView>
  </sheetViews>
  <sheetFormatPr baseColWidth="10" defaultRowHeight="16"/>
  <cols>
    <col min="2" max="2" width="21.6640625" customWidth="1"/>
    <col min="3" max="3" width="16.6640625" bestFit="1" customWidth="1"/>
    <col min="4" max="4" width="13.6640625" customWidth="1"/>
    <col min="5" max="5" width="10.1640625" bestFit="1" customWidth="1"/>
    <col min="6" max="6" width="18.33203125" bestFit="1" customWidth="1"/>
    <col min="7" max="9" width="8.1640625" bestFit="1" customWidth="1"/>
    <col min="10" max="10" width="9.1640625" bestFit="1" customWidth="1"/>
    <col min="11" max="11" width="9" customWidth="1"/>
    <col min="12" max="17" width="9.1640625" bestFit="1" customWidth="1"/>
  </cols>
  <sheetData>
    <row r="2" spans="2:14" ht="19">
      <c r="K2" s="9"/>
    </row>
    <row r="3" spans="2:14" ht="19">
      <c r="K3" s="9"/>
      <c r="L3" s="1"/>
      <c r="M3" s="1"/>
      <c r="N3" s="1"/>
    </row>
    <row r="4" spans="2:14" ht="19">
      <c r="K4" s="9"/>
      <c r="L4" s="1"/>
      <c r="M4" s="1"/>
      <c r="N4" s="1"/>
    </row>
    <row r="5" spans="2:14">
      <c r="L5" s="1"/>
      <c r="M5" s="1"/>
      <c r="N5" s="1"/>
    </row>
    <row r="6" spans="2:14">
      <c r="L6" s="1"/>
      <c r="M6" s="1"/>
      <c r="N6" s="1"/>
    </row>
    <row r="7" spans="2:14" ht="21" customHeight="1">
      <c r="B7" s="25"/>
      <c r="C7" s="25"/>
      <c r="D7" s="51" t="s">
        <v>328</v>
      </c>
      <c r="E7" s="51" t="s">
        <v>329</v>
      </c>
      <c r="F7" s="31" t="s">
        <v>350</v>
      </c>
      <c r="G7" s="47">
        <v>280</v>
      </c>
      <c r="H7" s="47"/>
      <c r="I7" s="47"/>
    </row>
    <row r="8" spans="2:14" ht="21" customHeight="1">
      <c r="B8" s="51" t="s">
        <v>50</v>
      </c>
      <c r="C8" s="51" t="s">
        <v>330</v>
      </c>
      <c r="D8" s="51"/>
      <c r="E8" s="51"/>
      <c r="F8" s="32" t="s">
        <v>331</v>
      </c>
      <c r="G8" s="47">
        <v>279</v>
      </c>
      <c r="H8" s="47"/>
      <c r="I8" s="47"/>
    </row>
    <row r="9" spans="2:14" ht="19" customHeight="1">
      <c r="B9" s="51"/>
      <c r="C9" s="51"/>
      <c r="D9" s="51"/>
      <c r="E9" s="51"/>
      <c r="F9" s="32" t="s">
        <v>332</v>
      </c>
      <c r="G9" s="47" t="s">
        <v>5</v>
      </c>
      <c r="H9" s="47"/>
      <c r="I9" s="47"/>
    </row>
    <row r="10" spans="2:14" ht="21" customHeight="1" thickBot="1">
      <c r="B10" s="51"/>
      <c r="C10" s="51"/>
      <c r="D10" s="51"/>
      <c r="E10" s="51"/>
      <c r="F10" s="33" t="s">
        <v>333</v>
      </c>
      <c r="G10" s="34" t="s">
        <v>1</v>
      </c>
      <c r="H10" s="34" t="s">
        <v>8</v>
      </c>
      <c r="I10" s="34" t="s">
        <v>9</v>
      </c>
    </row>
    <row r="11" spans="2:14" ht="21" customHeight="1">
      <c r="B11" s="48" t="e">
        <f>VLOOKUP($C11,'RD Haplotypes'!$A$10:$BR$30,3,FALSE)</f>
        <v>#N/A</v>
      </c>
      <c r="C11" s="26" t="s">
        <v>340</v>
      </c>
      <c r="D11" s="28" t="e">
        <f>VLOOKUP($C11,'RD Haplotypes'!$A$10:$BR$30,4,FALSE)</f>
        <v>#N/A</v>
      </c>
      <c r="E11" s="28" t="e">
        <f>VLOOKUP($C11,'RD Haplotypes'!$A$10:$BR$30,5,FALSE)</f>
        <v>#N/A</v>
      </c>
      <c r="F11" s="26"/>
      <c r="G11" s="37">
        <v>0.84979716024340701</v>
      </c>
      <c r="H11" s="37">
        <v>0</v>
      </c>
      <c r="I11" s="38">
        <v>0.14645030425963401</v>
      </c>
    </row>
    <row r="12" spans="2:14" ht="21" customHeight="1">
      <c r="B12" s="49"/>
      <c r="C12" s="25" t="s">
        <v>339</v>
      </c>
      <c r="D12" s="35" t="e">
        <f>VLOOKUP($C12,'RD Haplotypes'!$A$10:$BR$30,4,FALSE)</f>
        <v>#N/A</v>
      </c>
      <c r="E12" s="35" t="e">
        <f>VLOOKUP($C12,'RD Haplotypes'!$A$10:$BR$30,5,FALSE)</f>
        <v>#N/A</v>
      </c>
      <c r="F12" s="25"/>
      <c r="G12" s="36">
        <v>0.972139044395261</v>
      </c>
      <c r="H12" s="36">
        <v>0</v>
      </c>
      <c r="I12" s="39">
        <v>0</v>
      </c>
    </row>
    <row r="13" spans="2:14" ht="21" customHeight="1">
      <c r="B13" s="49"/>
      <c r="C13" s="25" t="s">
        <v>341</v>
      </c>
      <c r="D13" s="35" t="e">
        <f>VLOOKUP($C13,'RD Haplotypes'!$A$10:$BR$30,4,FALSE)</f>
        <v>#N/A</v>
      </c>
      <c r="E13" s="35" t="e">
        <f>VLOOKUP($C13,'RD Haplotypes'!$A$10:$BR$30,5,FALSE)</f>
        <v>#N/A</v>
      </c>
      <c r="F13" s="25"/>
      <c r="G13" s="36">
        <v>0.99513626834381497</v>
      </c>
      <c r="H13" s="36">
        <v>0</v>
      </c>
      <c r="I13" s="39">
        <v>0</v>
      </c>
    </row>
    <row r="14" spans="2:14" ht="21" customHeight="1">
      <c r="B14" s="49"/>
      <c r="C14" s="25" t="s">
        <v>337</v>
      </c>
      <c r="D14" s="35" t="e">
        <f>VLOOKUP($C14,'RD Haplotypes'!$A$10:$BR$30,4,FALSE)</f>
        <v>#N/A</v>
      </c>
      <c r="E14" s="35" t="e">
        <f>VLOOKUP($C14,'RD Haplotypes'!$A$10:$BR$30,5,FALSE)</f>
        <v>#N/A</v>
      </c>
      <c r="F14" s="25"/>
      <c r="G14" s="36">
        <v>0.99598939569029898</v>
      </c>
      <c r="H14" s="36">
        <v>0</v>
      </c>
      <c r="I14" s="39">
        <v>0</v>
      </c>
    </row>
    <row r="15" spans="2:14" ht="21" customHeight="1" thickBot="1">
      <c r="B15" s="50"/>
      <c r="C15" s="27" t="s">
        <v>338</v>
      </c>
      <c r="D15" s="29" t="e">
        <f>VLOOKUP($C15,'RD Haplotypes'!$A$10:$BR$30,4,FALSE)</f>
        <v>#N/A</v>
      </c>
      <c r="E15" s="29" t="e">
        <f>VLOOKUP($C15,'RD Haplotypes'!$A$10:$BR$30,5,FALSE)</f>
        <v>#N/A</v>
      </c>
      <c r="F15" s="27"/>
      <c r="G15" s="40">
        <v>0.99651422197434403</v>
      </c>
      <c r="H15" s="40">
        <v>0</v>
      </c>
      <c r="I15" s="41">
        <v>0</v>
      </c>
    </row>
    <row r="16" spans="2:14" ht="21" customHeight="1">
      <c r="B16" s="48" t="e">
        <f>VLOOKUP($C16,'RD Haplotypes'!$A$10:$BR$30,3,FALSE)</f>
        <v>#N/A</v>
      </c>
      <c r="C16" s="26" t="s">
        <v>343</v>
      </c>
      <c r="D16" s="28" t="e">
        <f>VLOOKUP($C16,'RD Haplotypes'!$A$10:$BR$30,4,FALSE)</f>
        <v>#N/A</v>
      </c>
      <c r="E16" s="28" t="e">
        <f>VLOOKUP($C16,'RD Haplotypes'!$A$10:$BR$30,5,FALSE)</f>
        <v>#N/A</v>
      </c>
      <c r="F16" s="26"/>
      <c r="G16" s="37">
        <v>0</v>
      </c>
      <c r="H16" s="37">
        <v>0.99771346909610503</v>
      </c>
      <c r="I16" s="38">
        <v>0</v>
      </c>
    </row>
    <row r="17" spans="2:34" ht="21" customHeight="1">
      <c r="B17" s="49"/>
      <c r="C17" s="25" t="s">
        <v>344</v>
      </c>
      <c r="D17" s="35" t="e">
        <f>VLOOKUP($C17,'RD Haplotypes'!$A$10:$BR$30,4,FALSE)</f>
        <v>#N/A</v>
      </c>
      <c r="E17" s="35" t="e">
        <f>VLOOKUP($C17,'RD Haplotypes'!$A$10:$BR$30,5,FALSE)</f>
        <v>#N/A</v>
      </c>
      <c r="F17" s="25"/>
      <c r="G17" s="36">
        <v>0</v>
      </c>
      <c r="H17" s="36">
        <v>0.99725421401876202</v>
      </c>
      <c r="I17" s="39">
        <v>0</v>
      </c>
      <c r="M17" s="30"/>
      <c r="N17" s="30"/>
      <c r="O17" s="30"/>
    </row>
    <row r="18" spans="2:34" ht="21" customHeight="1" thickBot="1">
      <c r="B18" s="50"/>
      <c r="C18" s="27" t="s">
        <v>345</v>
      </c>
      <c r="D18" s="29" t="e">
        <f>VLOOKUP($C18,'RD Haplotypes'!$A$10:$BR$30,4,FALSE)</f>
        <v>#N/A</v>
      </c>
      <c r="E18" s="29" t="e">
        <f>VLOOKUP($C18,'RD Haplotypes'!$A$10:$BR$30,5,FALSE)</f>
        <v>#N/A</v>
      </c>
      <c r="F18" s="27"/>
      <c r="G18" s="40">
        <v>0</v>
      </c>
      <c r="H18" s="40">
        <v>0.76339042216646602</v>
      </c>
      <c r="I18" s="41">
        <v>0</v>
      </c>
      <c r="M18" s="30"/>
      <c r="N18" s="30"/>
      <c r="O18" s="30"/>
      <c r="AH18" s="4"/>
    </row>
    <row r="19" spans="2:34" ht="21" customHeight="1" thickBot="1">
      <c r="B19" s="42" t="e">
        <f>VLOOKUP($C19,'RD Haplotypes'!$A$10:$BR$30,3,FALSE)</f>
        <v>#N/A</v>
      </c>
      <c r="C19" s="43" t="s">
        <v>336</v>
      </c>
      <c r="D19" s="44" t="e">
        <f>VLOOKUP($C19,'RD Haplotypes'!$A$10:$BR$30,4,FALSE)</f>
        <v>#N/A</v>
      </c>
      <c r="E19" s="44" t="e">
        <f>VLOOKUP($C19,'RD Haplotypes'!$A$10:$BR$30,5,FALSE)</f>
        <v>#N/A</v>
      </c>
      <c r="F19" s="43"/>
      <c r="G19" s="45">
        <v>0</v>
      </c>
      <c r="H19" s="45">
        <v>0</v>
      </c>
      <c r="I19" s="46">
        <v>0.992232004142931</v>
      </c>
      <c r="M19" s="30"/>
      <c r="N19" s="30"/>
      <c r="O19" s="30"/>
      <c r="AH19" s="4"/>
    </row>
    <row r="20" spans="2:34" ht="21" customHeight="1">
      <c r="M20" s="30"/>
      <c r="N20" s="30"/>
      <c r="O20" s="30"/>
      <c r="AH20" s="4"/>
    </row>
    <row r="21" spans="2:34" ht="21" customHeight="1">
      <c r="M21" s="30"/>
      <c r="N21" s="30"/>
      <c r="O21" s="30"/>
      <c r="AH21" s="4"/>
    </row>
    <row r="22" spans="2:34" ht="21" customHeight="1">
      <c r="M22" s="30"/>
      <c r="N22" s="30"/>
      <c r="O22" s="30"/>
      <c r="AH22" s="4"/>
    </row>
    <row r="23" spans="2:34" ht="21" customHeight="1">
      <c r="M23" s="30"/>
      <c r="N23" s="30"/>
      <c r="O23" s="30"/>
      <c r="AH23" s="4"/>
    </row>
    <row r="24" spans="2:34" ht="21" customHeight="1">
      <c r="M24" s="30"/>
      <c r="N24" s="30"/>
      <c r="O24" s="30"/>
    </row>
    <row r="25" spans="2:34" ht="21" customHeight="1">
      <c r="M25" s="30"/>
      <c r="N25" s="30"/>
      <c r="O25" s="30"/>
    </row>
    <row r="26" spans="2:34" ht="21" customHeight="1"/>
    <row r="27" spans="2:34" ht="21" customHeight="1"/>
    <row r="28" spans="2:34" ht="21" customHeight="1"/>
    <row r="29" spans="2:34" ht="21" customHeight="1"/>
    <row r="30" spans="2:34" ht="21" customHeight="1"/>
    <row r="31" spans="2:34" ht="21" customHeight="1"/>
    <row r="32" spans="2:34" ht="21" customHeight="1"/>
    <row r="33" ht="21" customHeight="1"/>
    <row r="34" ht="21" customHeight="1"/>
    <row r="35" ht="21" customHeight="1"/>
    <row r="36" ht="21" customHeight="1"/>
    <row r="37" ht="21" customHeight="1"/>
    <row r="38" ht="19" customHeight="1"/>
  </sheetData>
  <mergeCells count="9">
    <mergeCell ref="G7:I7"/>
    <mergeCell ref="G8:I8"/>
    <mergeCell ref="G9:I9"/>
    <mergeCell ref="B11:B15"/>
    <mergeCell ref="B16:B18"/>
    <mergeCell ref="B8:B10"/>
    <mergeCell ref="D7:D10"/>
    <mergeCell ref="C8:C10"/>
    <mergeCell ref="E7:E10"/>
  </mergeCells>
  <conditionalFormatting sqref="D11:D19">
    <cfRule type="colorScale" priority="6">
      <colorScale>
        <cfvo type="min"/>
        <cfvo type="max"/>
        <color rgb="FFFF7128"/>
        <color rgb="FFFFEF9C"/>
      </colorScale>
    </cfRule>
  </conditionalFormatting>
  <conditionalFormatting sqref="E11:E19">
    <cfRule type="colorScale" priority="5">
      <colorScale>
        <cfvo type="min"/>
        <cfvo type="max"/>
        <color rgb="FFFF7128"/>
        <color rgb="FFFFEF9C"/>
      </colorScale>
    </cfRule>
  </conditionalFormatting>
  <conditionalFormatting sqref="G11:G19">
    <cfRule type="colorScale" priority="3">
      <colorScale>
        <cfvo type="min"/>
        <cfvo type="max"/>
        <color rgb="FFFF7128"/>
        <color rgb="FFFFEF9C"/>
      </colorScale>
    </cfRule>
  </conditionalFormatting>
  <conditionalFormatting sqref="H11:H19">
    <cfRule type="colorScale" priority="2">
      <colorScale>
        <cfvo type="min"/>
        <cfvo type="max"/>
        <color rgb="FFFF7128"/>
        <color rgb="FFFFEF9C"/>
      </colorScale>
    </cfRule>
  </conditionalFormatting>
  <conditionalFormatting sqref="I11:I19">
    <cfRule type="colorScale" priority="1">
      <colorScale>
        <cfvo type="min"/>
        <cfvo type="max"/>
        <color rgb="FFFF7128"/>
        <color rgb="FFFFEF9C"/>
      </colorScale>
    </cfRule>
  </conditionalFormatting>
  <conditionalFormatting sqref="J11:Z12 N26:Z37 B26:M39 J13:L19 P13:Z25 B20:L25">
    <cfRule type="colorScale" priority="35">
      <colorScale>
        <cfvo type="min"/>
        <cfvo type="max"/>
        <color rgb="FFFF7128"/>
        <color rgb="FFFFEF9C"/>
      </colorScale>
    </cfRule>
  </conditionalFormatting>
  <conditionalFormatting sqref="M17:O25">
    <cfRule type="colorScale" priority="4">
      <colorScale>
        <cfvo type="min"/>
        <cfvo type="max"/>
        <color rgb="FFFF7128"/>
        <color rgb="FFFFEF9C"/>
      </colorScale>
    </cfRule>
  </conditionalFormatting>
  <conditionalFormatting sqref="N38:Z38">
    <cfRule type="colorScale" priority="1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BR50"/>
  <sheetViews>
    <sheetView tabSelected="1" zoomScale="96" zoomScaleNormal="96" workbookViewId="0">
      <selection activeCell="T12" sqref="T12"/>
    </sheetView>
  </sheetViews>
  <sheetFormatPr baseColWidth="10" defaultRowHeight="16"/>
  <cols>
    <col min="1" max="1" width="14.5" bestFit="1" customWidth="1"/>
    <col min="2" max="2" width="11.33203125" customWidth="1"/>
    <col min="3" max="3" width="20" bestFit="1" customWidth="1"/>
    <col min="4" max="4" width="9.5" customWidth="1"/>
    <col min="5" max="5" width="17.83203125" customWidth="1"/>
    <col min="6" max="7" width="15.5" customWidth="1"/>
    <col min="8" max="8" width="12" bestFit="1" customWidth="1"/>
    <col min="9" max="19" width="9.1640625" bestFit="1" customWidth="1"/>
    <col min="32" max="32" width="14" bestFit="1" customWidth="1"/>
    <col min="33" max="33" width="16" bestFit="1" customWidth="1"/>
  </cols>
  <sheetData>
    <row r="3" spans="1:70">
      <c r="Z3" s="1"/>
      <c r="AA3" s="1"/>
      <c r="AB3" s="1"/>
      <c r="AC3" s="1"/>
      <c r="AD3" s="1"/>
    </row>
    <row r="4" spans="1:70">
      <c r="Z4" s="1"/>
      <c r="AA4" s="1"/>
      <c r="AB4" s="1"/>
      <c r="AC4" s="1"/>
      <c r="AD4" s="1"/>
    </row>
    <row r="5" spans="1:70">
      <c r="Z5" s="1"/>
      <c r="AA5" s="1"/>
      <c r="AB5" s="1"/>
      <c r="AC5" s="1"/>
    </row>
    <row r="6" spans="1:70">
      <c r="Z6" s="1"/>
      <c r="AA6" s="1"/>
      <c r="AB6" s="1"/>
      <c r="AC6" s="1"/>
    </row>
    <row r="7" spans="1:70" ht="19">
      <c r="A7" s="7"/>
      <c r="B7" s="7"/>
      <c r="C7" s="7"/>
      <c r="D7" s="7"/>
      <c r="E7" s="7"/>
      <c r="F7" s="7"/>
      <c r="G7" s="7"/>
      <c r="H7" t="s">
        <v>53</v>
      </c>
      <c r="I7">
        <v>97</v>
      </c>
      <c r="J7">
        <v>168</v>
      </c>
      <c r="K7">
        <v>168</v>
      </c>
      <c r="L7">
        <v>237</v>
      </c>
      <c r="M7">
        <v>256</v>
      </c>
      <c r="N7">
        <v>260</v>
      </c>
      <c r="O7">
        <v>262</v>
      </c>
      <c r="P7">
        <v>269</v>
      </c>
      <c r="Q7">
        <v>271</v>
      </c>
      <c r="R7">
        <v>276</v>
      </c>
      <c r="S7">
        <v>278</v>
      </c>
      <c r="T7">
        <v>280</v>
      </c>
      <c r="U7">
        <v>282</v>
      </c>
      <c r="V7">
        <v>282</v>
      </c>
      <c r="W7">
        <v>283</v>
      </c>
      <c r="X7">
        <v>283</v>
      </c>
      <c r="Y7">
        <v>284</v>
      </c>
      <c r="Z7">
        <v>288</v>
      </c>
      <c r="AA7">
        <v>292</v>
      </c>
      <c r="AB7">
        <v>453</v>
      </c>
      <c r="AC7">
        <v>473</v>
      </c>
      <c r="AD7">
        <v>477</v>
      </c>
      <c r="AE7">
        <v>489</v>
      </c>
      <c r="AF7">
        <v>502</v>
      </c>
      <c r="AG7">
        <v>650</v>
      </c>
      <c r="AH7">
        <v>667</v>
      </c>
      <c r="AI7">
        <v>761</v>
      </c>
      <c r="AJ7">
        <v>854</v>
      </c>
      <c r="AK7">
        <v>854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pans="1:70" ht="19">
      <c r="A8" s="7"/>
      <c r="B8" s="7"/>
      <c r="C8" s="7"/>
      <c r="D8" s="7"/>
      <c r="E8" s="7"/>
      <c r="F8" s="7"/>
      <c r="G8" s="7"/>
      <c r="H8" t="s">
        <v>54</v>
      </c>
      <c r="I8">
        <v>98</v>
      </c>
      <c r="J8">
        <v>167</v>
      </c>
      <c r="K8">
        <v>167</v>
      </c>
      <c r="L8">
        <v>236</v>
      </c>
      <c r="M8">
        <v>255</v>
      </c>
      <c r="N8">
        <v>259</v>
      </c>
      <c r="O8">
        <v>261</v>
      </c>
      <c r="P8">
        <v>268</v>
      </c>
      <c r="Q8">
        <v>270</v>
      </c>
      <c r="R8">
        <v>275</v>
      </c>
      <c r="S8">
        <v>277</v>
      </c>
      <c r="T8">
        <v>279</v>
      </c>
      <c r="U8">
        <v>281</v>
      </c>
      <c r="V8">
        <v>281</v>
      </c>
      <c r="W8">
        <v>282</v>
      </c>
      <c r="X8">
        <v>282</v>
      </c>
      <c r="Y8">
        <v>283</v>
      </c>
      <c r="Z8">
        <v>287</v>
      </c>
      <c r="AA8">
        <v>291</v>
      </c>
      <c r="AB8">
        <v>455</v>
      </c>
      <c r="AC8">
        <v>474</v>
      </c>
      <c r="AD8">
        <v>478</v>
      </c>
      <c r="AE8">
        <v>490</v>
      </c>
      <c r="AF8">
        <v>503</v>
      </c>
      <c r="AG8">
        <v>651</v>
      </c>
      <c r="AH8">
        <v>668</v>
      </c>
      <c r="AI8">
        <v>762</v>
      </c>
      <c r="AJ8">
        <v>855</v>
      </c>
      <c r="AK8">
        <v>856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pans="1:70" ht="19">
      <c r="A9" s="7"/>
      <c r="B9" s="7"/>
      <c r="C9" s="7"/>
      <c r="D9" s="7"/>
      <c r="E9" s="7"/>
      <c r="F9" s="7"/>
      <c r="G9" s="7"/>
      <c r="H9" t="s">
        <v>355</v>
      </c>
      <c r="I9" t="s">
        <v>7</v>
      </c>
      <c r="J9" t="s">
        <v>5</v>
      </c>
      <c r="K9" t="s">
        <v>5</v>
      </c>
      <c r="L9" t="s">
        <v>2</v>
      </c>
      <c r="M9" t="s">
        <v>44</v>
      </c>
      <c r="N9" t="s">
        <v>40</v>
      </c>
      <c r="O9" t="s">
        <v>40</v>
      </c>
      <c r="P9" t="s">
        <v>5</v>
      </c>
      <c r="Q9" t="s">
        <v>45</v>
      </c>
      <c r="R9" t="s">
        <v>5</v>
      </c>
      <c r="S9" t="s">
        <v>46</v>
      </c>
      <c r="T9" t="s">
        <v>5</v>
      </c>
      <c r="U9" t="s">
        <v>1</v>
      </c>
      <c r="V9" t="s">
        <v>1</v>
      </c>
      <c r="W9" t="s">
        <v>8</v>
      </c>
      <c r="X9" t="s">
        <v>8</v>
      </c>
      <c r="Y9" t="s">
        <v>2</v>
      </c>
      <c r="Z9" t="s">
        <v>9</v>
      </c>
      <c r="AA9" t="s">
        <v>2</v>
      </c>
      <c r="AB9" t="s">
        <v>2</v>
      </c>
      <c r="AC9" t="s">
        <v>5</v>
      </c>
      <c r="AD9" t="s">
        <v>3</v>
      </c>
      <c r="AE9" t="s">
        <v>42</v>
      </c>
      <c r="AF9" t="s">
        <v>10</v>
      </c>
      <c r="AG9" t="s">
        <v>3</v>
      </c>
      <c r="AH9" t="s">
        <v>7</v>
      </c>
      <c r="AI9" t="s">
        <v>7</v>
      </c>
      <c r="AJ9" t="s">
        <v>40</v>
      </c>
      <c r="AK9" t="s">
        <v>40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ht="47" customHeight="1">
      <c r="A10" s="24" t="s">
        <v>0</v>
      </c>
      <c r="B10" s="24" t="s">
        <v>39</v>
      </c>
      <c r="C10" s="24" t="s">
        <v>50</v>
      </c>
      <c r="D10" s="24" t="s">
        <v>328</v>
      </c>
      <c r="E10" s="24" t="s">
        <v>329</v>
      </c>
      <c r="F10" s="24" t="s">
        <v>324</v>
      </c>
      <c r="G10" s="24" t="s">
        <v>327</v>
      </c>
      <c r="H10" t="s">
        <v>56</v>
      </c>
      <c r="I10" t="s">
        <v>3</v>
      </c>
      <c r="J10" t="s">
        <v>4</v>
      </c>
      <c r="K10" t="s">
        <v>3</v>
      </c>
      <c r="L10" t="s">
        <v>8</v>
      </c>
      <c r="M10" t="s">
        <v>45</v>
      </c>
      <c r="N10" t="s">
        <v>40</v>
      </c>
      <c r="O10" t="s">
        <v>40</v>
      </c>
      <c r="P10" t="s">
        <v>6</v>
      </c>
      <c r="Q10" t="s">
        <v>45</v>
      </c>
      <c r="R10" t="s">
        <v>6</v>
      </c>
      <c r="S10" t="s">
        <v>46</v>
      </c>
      <c r="T10" t="s">
        <v>3</v>
      </c>
      <c r="U10" t="s">
        <v>354</v>
      </c>
      <c r="V10" t="s">
        <v>2</v>
      </c>
      <c r="W10" t="s">
        <v>3</v>
      </c>
      <c r="X10" t="s">
        <v>354</v>
      </c>
      <c r="Y10" t="s">
        <v>44</v>
      </c>
      <c r="Z10" t="s">
        <v>42</v>
      </c>
      <c r="AA10" t="s">
        <v>7</v>
      </c>
      <c r="AB10" t="s">
        <v>44</v>
      </c>
      <c r="AC10" t="s">
        <v>5</v>
      </c>
      <c r="AD10" t="s">
        <v>3</v>
      </c>
      <c r="AE10" t="s">
        <v>8</v>
      </c>
      <c r="AF10" t="s">
        <v>8</v>
      </c>
      <c r="AG10" t="s">
        <v>7</v>
      </c>
      <c r="AH10" t="s">
        <v>4</v>
      </c>
      <c r="AI10" t="s">
        <v>3</v>
      </c>
      <c r="AJ10" t="s">
        <v>41</v>
      </c>
      <c r="AK10" t="s">
        <v>44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spans="1:70" ht="19">
      <c r="A11" t="s">
        <v>352</v>
      </c>
      <c r="B11" s="7" t="s">
        <v>1</v>
      </c>
      <c r="C11" s="7" t="str">
        <f>VLOOKUP(B11,'RV Escape Paths'!$A$1:$C$5,3,FALSE)</f>
        <v>A: D279A</v>
      </c>
      <c r="D11" s="10">
        <f>VLOOKUP(A11,Expression!$C$1:$D$462,2,FALSE)</f>
        <v>64.163600000000002</v>
      </c>
      <c r="E11" s="10" t="e">
        <f>VLOOKUP(A11,'RV Survival Analysis'!$A$1:$C$100,3,FALSE)</f>
        <v>#N/A</v>
      </c>
      <c r="F11" s="10" t="e">
        <f>VLOOKUP(A11,'sequencing metadata'!$A$1:$B$34,2,FALSE)</f>
        <v>#N/A</v>
      </c>
      <c r="G11" s="10" t="e">
        <f t="shared" ref="G11:G12" si="0">F11-E11</f>
        <v>#N/A</v>
      </c>
      <c r="I11">
        <v>0.50228675136116097</v>
      </c>
      <c r="J11">
        <v>0</v>
      </c>
      <c r="K11">
        <v>0.70874958831924395</v>
      </c>
      <c r="L11">
        <v>0</v>
      </c>
      <c r="M11">
        <v>0.99423868312757202</v>
      </c>
      <c r="N11">
        <v>0.86423357664233502</v>
      </c>
      <c r="O11">
        <v>0.99190283400809698</v>
      </c>
      <c r="P11">
        <v>0.97388059701492502</v>
      </c>
      <c r="Q11">
        <v>0.97520661157024802</v>
      </c>
      <c r="R11">
        <v>0.98947368421052595</v>
      </c>
      <c r="S11">
        <v>0.98412698412698396</v>
      </c>
      <c r="T11">
        <v>0</v>
      </c>
      <c r="U11">
        <v>0.60804020100502498</v>
      </c>
      <c r="V11">
        <v>0</v>
      </c>
      <c r="W11">
        <v>0.320175438596491</v>
      </c>
      <c r="X11">
        <v>0.53070175438596401</v>
      </c>
      <c r="Y11">
        <v>0.98888888888888804</v>
      </c>
      <c r="Z11">
        <v>0.99434229137199404</v>
      </c>
      <c r="AA11">
        <v>0.99397590361445698</v>
      </c>
      <c r="AB11">
        <v>0.996678371452975</v>
      </c>
      <c r="AC11">
        <v>0.99636713324073001</v>
      </c>
      <c r="AD11">
        <v>0.99675570455282803</v>
      </c>
      <c r="AE11">
        <v>0.93257318276504697</v>
      </c>
      <c r="AF11">
        <v>0</v>
      </c>
      <c r="AG11">
        <v>0</v>
      </c>
      <c r="AH11">
        <v>0</v>
      </c>
      <c r="AI11">
        <v>0</v>
      </c>
      <c r="AJ11">
        <v>0.35344418052256499</v>
      </c>
      <c r="AK11" s="30">
        <v>0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spans="1:70" ht="19">
      <c r="A12" t="s">
        <v>353</v>
      </c>
      <c r="B12" s="7" t="s">
        <v>1</v>
      </c>
      <c r="C12" s="7" t="str">
        <f>VLOOKUP(B12,'RV Escape Paths'!$A$1:$C$5,3,FALSE)</f>
        <v>A: D279A</v>
      </c>
      <c r="D12" s="10">
        <f>VLOOKUP(A12,Expression!$C$1:$D$462,2,FALSE)</f>
        <v>65.427400000000006</v>
      </c>
      <c r="E12" s="10" t="e">
        <f>VLOOKUP(A12,'RV Survival Analysis'!$A$1:$C$100,3,FALSE)</f>
        <v>#N/A</v>
      </c>
      <c r="F12" s="10" t="e">
        <f>VLOOKUP(A12,'sequencing metadata'!$A$1:$B$34,2,FALSE)</f>
        <v>#N/A</v>
      </c>
      <c r="G12" s="10" t="e">
        <f t="shared" si="0"/>
        <v>#N/A</v>
      </c>
      <c r="I12">
        <v>0</v>
      </c>
      <c r="J12">
        <v>0.99607623318385596</v>
      </c>
      <c r="K12">
        <v>0</v>
      </c>
      <c r="L12">
        <v>0.99509403107113603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0.93771961710892904</v>
      </c>
      <c r="U12">
        <v>0</v>
      </c>
      <c r="V12">
        <v>0.94370263442800395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0.34282835684191199</v>
      </c>
      <c r="AG12">
        <v>0.46633593196314599</v>
      </c>
      <c r="AH12">
        <v>0.67981527804502495</v>
      </c>
      <c r="AI12">
        <v>0.359567901234567</v>
      </c>
      <c r="AJ12">
        <v>0</v>
      </c>
      <c r="AK12" s="30">
        <v>0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19">
      <c r="B13" s="7"/>
      <c r="C13" s="7"/>
      <c r="D13" s="10"/>
      <c r="E13" s="10"/>
      <c r="F13" s="10"/>
      <c r="G13" s="10"/>
      <c r="H13" s="6" t="s">
        <v>74</v>
      </c>
      <c r="I13">
        <f t="shared" ref="I13:AJ13" si="1">COUNTIF(I11:I12,"&gt;0.25")</f>
        <v>1</v>
      </c>
      <c r="J13">
        <f t="shared" si="1"/>
        <v>1</v>
      </c>
      <c r="K13">
        <f t="shared" si="1"/>
        <v>1</v>
      </c>
      <c r="L13">
        <f t="shared" si="1"/>
        <v>1</v>
      </c>
      <c r="M13">
        <f t="shared" si="1"/>
        <v>1</v>
      </c>
      <c r="N13">
        <f t="shared" si="1"/>
        <v>1</v>
      </c>
      <c r="O13">
        <f t="shared" si="1"/>
        <v>1</v>
      </c>
      <c r="P13">
        <f t="shared" si="1"/>
        <v>1</v>
      </c>
      <c r="Q13">
        <f t="shared" si="1"/>
        <v>1</v>
      </c>
      <c r="R13">
        <f t="shared" si="1"/>
        <v>1</v>
      </c>
      <c r="S13">
        <f t="shared" si="1"/>
        <v>1</v>
      </c>
      <c r="T13">
        <f t="shared" si="1"/>
        <v>1</v>
      </c>
      <c r="U13">
        <f t="shared" si="1"/>
        <v>1</v>
      </c>
      <c r="V13">
        <f t="shared" si="1"/>
        <v>1</v>
      </c>
      <c r="W13">
        <f t="shared" si="1"/>
        <v>1</v>
      </c>
      <c r="X13">
        <f t="shared" si="1"/>
        <v>1</v>
      </c>
      <c r="Y13">
        <f t="shared" si="1"/>
        <v>1</v>
      </c>
      <c r="Z13">
        <f t="shared" si="1"/>
        <v>1</v>
      </c>
      <c r="AA13">
        <f t="shared" si="1"/>
        <v>1</v>
      </c>
      <c r="AB13">
        <f t="shared" si="1"/>
        <v>1</v>
      </c>
      <c r="AC13">
        <f t="shared" si="1"/>
        <v>1</v>
      </c>
      <c r="AD13">
        <f t="shared" si="1"/>
        <v>1</v>
      </c>
      <c r="AE13">
        <f t="shared" si="1"/>
        <v>1</v>
      </c>
      <c r="AF13">
        <f t="shared" si="1"/>
        <v>1</v>
      </c>
      <c r="AG13">
        <f t="shared" si="1"/>
        <v>1</v>
      </c>
      <c r="AH13">
        <f t="shared" si="1"/>
        <v>1</v>
      </c>
      <c r="AI13">
        <f t="shared" si="1"/>
        <v>1</v>
      </c>
      <c r="AJ13">
        <f t="shared" si="1"/>
        <v>1</v>
      </c>
      <c r="AK13" s="30">
        <v>0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19">
      <c r="A14" s="8"/>
      <c r="B14" s="7"/>
      <c r="C14" s="7"/>
      <c r="D14" s="10"/>
      <c r="E14" s="10"/>
      <c r="F14" s="10"/>
      <c r="G14" s="10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19">
      <c r="A15" s="8"/>
      <c r="B15" s="7"/>
      <c r="C15" s="7"/>
      <c r="D15" s="10"/>
      <c r="E15" s="10"/>
      <c r="F15" s="10"/>
      <c r="G15" s="10"/>
      <c r="H15" s="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19">
      <c r="A16" s="8"/>
      <c r="B16" s="7"/>
      <c r="C16" s="7"/>
      <c r="D16" s="10"/>
      <c r="E16" s="10"/>
      <c r="F16" s="10"/>
      <c r="G16" s="10"/>
      <c r="H16" s="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19">
      <c r="A17" s="8"/>
      <c r="B17" s="7"/>
      <c r="C17" s="7"/>
      <c r="D17" s="10"/>
      <c r="E17" s="10"/>
      <c r="F17" s="10"/>
      <c r="G17" s="10"/>
      <c r="H17" s="8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spans="1:70" ht="19">
      <c r="A18" s="8"/>
      <c r="B18" s="7"/>
      <c r="C18" s="7"/>
      <c r="D18" s="10"/>
      <c r="E18" s="10"/>
      <c r="F18" s="10"/>
      <c r="G18" s="10"/>
      <c r="H18" s="8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</row>
    <row r="19" spans="1:70" ht="19">
      <c r="A19" s="8"/>
      <c r="B19" s="7"/>
      <c r="C19" s="7"/>
      <c r="D19" s="10"/>
      <c r="E19" s="10"/>
      <c r="F19" s="10"/>
      <c r="G19" s="10"/>
      <c r="H19" s="8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</row>
    <row r="20" spans="1:70" ht="19">
      <c r="A20" s="8"/>
      <c r="B20" s="7"/>
      <c r="C20" s="7"/>
      <c r="D20" s="10"/>
      <c r="E20" s="10"/>
      <c r="F20" s="10"/>
      <c r="G20" s="10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</row>
    <row r="21" spans="1:70" ht="19">
      <c r="A21" s="8"/>
      <c r="B21" s="7"/>
      <c r="C21" s="7"/>
      <c r="D21" s="10"/>
      <c r="E21" s="10"/>
      <c r="F21" s="10"/>
      <c r="G21" s="10"/>
      <c r="H21" s="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</row>
    <row r="22" spans="1:70" ht="19">
      <c r="A22" s="8"/>
      <c r="B22" s="7"/>
      <c r="C22" s="7"/>
      <c r="D22" s="10"/>
      <c r="E22" s="10"/>
      <c r="F22" s="10"/>
      <c r="G22" s="10"/>
      <c r="H22" s="8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</row>
    <row r="23" spans="1:70" ht="19">
      <c r="A23" s="8"/>
      <c r="B23" s="7"/>
      <c r="C23" s="7"/>
      <c r="D23" s="10"/>
      <c r="E23" s="10"/>
      <c r="F23" s="10"/>
      <c r="G23" s="10"/>
      <c r="H23" s="8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</row>
    <row r="24" spans="1:70" ht="19">
      <c r="A24" s="8"/>
      <c r="B24" s="7"/>
      <c r="C24" s="7"/>
      <c r="D24" s="10"/>
      <c r="E24" s="10"/>
      <c r="F24" s="10"/>
      <c r="G24" s="10"/>
      <c r="H24" s="8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</row>
    <row r="25" spans="1:70" ht="19">
      <c r="A25" s="8"/>
      <c r="B25" s="7"/>
      <c r="C25" s="7"/>
      <c r="D25" s="10"/>
      <c r="E25" s="10"/>
      <c r="F25" s="10"/>
      <c r="G25" s="10"/>
      <c r="H25" s="8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</row>
    <row r="26" spans="1:70" ht="19">
      <c r="A26" s="8"/>
      <c r="B26" s="7"/>
      <c r="C26" s="7"/>
      <c r="D26" s="10"/>
      <c r="E26" s="10"/>
      <c r="F26" s="10"/>
      <c r="G26" s="10"/>
      <c r="H26" s="8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</row>
    <row r="27" spans="1:70" ht="19">
      <c r="A27" s="8"/>
      <c r="B27" s="7"/>
      <c r="C27" s="7"/>
      <c r="D27" s="10"/>
      <c r="E27" s="10"/>
      <c r="F27" s="10"/>
      <c r="G27" s="10"/>
      <c r="H27" s="8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</row>
    <row r="28" spans="1:70" ht="19">
      <c r="A28" s="8"/>
      <c r="B28" s="7"/>
      <c r="C28" s="7"/>
      <c r="D28" s="10"/>
      <c r="E28" s="10"/>
      <c r="F28" s="10"/>
      <c r="G28" s="10"/>
      <c r="H28" s="8"/>
      <c r="I28" s="6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</row>
    <row r="29" spans="1:70" ht="19">
      <c r="A29" s="8"/>
      <c r="B29" s="7"/>
      <c r="C29" s="7"/>
      <c r="D29" s="10"/>
      <c r="E29" s="10"/>
      <c r="F29" s="10"/>
      <c r="G29" s="10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</row>
    <row r="30" spans="1:70" ht="19">
      <c r="A30" s="8"/>
      <c r="B30" s="7"/>
      <c r="C30" s="7"/>
      <c r="D30" s="10"/>
      <c r="E30" s="10"/>
      <c r="F30" s="10"/>
      <c r="G30" s="10"/>
      <c r="H30" s="8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</row>
    <row r="31" spans="1:70" ht="19">
      <c r="A31" s="7"/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</row>
    <row r="50" spans="8:8">
      <c r="H50" s="6"/>
    </row>
  </sheetData>
  <autoFilter ref="A10:BU31" xr:uid="{4B19BEEB-1430-AF4E-B46A-390B24A860BB}">
    <sortState xmlns:xlrd2="http://schemas.microsoft.com/office/spreadsheetml/2017/richdata2" ref="A11:BR31">
      <sortCondition ref="B10:B31"/>
    </sortState>
  </autoFilter>
  <conditionalFormatting sqref="I11:AK12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C6"/>
  <sheetViews>
    <sheetView workbookViewId="0">
      <selection activeCell="B6" sqref="B6"/>
    </sheetView>
  </sheetViews>
  <sheetFormatPr baseColWidth="10" defaultRowHeight="16"/>
  <cols>
    <col min="1" max="1" width="13" bestFit="1" customWidth="1"/>
    <col min="2" max="2" width="18.5" bestFit="1" customWidth="1"/>
    <col min="3" max="3" width="19.5" bestFit="1" customWidth="1"/>
  </cols>
  <sheetData>
    <row r="3" spans="1:3">
      <c r="A3" s="12" t="s">
        <v>11</v>
      </c>
      <c r="B3" t="s">
        <v>334</v>
      </c>
      <c r="C3" t="s">
        <v>335</v>
      </c>
    </row>
    <row r="4" spans="1:3">
      <c r="A4" s="2" t="s">
        <v>349</v>
      </c>
      <c r="B4" s="52">
        <v>2</v>
      </c>
      <c r="C4" s="4">
        <v>1</v>
      </c>
    </row>
    <row r="5" spans="1:3">
      <c r="A5" s="2" t="s">
        <v>351</v>
      </c>
      <c r="B5" s="52"/>
      <c r="C5" s="4">
        <v>0</v>
      </c>
    </row>
    <row r="6" spans="1:3">
      <c r="A6" s="2" t="s">
        <v>12</v>
      </c>
      <c r="B6" s="52">
        <v>2</v>
      </c>
      <c r="C6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B5" sqref="B5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39</v>
      </c>
      <c r="B1" s="2" t="s">
        <v>50</v>
      </c>
      <c r="C1" s="2" t="s">
        <v>52</v>
      </c>
    </row>
    <row r="2" spans="1:3">
      <c r="A2" s="23" t="s">
        <v>1</v>
      </c>
      <c r="B2" s="2" t="s">
        <v>346</v>
      </c>
      <c r="C2" s="2" t="str">
        <f>_xlfn.CONCAT(A2,": ",B2)</f>
        <v>A: D279A</v>
      </c>
    </row>
    <row r="3" spans="1:3">
      <c r="A3" s="23" t="s">
        <v>47</v>
      </c>
      <c r="B3" s="2" t="s">
        <v>347</v>
      </c>
      <c r="C3" s="2" t="str">
        <f>_xlfn.CONCAT(A3,": ",B3)</f>
        <v>B: D279K</v>
      </c>
    </row>
    <row r="4" spans="1:3">
      <c r="A4" s="23" t="s">
        <v>48</v>
      </c>
      <c r="B4" s="2" t="s">
        <v>348</v>
      </c>
      <c r="C4" s="2" t="str">
        <f>_xlfn.CONCAT(A4,": ",B4)</f>
        <v>C: D279H</v>
      </c>
    </row>
    <row r="5" spans="1:3">
      <c r="A5" s="2" t="s">
        <v>5</v>
      </c>
      <c r="B5" s="1" t="s">
        <v>51</v>
      </c>
      <c r="C5" s="2" t="str">
        <f>_xlfn.CONCAT(A5,": ",B5)</f>
        <v>D: Other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dimension ref="A1:AB894"/>
  <sheetViews>
    <sheetView topLeftCell="A102" workbookViewId="0">
      <selection activeCell="I36" sqref="I36"/>
    </sheetView>
  </sheetViews>
  <sheetFormatPr baseColWidth="10" defaultRowHeight="16"/>
  <cols>
    <col min="5" max="5" width="10.83203125" customWidth="1"/>
    <col min="7" max="7" width="13.1640625" bestFit="1" customWidth="1"/>
    <col min="8" max="8" width="13.1640625" customWidth="1"/>
  </cols>
  <sheetData>
    <row r="1" spans="1:28">
      <c r="B1" t="s">
        <v>53</v>
      </c>
      <c r="C1" t="s">
        <v>54</v>
      </c>
      <c r="D1" t="s">
        <v>355</v>
      </c>
      <c r="E1" t="s">
        <v>55</v>
      </c>
      <c r="F1" t="s">
        <v>56</v>
      </c>
      <c r="G1" t="s">
        <v>352</v>
      </c>
      <c r="H1" t="s">
        <v>353</v>
      </c>
      <c r="I1" s="6" t="s">
        <v>74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>
      <c r="A2">
        <v>0</v>
      </c>
      <c r="B2">
        <v>1</v>
      </c>
      <c r="C2">
        <v>1</v>
      </c>
      <c r="D2" t="s">
        <v>41</v>
      </c>
      <c r="E2" t="s">
        <v>41</v>
      </c>
      <c r="F2">
        <v>0</v>
      </c>
      <c r="G2">
        <v>0</v>
      </c>
      <c r="H2">
        <v>0</v>
      </c>
      <c r="I2">
        <f>COUNTIF(G2:H2,"&gt;0.1")</f>
        <v>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8">
      <c r="A3">
        <v>1</v>
      </c>
      <c r="B3">
        <v>2</v>
      </c>
      <c r="C3">
        <v>2</v>
      </c>
      <c r="D3" t="s">
        <v>8</v>
      </c>
      <c r="E3" t="s">
        <v>10</v>
      </c>
      <c r="F3">
        <v>0</v>
      </c>
      <c r="G3">
        <v>0</v>
      </c>
      <c r="H3">
        <v>0</v>
      </c>
      <c r="I3">
        <f t="shared" ref="I3:I66" si="0">COUNTIF(G3:H3,"&gt;0.1")</f>
        <v>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8">
      <c r="A4">
        <v>2</v>
      </c>
      <c r="B4">
        <v>3</v>
      </c>
      <c r="C4">
        <v>3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f t="shared" si="0"/>
        <v>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8">
      <c r="A5">
        <v>3</v>
      </c>
      <c r="B5">
        <v>4</v>
      </c>
      <c r="C5">
        <v>4</v>
      </c>
      <c r="D5" t="s">
        <v>8</v>
      </c>
      <c r="E5" t="s">
        <v>8</v>
      </c>
      <c r="F5">
        <v>0</v>
      </c>
      <c r="G5">
        <v>0</v>
      </c>
      <c r="H5">
        <v>0</v>
      </c>
      <c r="I5">
        <f t="shared" si="0"/>
        <v>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8">
      <c r="A6">
        <v>4</v>
      </c>
      <c r="B6">
        <v>5</v>
      </c>
      <c r="C6" t="s">
        <v>57</v>
      </c>
      <c r="D6" t="s">
        <v>4</v>
      </c>
      <c r="E6" t="s">
        <v>58</v>
      </c>
      <c r="F6">
        <v>0</v>
      </c>
      <c r="G6">
        <v>0</v>
      </c>
      <c r="H6">
        <v>0</v>
      </c>
      <c r="I6">
        <f t="shared" si="0"/>
        <v>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8">
      <c r="A7">
        <v>5</v>
      </c>
      <c r="B7">
        <v>6</v>
      </c>
      <c r="C7" t="s">
        <v>59</v>
      </c>
      <c r="D7" t="s">
        <v>44</v>
      </c>
      <c r="E7" t="s">
        <v>58</v>
      </c>
      <c r="F7">
        <v>0</v>
      </c>
      <c r="G7">
        <v>0</v>
      </c>
      <c r="H7">
        <v>0</v>
      </c>
      <c r="I7">
        <f t="shared" si="0"/>
        <v>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8">
      <c r="A8">
        <v>6</v>
      </c>
      <c r="B8">
        <v>7</v>
      </c>
      <c r="C8" t="s">
        <v>60</v>
      </c>
      <c r="D8" t="s">
        <v>10</v>
      </c>
      <c r="E8" t="s">
        <v>58</v>
      </c>
      <c r="F8">
        <v>0</v>
      </c>
      <c r="G8">
        <v>0</v>
      </c>
      <c r="H8">
        <v>0</v>
      </c>
      <c r="I8">
        <f t="shared" si="0"/>
        <v>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8">
      <c r="A9">
        <v>7</v>
      </c>
      <c r="B9">
        <v>8</v>
      </c>
      <c r="C9">
        <v>5</v>
      </c>
      <c r="D9" t="s">
        <v>10</v>
      </c>
      <c r="E9" t="s">
        <v>6</v>
      </c>
      <c r="F9">
        <v>0</v>
      </c>
      <c r="G9">
        <v>0</v>
      </c>
      <c r="H9">
        <v>0</v>
      </c>
      <c r="I9">
        <f t="shared" si="0"/>
        <v>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8">
      <c r="A10">
        <v>8</v>
      </c>
      <c r="B10">
        <v>9</v>
      </c>
      <c r="C10">
        <v>6</v>
      </c>
      <c r="D10" t="s">
        <v>3</v>
      </c>
      <c r="E10" t="s">
        <v>8</v>
      </c>
      <c r="F10">
        <v>0</v>
      </c>
      <c r="G10">
        <v>0</v>
      </c>
      <c r="H10">
        <v>0</v>
      </c>
      <c r="I10">
        <f t="shared" si="0"/>
        <v>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8">
      <c r="A11">
        <v>9</v>
      </c>
      <c r="B11">
        <v>10</v>
      </c>
      <c r="C11">
        <v>7</v>
      </c>
      <c r="D11" t="s">
        <v>61</v>
      </c>
      <c r="E11" t="s">
        <v>61</v>
      </c>
      <c r="F11">
        <v>0</v>
      </c>
      <c r="G11">
        <v>0</v>
      </c>
      <c r="H11">
        <v>0</v>
      </c>
      <c r="I11">
        <f t="shared" si="0"/>
        <v>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8">
      <c r="A12">
        <v>10</v>
      </c>
      <c r="B12">
        <v>11</v>
      </c>
      <c r="C12">
        <v>8</v>
      </c>
      <c r="D12" t="s">
        <v>42</v>
      </c>
      <c r="E12" t="s">
        <v>42</v>
      </c>
      <c r="F12">
        <v>0</v>
      </c>
      <c r="G12">
        <v>0</v>
      </c>
      <c r="H12">
        <v>0</v>
      </c>
      <c r="I12">
        <f t="shared" si="0"/>
        <v>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8">
      <c r="A13">
        <v>11</v>
      </c>
      <c r="B13">
        <v>12</v>
      </c>
      <c r="C13">
        <v>9</v>
      </c>
      <c r="D13" t="s">
        <v>9</v>
      </c>
      <c r="E13" t="s">
        <v>9</v>
      </c>
      <c r="F13">
        <v>0</v>
      </c>
      <c r="G13">
        <v>0</v>
      </c>
      <c r="H13">
        <v>0</v>
      </c>
      <c r="I13">
        <f t="shared" si="0"/>
        <v>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8">
      <c r="A14">
        <v>12</v>
      </c>
      <c r="B14">
        <v>13</v>
      </c>
      <c r="C14">
        <v>10</v>
      </c>
      <c r="D14" t="s">
        <v>40</v>
      </c>
      <c r="E14" t="s">
        <v>40</v>
      </c>
      <c r="F14">
        <v>0</v>
      </c>
      <c r="G14">
        <v>0</v>
      </c>
      <c r="H14">
        <v>0</v>
      </c>
      <c r="I14">
        <f t="shared" si="0"/>
        <v>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8">
      <c r="A15">
        <v>13</v>
      </c>
      <c r="B15">
        <v>14</v>
      </c>
      <c r="C15">
        <v>11</v>
      </c>
      <c r="D15" t="s">
        <v>62</v>
      </c>
      <c r="E15" t="s">
        <v>62</v>
      </c>
      <c r="F15">
        <v>0</v>
      </c>
      <c r="G15">
        <v>0</v>
      </c>
      <c r="H15">
        <v>0</v>
      </c>
      <c r="I15">
        <f t="shared" si="0"/>
        <v>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8">
      <c r="A16">
        <v>14</v>
      </c>
      <c r="B16">
        <v>15</v>
      </c>
      <c r="C16">
        <v>12</v>
      </c>
      <c r="D16" t="s">
        <v>10</v>
      </c>
      <c r="E16" t="s">
        <v>10</v>
      </c>
      <c r="F16">
        <v>0</v>
      </c>
      <c r="G16">
        <v>0</v>
      </c>
      <c r="H16">
        <v>0</v>
      </c>
      <c r="I16">
        <f t="shared" si="0"/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>
      <c r="A17">
        <v>15</v>
      </c>
      <c r="B17" t="s">
        <v>63</v>
      </c>
      <c r="C17">
        <v>13</v>
      </c>
      <c r="D17" t="s">
        <v>58</v>
      </c>
      <c r="E17" t="s">
        <v>62</v>
      </c>
      <c r="F17">
        <v>0</v>
      </c>
      <c r="G17">
        <v>0</v>
      </c>
      <c r="H17">
        <v>0</v>
      </c>
      <c r="I17">
        <f t="shared" si="0"/>
        <v>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>
      <c r="A18">
        <v>16</v>
      </c>
      <c r="B18" t="s">
        <v>64</v>
      </c>
      <c r="C18">
        <v>14</v>
      </c>
      <c r="D18" t="s">
        <v>58</v>
      </c>
      <c r="E18" t="s">
        <v>4</v>
      </c>
      <c r="F18">
        <v>0</v>
      </c>
      <c r="G18">
        <v>0</v>
      </c>
      <c r="H18">
        <v>0</v>
      </c>
      <c r="I18">
        <f t="shared" si="0"/>
        <v>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>
      <c r="A19">
        <v>17</v>
      </c>
      <c r="B19" t="s">
        <v>65</v>
      </c>
      <c r="C19">
        <v>15</v>
      </c>
      <c r="D19" t="s">
        <v>58</v>
      </c>
      <c r="E19" t="s">
        <v>62</v>
      </c>
      <c r="F19">
        <v>0</v>
      </c>
      <c r="G19">
        <v>0</v>
      </c>
      <c r="H19">
        <v>0</v>
      </c>
      <c r="I19">
        <f t="shared" si="0"/>
        <v>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>
      <c r="A20">
        <v>18</v>
      </c>
      <c r="B20" t="s">
        <v>66</v>
      </c>
      <c r="C20">
        <v>16</v>
      </c>
      <c r="D20" t="s">
        <v>58</v>
      </c>
      <c r="E20" t="s">
        <v>10</v>
      </c>
      <c r="F20">
        <v>0</v>
      </c>
      <c r="G20">
        <v>0</v>
      </c>
      <c r="H20">
        <v>0</v>
      </c>
      <c r="I20">
        <f t="shared" si="0"/>
        <v>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>
      <c r="A21">
        <v>19</v>
      </c>
      <c r="B21">
        <v>16</v>
      </c>
      <c r="C21">
        <v>17</v>
      </c>
      <c r="D21" t="s">
        <v>62</v>
      </c>
      <c r="E21" t="s">
        <v>62</v>
      </c>
      <c r="F21">
        <v>0</v>
      </c>
      <c r="G21">
        <v>0</v>
      </c>
      <c r="H21">
        <v>0</v>
      </c>
      <c r="I21">
        <f t="shared" si="0"/>
        <v>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>
      <c r="A22">
        <v>20</v>
      </c>
      <c r="B22">
        <v>17</v>
      </c>
      <c r="C22">
        <v>18</v>
      </c>
      <c r="D22" t="s">
        <v>4</v>
      </c>
      <c r="E22" t="s">
        <v>4</v>
      </c>
      <c r="F22" t="s">
        <v>7</v>
      </c>
      <c r="G22">
        <v>0.16896501669327901</v>
      </c>
      <c r="H22">
        <v>0</v>
      </c>
      <c r="I22">
        <f t="shared" si="0"/>
        <v>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>
      <c r="A23">
        <v>21</v>
      </c>
      <c r="B23">
        <v>18</v>
      </c>
      <c r="C23">
        <v>19</v>
      </c>
      <c r="D23" t="s">
        <v>44</v>
      </c>
      <c r="E23" t="s">
        <v>2</v>
      </c>
      <c r="F23">
        <v>0</v>
      </c>
      <c r="G23">
        <v>0</v>
      </c>
      <c r="H23">
        <v>0</v>
      </c>
      <c r="I23">
        <f t="shared" si="0"/>
        <v>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>
      <c r="A24">
        <v>22</v>
      </c>
      <c r="B24">
        <v>19</v>
      </c>
      <c r="C24">
        <v>20</v>
      </c>
      <c r="D24" t="s">
        <v>41</v>
      </c>
      <c r="E24" t="s">
        <v>41</v>
      </c>
      <c r="F24">
        <v>0</v>
      </c>
      <c r="G24">
        <v>0</v>
      </c>
      <c r="H24">
        <v>0</v>
      </c>
      <c r="I24">
        <f t="shared" si="0"/>
        <v>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>
      <c r="A25">
        <v>23</v>
      </c>
      <c r="B25">
        <v>20</v>
      </c>
      <c r="C25">
        <v>21</v>
      </c>
      <c r="D25" t="s">
        <v>40</v>
      </c>
      <c r="E25" t="s">
        <v>40</v>
      </c>
      <c r="F25">
        <v>0</v>
      </c>
      <c r="G25">
        <v>0</v>
      </c>
      <c r="H25">
        <v>0</v>
      </c>
      <c r="I25">
        <f t="shared" si="0"/>
        <v>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>
      <c r="A26">
        <v>24</v>
      </c>
      <c r="B26">
        <v>21</v>
      </c>
      <c r="C26">
        <v>22</v>
      </c>
      <c r="D26" t="s">
        <v>40</v>
      </c>
      <c r="E26" t="s">
        <v>40</v>
      </c>
      <c r="F26">
        <v>0</v>
      </c>
      <c r="G26">
        <v>0</v>
      </c>
      <c r="H26">
        <v>0</v>
      </c>
      <c r="I26">
        <f t="shared" si="0"/>
        <v>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>
      <c r="A27">
        <v>25</v>
      </c>
      <c r="B27">
        <v>22</v>
      </c>
      <c r="C27">
        <v>23</v>
      </c>
      <c r="D27" t="s">
        <v>4</v>
      </c>
      <c r="E27" t="s">
        <v>4</v>
      </c>
      <c r="F27">
        <v>0</v>
      </c>
      <c r="G27">
        <v>0</v>
      </c>
      <c r="H27">
        <v>0</v>
      </c>
      <c r="I27">
        <f t="shared" si="0"/>
        <v>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>
      <c r="A28">
        <v>26</v>
      </c>
      <c r="B28">
        <v>23</v>
      </c>
      <c r="C28">
        <v>24</v>
      </c>
      <c r="D28" t="s">
        <v>44</v>
      </c>
      <c r="E28" t="s">
        <v>41</v>
      </c>
      <c r="F28">
        <v>0</v>
      </c>
      <c r="G28">
        <v>0</v>
      </c>
      <c r="H28">
        <v>0</v>
      </c>
      <c r="I28">
        <f t="shared" si="0"/>
        <v>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>
      <c r="A29">
        <v>27</v>
      </c>
      <c r="B29">
        <v>24</v>
      </c>
      <c r="C29">
        <v>25</v>
      </c>
      <c r="D29" t="s">
        <v>40</v>
      </c>
      <c r="E29" t="s">
        <v>40</v>
      </c>
      <c r="F29">
        <v>0</v>
      </c>
      <c r="G29">
        <v>0</v>
      </c>
      <c r="H29">
        <v>0</v>
      </c>
      <c r="I29">
        <f t="shared" si="0"/>
        <v>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>
      <c r="A30">
        <v>28</v>
      </c>
      <c r="B30">
        <v>25</v>
      </c>
      <c r="C30">
        <v>26</v>
      </c>
      <c r="D30" t="s">
        <v>41</v>
      </c>
      <c r="E30" t="s">
        <v>41</v>
      </c>
      <c r="F30">
        <v>0</v>
      </c>
      <c r="G30">
        <v>0</v>
      </c>
      <c r="H30">
        <v>0</v>
      </c>
      <c r="I30">
        <f t="shared" si="0"/>
        <v>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>
      <c r="A31">
        <v>29</v>
      </c>
      <c r="B31">
        <v>26</v>
      </c>
      <c r="C31">
        <v>27</v>
      </c>
      <c r="D31" t="s">
        <v>44</v>
      </c>
      <c r="E31" t="s">
        <v>44</v>
      </c>
      <c r="F31">
        <v>0</v>
      </c>
      <c r="G31">
        <v>0</v>
      </c>
      <c r="H31">
        <v>0</v>
      </c>
      <c r="I31">
        <f t="shared" si="0"/>
        <v>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>
      <c r="A32">
        <v>30</v>
      </c>
      <c r="B32">
        <v>27</v>
      </c>
      <c r="C32">
        <v>28</v>
      </c>
      <c r="D32" t="s">
        <v>48</v>
      </c>
      <c r="E32" t="s">
        <v>48</v>
      </c>
      <c r="F32">
        <v>0</v>
      </c>
      <c r="G32">
        <v>0</v>
      </c>
      <c r="H32">
        <v>0</v>
      </c>
      <c r="I32">
        <f t="shared" si="0"/>
        <v>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>
      <c r="A33">
        <v>31</v>
      </c>
      <c r="B33">
        <v>28</v>
      </c>
      <c r="C33">
        <v>29</v>
      </c>
      <c r="D33" t="s">
        <v>7</v>
      </c>
      <c r="E33" t="s">
        <v>7</v>
      </c>
      <c r="F33">
        <v>0</v>
      </c>
      <c r="G33">
        <v>0</v>
      </c>
      <c r="H33">
        <v>0</v>
      </c>
      <c r="I33">
        <f t="shared" si="0"/>
        <v>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>
      <c r="A34">
        <v>32</v>
      </c>
      <c r="B34">
        <v>29</v>
      </c>
      <c r="C34">
        <v>30</v>
      </c>
      <c r="D34" t="s">
        <v>1</v>
      </c>
      <c r="E34" t="s">
        <v>1</v>
      </c>
      <c r="F34">
        <v>0</v>
      </c>
      <c r="G34">
        <v>0</v>
      </c>
      <c r="H34">
        <v>0</v>
      </c>
      <c r="I34">
        <f t="shared" si="0"/>
        <v>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>
      <c r="A35">
        <v>33</v>
      </c>
      <c r="B35">
        <v>30</v>
      </c>
      <c r="C35">
        <v>31</v>
      </c>
      <c r="D35" t="s">
        <v>2</v>
      </c>
      <c r="E35" t="s">
        <v>2</v>
      </c>
      <c r="F35">
        <v>0</v>
      </c>
      <c r="G35">
        <v>0</v>
      </c>
      <c r="H35">
        <v>0</v>
      </c>
      <c r="I35">
        <f t="shared" si="0"/>
        <v>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>
      <c r="A36">
        <v>34</v>
      </c>
      <c r="B36">
        <v>31</v>
      </c>
      <c r="C36">
        <v>32</v>
      </c>
      <c r="D36" t="s">
        <v>6</v>
      </c>
      <c r="E36" t="s">
        <v>6</v>
      </c>
      <c r="F36">
        <v>0</v>
      </c>
      <c r="G36">
        <v>0</v>
      </c>
      <c r="H36">
        <v>0</v>
      </c>
      <c r="I36">
        <f t="shared" si="0"/>
        <v>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>
      <c r="A37">
        <v>35</v>
      </c>
      <c r="B37">
        <v>32</v>
      </c>
      <c r="C37">
        <v>33</v>
      </c>
      <c r="D37" t="s">
        <v>8</v>
      </c>
      <c r="E37" t="s">
        <v>8</v>
      </c>
      <c r="F37">
        <v>0</v>
      </c>
      <c r="G37">
        <v>0</v>
      </c>
      <c r="H37">
        <v>0</v>
      </c>
      <c r="I37">
        <f t="shared" si="0"/>
        <v>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>
      <c r="A38">
        <v>36</v>
      </c>
      <c r="B38">
        <v>33</v>
      </c>
      <c r="C38">
        <v>34</v>
      </c>
      <c r="D38" t="s">
        <v>40</v>
      </c>
      <c r="E38" t="s">
        <v>40</v>
      </c>
      <c r="F38">
        <v>0</v>
      </c>
      <c r="G38">
        <v>0</v>
      </c>
      <c r="H38">
        <v>0</v>
      </c>
      <c r="I38">
        <f t="shared" si="0"/>
        <v>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>
      <c r="A39">
        <v>37</v>
      </c>
      <c r="B39">
        <v>34</v>
      </c>
      <c r="C39">
        <v>35</v>
      </c>
      <c r="D39" t="s">
        <v>62</v>
      </c>
      <c r="E39" t="s">
        <v>62</v>
      </c>
      <c r="F39">
        <v>0</v>
      </c>
      <c r="G39">
        <v>0</v>
      </c>
      <c r="H39">
        <v>0</v>
      </c>
      <c r="I39">
        <f t="shared" si="0"/>
        <v>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>
      <c r="A40">
        <v>38</v>
      </c>
      <c r="B40">
        <v>35</v>
      </c>
      <c r="C40">
        <v>36</v>
      </c>
      <c r="D40" t="s">
        <v>45</v>
      </c>
      <c r="E40" t="s">
        <v>45</v>
      </c>
      <c r="F40">
        <v>0</v>
      </c>
      <c r="G40">
        <v>0</v>
      </c>
      <c r="H40">
        <v>0</v>
      </c>
      <c r="I40">
        <f t="shared" si="0"/>
        <v>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>
      <c r="A41">
        <v>39</v>
      </c>
      <c r="B41">
        <v>36</v>
      </c>
      <c r="C41">
        <v>37</v>
      </c>
      <c r="D41" t="s">
        <v>2</v>
      </c>
      <c r="E41" t="s">
        <v>2</v>
      </c>
      <c r="F41">
        <v>0</v>
      </c>
      <c r="G41">
        <v>0</v>
      </c>
      <c r="H41">
        <v>0</v>
      </c>
      <c r="I41">
        <f t="shared" si="0"/>
        <v>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>
      <c r="A42">
        <v>40</v>
      </c>
      <c r="B42">
        <v>37</v>
      </c>
      <c r="C42">
        <v>38</v>
      </c>
      <c r="D42" t="s">
        <v>45</v>
      </c>
      <c r="E42" t="s">
        <v>45</v>
      </c>
      <c r="F42">
        <v>0</v>
      </c>
      <c r="G42">
        <v>0</v>
      </c>
      <c r="H42">
        <v>0</v>
      </c>
      <c r="I42">
        <f t="shared" si="0"/>
        <v>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>
      <c r="A43">
        <v>41</v>
      </c>
      <c r="B43">
        <v>38</v>
      </c>
      <c r="C43">
        <v>39</v>
      </c>
      <c r="D43" t="s">
        <v>61</v>
      </c>
      <c r="E43" t="s">
        <v>61</v>
      </c>
      <c r="F43">
        <v>0</v>
      </c>
      <c r="G43">
        <v>0</v>
      </c>
      <c r="H43">
        <v>0</v>
      </c>
      <c r="I43">
        <f t="shared" si="0"/>
        <v>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>
      <c r="A44">
        <v>42</v>
      </c>
      <c r="B44">
        <v>39</v>
      </c>
      <c r="C44">
        <v>40</v>
      </c>
      <c r="D44" t="s">
        <v>61</v>
      </c>
      <c r="E44" t="s">
        <v>61</v>
      </c>
      <c r="F44">
        <v>0</v>
      </c>
      <c r="G44">
        <v>0</v>
      </c>
      <c r="H44">
        <v>0</v>
      </c>
      <c r="I44">
        <f t="shared" si="0"/>
        <v>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>
      <c r="A45">
        <v>43</v>
      </c>
      <c r="B45">
        <v>40</v>
      </c>
      <c r="C45">
        <v>41</v>
      </c>
      <c r="D45" t="s">
        <v>4</v>
      </c>
      <c r="E45" t="s">
        <v>4</v>
      </c>
      <c r="F45">
        <v>0</v>
      </c>
      <c r="G45">
        <v>0</v>
      </c>
      <c r="H45">
        <v>0</v>
      </c>
      <c r="I45">
        <f t="shared" si="0"/>
        <v>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>
      <c r="A46">
        <v>44</v>
      </c>
      <c r="B46">
        <v>41</v>
      </c>
      <c r="C46">
        <v>42</v>
      </c>
      <c r="D46" t="s">
        <v>45</v>
      </c>
      <c r="E46" t="s">
        <v>45</v>
      </c>
      <c r="F46">
        <v>0</v>
      </c>
      <c r="G46">
        <v>0</v>
      </c>
      <c r="H46">
        <v>0</v>
      </c>
      <c r="I46">
        <f t="shared" si="0"/>
        <v>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>
      <c r="A47">
        <v>45</v>
      </c>
      <c r="B47">
        <v>42</v>
      </c>
      <c r="C47">
        <v>43</v>
      </c>
      <c r="D47" t="s">
        <v>43</v>
      </c>
      <c r="E47" t="s">
        <v>43</v>
      </c>
      <c r="F47">
        <v>0</v>
      </c>
      <c r="G47">
        <v>0</v>
      </c>
      <c r="H47">
        <v>0</v>
      </c>
      <c r="I47">
        <f t="shared" si="0"/>
        <v>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>
      <c r="A48">
        <v>46</v>
      </c>
      <c r="B48">
        <v>43</v>
      </c>
      <c r="C48">
        <v>44</v>
      </c>
      <c r="D48" t="s">
        <v>45</v>
      </c>
      <c r="E48" t="s">
        <v>45</v>
      </c>
      <c r="F48">
        <v>0</v>
      </c>
      <c r="G48">
        <v>0</v>
      </c>
      <c r="H48">
        <v>0</v>
      </c>
      <c r="I48">
        <f t="shared" si="0"/>
        <v>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>
      <c r="A49">
        <v>47</v>
      </c>
      <c r="B49">
        <v>44</v>
      </c>
      <c r="C49">
        <v>45</v>
      </c>
      <c r="D49" t="s">
        <v>62</v>
      </c>
      <c r="E49" t="s">
        <v>62</v>
      </c>
      <c r="F49">
        <v>0</v>
      </c>
      <c r="G49">
        <v>0</v>
      </c>
      <c r="H49">
        <v>0</v>
      </c>
      <c r="I49">
        <f t="shared" si="0"/>
        <v>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>
      <c r="A50">
        <v>48</v>
      </c>
      <c r="B50">
        <v>45</v>
      </c>
      <c r="C50">
        <v>46</v>
      </c>
      <c r="D50" t="s">
        <v>8</v>
      </c>
      <c r="E50" t="s">
        <v>8</v>
      </c>
      <c r="F50">
        <v>0</v>
      </c>
      <c r="G50">
        <v>0</v>
      </c>
      <c r="H50">
        <v>0</v>
      </c>
      <c r="I50">
        <f t="shared" si="0"/>
        <v>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>
      <c r="A51">
        <v>49</v>
      </c>
      <c r="B51">
        <v>46</v>
      </c>
      <c r="C51">
        <v>47</v>
      </c>
      <c r="D51" t="s">
        <v>6</v>
      </c>
      <c r="E51" t="s">
        <v>6</v>
      </c>
      <c r="F51">
        <v>0</v>
      </c>
      <c r="G51">
        <v>0</v>
      </c>
      <c r="H51">
        <v>0</v>
      </c>
      <c r="I51">
        <f t="shared" si="0"/>
        <v>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>
      <c r="A52">
        <v>50</v>
      </c>
      <c r="B52">
        <v>47</v>
      </c>
      <c r="C52">
        <v>48</v>
      </c>
      <c r="D52" t="s">
        <v>1</v>
      </c>
      <c r="E52" t="s">
        <v>1</v>
      </c>
      <c r="F52">
        <v>0</v>
      </c>
      <c r="G52">
        <v>0</v>
      </c>
      <c r="H52">
        <v>0</v>
      </c>
      <c r="I52">
        <f t="shared" si="0"/>
        <v>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>
      <c r="A53">
        <v>51</v>
      </c>
      <c r="B53">
        <v>48</v>
      </c>
      <c r="C53">
        <v>49</v>
      </c>
      <c r="D53" t="s">
        <v>2</v>
      </c>
      <c r="E53" t="s">
        <v>2</v>
      </c>
      <c r="F53">
        <v>0</v>
      </c>
      <c r="G53">
        <v>0</v>
      </c>
      <c r="H53">
        <v>0</v>
      </c>
      <c r="I53">
        <f t="shared" si="0"/>
        <v>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>
      <c r="A54">
        <v>52</v>
      </c>
      <c r="B54">
        <v>49</v>
      </c>
      <c r="C54">
        <v>50</v>
      </c>
      <c r="D54" t="s">
        <v>2</v>
      </c>
      <c r="E54" t="s">
        <v>2</v>
      </c>
      <c r="F54">
        <v>0</v>
      </c>
      <c r="G54">
        <v>0</v>
      </c>
      <c r="H54">
        <v>0</v>
      </c>
      <c r="I54">
        <f t="shared" si="0"/>
        <v>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>
      <c r="A55">
        <v>53</v>
      </c>
      <c r="B55">
        <v>50</v>
      </c>
      <c r="C55">
        <v>51</v>
      </c>
      <c r="D55" t="s">
        <v>2</v>
      </c>
      <c r="E55" t="s">
        <v>2</v>
      </c>
      <c r="F55">
        <v>0</v>
      </c>
      <c r="G55">
        <v>0</v>
      </c>
      <c r="H55">
        <v>0</v>
      </c>
      <c r="I55">
        <f t="shared" si="0"/>
        <v>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>
      <c r="A56">
        <v>54</v>
      </c>
      <c r="B56">
        <v>51</v>
      </c>
      <c r="C56">
        <v>52</v>
      </c>
      <c r="D56" t="s">
        <v>40</v>
      </c>
      <c r="E56" t="s">
        <v>40</v>
      </c>
      <c r="F56">
        <v>0</v>
      </c>
      <c r="G56">
        <v>0</v>
      </c>
      <c r="H56">
        <v>0</v>
      </c>
      <c r="I56">
        <f t="shared" si="0"/>
        <v>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>
      <c r="A57">
        <v>55</v>
      </c>
      <c r="B57">
        <v>52</v>
      </c>
      <c r="C57">
        <v>53</v>
      </c>
      <c r="D57" t="s">
        <v>46</v>
      </c>
      <c r="E57" t="s">
        <v>46</v>
      </c>
      <c r="F57">
        <v>0</v>
      </c>
      <c r="G57">
        <v>0</v>
      </c>
      <c r="H57">
        <v>0</v>
      </c>
      <c r="I57">
        <f t="shared" si="0"/>
        <v>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>
      <c r="A58">
        <v>56</v>
      </c>
      <c r="B58">
        <v>53</v>
      </c>
      <c r="C58">
        <v>54</v>
      </c>
      <c r="D58" t="s">
        <v>48</v>
      </c>
      <c r="E58" t="s">
        <v>48</v>
      </c>
      <c r="F58">
        <v>0</v>
      </c>
      <c r="G58">
        <v>0</v>
      </c>
      <c r="H58">
        <v>0</v>
      </c>
      <c r="I58">
        <f t="shared" si="0"/>
        <v>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>
      <c r="A59">
        <v>57</v>
      </c>
      <c r="B59">
        <v>54</v>
      </c>
      <c r="C59">
        <v>55</v>
      </c>
      <c r="D59" t="s">
        <v>1</v>
      </c>
      <c r="E59" t="s">
        <v>1</v>
      </c>
      <c r="F59">
        <v>0</v>
      </c>
      <c r="G59">
        <v>0</v>
      </c>
      <c r="H59">
        <v>0</v>
      </c>
      <c r="I59">
        <f t="shared" si="0"/>
        <v>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>
      <c r="A60">
        <v>58</v>
      </c>
      <c r="B60">
        <v>55</v>
      </c>
      <c r="C60">
        <v>56</v>
      </c>
      <c r="D60" t="s">
        <v>7</v>
      </c>
      <c r="E60" t="s">
        <v>7</v>
      </c>
      <c r="F60">
        <v>0</v>
      </c>
      <c r="G60">
        <v>0</v>
      </c>
      <c r="H60">
        <v>0</v>
      </c>
      <c r="I60">
        <f t="shared" si="0"/>
        <v>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>
      <c r="A61">
        <v>59</v>
      </c>
      <c r="B61">
        <v>56</v>
      </c>
      <c r="C61">
        <v>57</v>
      </c>
      <c r="D61" t="s">
        <v>5</v>
      </c>
      <c r="E61" t="s">
        <v>5</v>
      </c>
      <c r="F61">
        <v>0</v>
      </c>
      <c r="G61">
        <v>0</v>
      </c>
      <c r="H61">
        <v>0</v>
      </c>
      <c r="I61">
        <f t="shared" si="0"/>
        <v>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>
      <c r="A62">
        <v>60</v>
      </c>
      <c r="B62">
        <v>57</v>
      </c>
      <c r="C62">
        <v>58</v>
      </c>
      <c r="D62" t="s">
        <v>1</v>
      </c>
      <c r="E62" t="s">
        <v>1</v>
      </c>
      <c r="F62">
        <v>0</v>
      </c>
      <c r="G62">
        <v>0</v>
      </c>
      <c r="H62">
        <v>0</v>
      </c>
      <c r="I62">
        <f t="shared" si="0"/>
        <v>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>
      <c r="A63">
        <v>61</v>
      </c>
      <c r="B63">
        <v>58</v>
      </c>
      <c r="C63">
        <v>59</v>
      </c>
      <c r="D63" t="s">
        <v>8</v>
      </c>
      <c r="E63" t="s">
        <v>8</v>
      </c>
      <c r="F63">
        <v>0</v>
      </c>
      <c r="G63">
        <v>0</v>
      </c>
      <c r="H63">
        <v>0</v>
      </c>
      <c r="I63">
        <f t="shared" si="0"/>
        <v>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>
      <c r="A64">
        <v>62</v>
      </c>
      <c r="B64">
        <v>59</v>
      </c>
      <c r="C64">
        <v>60</v>
      </c>
      <c r="D64" t="s">
        <v>1</v>
      </c>
      <c r="E64" t="s">
        <v>1</v>
      </c>
      <c r="F64">
        <v>0</v>
      </c>
      <c r="G64">
        <v>0</v>
      </c>
      <c r="H64">
        <v>0</v>
      </c>
      <c r="I64">
        <f t="shared" si="0"/>
        <v>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>
      <c r="A65">
        <v>63</v>
      </c>
      <c r="B65">
        <v>60</v>
      </c>
      <c r="C65">
        <v>61</v>
      </c>
      <c r="D65" t="s">
        <v>61</v>
      </c>
      <c r="E65" t="s">
        <v>61</v>
      </c>
      <c r="F65">
        <v>0</v>
      </c>
      <c r="G65">
        <v>0</v>
      </c>
      <c r="H65">
        <v>0</v>
      </c>
      <c r="I65">
        <f t="shared" si="0"/>
        <v>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>
        <v>64</v>
      </c>
      <c r="B66">
        <v>61</v>
      </c>
      <c r="C66">
        <v>62</v>
      </c>
      <c r="D66" t="s">
        <v>5</v>
      </c>
      <c r="E66" t="s">
        <v>5</v>
      </c>
      <c r="F66">
        <v>0</v>
      </c>
      <c r="G66">
        <v>0</v>
      </c>
      <c r="H66">
        <v>0</v>
      </c>
      <c r="I66">
        <f t="shared" si="0"/>
        <v>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>
      <c r="A67">
        <v>65</v>
      </c>
      <c r="B67">
        <v>62</v>
      </c>
      <c r="C67">
        <v>63</v>
      </c>
      <c r="D67" t="s">
        <v>42</v>
      </c>
      <c r="E67" t="s">
        <v>2</v>
      </c>
      <c r="F67">
        <v>0</v>
      </c>
      <c r="G67">
        <v>0</v>
      </c>
      <c r="H67">
        <v>0</v>
      </c>
      <c r="I67">
        <f t="shared" ref="I67:I130" si="1">COUNTIF(G67:H67,"&gt;0.1")</f>
        <v>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>
      <c r="A68">
        <v>66</v>
      </c>
      <c r="B68">
        <v>63</v>
      </c>
      <c r="C68">
        <v>64</v>
      </c>
      <c r="D68" t="s">
        <v>6</v>
      </c>
      <c r="E68" t="s">
        <v>6</v>
      </c>
      <c r="F68">
        <v>0</v>
      </c>
      <c r="G68">
        <v>0</v>
      </c>
      <c r="H68">
        <v>0</v>
      </c>
      <c r="I68">
        <f t="shared" si="1"/>
        <v>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>
        <v>67</v>
      </c>
      <c r="B69">
        <v>64</v>
      </c>
      <c r="C69">
        <v>65</v>
      </c>
      <c r="D69" t="s">
        <v>44</v>
      </c>
      <c r="E69" t="s">
        <v>45</v>
      </c>
      <c r="F69">
        <v>0</v>
      </c>
      <c r="G69">
        <v>0</v>
      </c>
      <c r="H69">
        <v>0</v>
      </c>
      <c r="I69">
        <f t="shared" si="1"/>
        <v>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>
      <c r="A70">
        <v>68</v>
      </c>
      <c r="B70">
        <v>65</v>
      </c>
      <c r="C70">
        <v>66</v>
      </c>
      <c r="D70" t="s">
        <v>9</v>
      </c>
      <c r="E70" t="s">
        <v>9</v>
      </c>
      <c r="F70">
        <v>0</v>
      </c>
      <c r="G70">
        <v>0</v>
      </c>
      <c r="H70">
        <v>0</v>
      </c>
      <c r="I70">
        <f t="shared" si="1"/>
        <v>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>
      <c r="A71">
        <v>69</v>
      </c>
      <c r="B71">
        <v>66</v>
      </c>
      <c r="C71">
        <v>67</v>
      </c>
      <c r="D71" t="s">
        <v>3</v>
      </c>
      <c r="E71" t="s">
        <v>3</v>
      </c>
      <c r="F71">
        <v>0</v>
      </c>
      <c r="G71">
        <v>0</v>
      </c>
      <c r="H71">
        <v>0</v>
      </c>
      <c r="I71">
        <f t="shared" si="1"/>
        <v>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>
      <c r="A72">
        <v>70</v>
      </c>
      <c r="B72">
        <v>67</v>
      </c>
      <c r="C72">
        <v>68</v>
      </c>
      <c r="D72" t="s">
        <v>44</v>
      </c>
      <c r="E72" t="s">
        <v>45</v>
      </c>
      <c r="F72">
        <v>0</v>
      </c>
      <c r="G72">
        <v>0</v>
      </c>
      <c r="H72">
        <v>0</v>
      </c>
      <c r="I72">
        <f t="shared" si="1"/>
        <v>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>
      <c r="A73">
        <v>71</v>
      </c>
      <c r="B73">
        <v>68</v>
      </c>
      <c r="C73">
        <v>69</v>
      </c>
      <c r="D73" t="s">
        <v>62</v>
      </c>
      <c r="E73" t="s">
        <v>62</v>
      </c>
      <c r="F73">
        <v>0</v>
      </c>
      <c r="G73">
        <v>0</v>
      </c>
      <c r="H73">
        <v>0</v>
      </c>
      <c r="I73">
        <f t="shared" si="1"/>
        <v>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>
      <c r="A74">
        <v>72</v>
      </c>
      <c r="B74">
        <v>69</v>
      </c>
      <c r="C74">
        <v>70</v>
      </c>
      <c r="D74" t="s">
        <v>1</v>
      </c>
      <c r="E74" t="s">
        <v>1</v>
      </c>
      <c r="F74">
        <v>0</v>
      </c>
      <c r="G74">
        <v>0</v>
      </c>
      <c r="H74">
        <v>0</v>
      </c>
      <c r="I74">
        <f t="shared" si="1"/>
        <v>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>
      <c r="A75">
        <v>73</v>
      </c>
      <c r="B75">
        <v>70</v>
      </c>
      <c r="C75">
        <v>71</v>
      </c>
      <c r="D75" t="s">
        <v>2</v>
      </c>
      <c r="E75" t="s">
        <v>2</v>
      </c>
      <c r="F75">
        <v>0</v>
      </c>
      <c r="G75">
        <v>0</v>
      </c>
      <c r="H75">
        <v>0</v>
      </c>
      <c r="I75">
        <f t="shared" si="1"/>
        <v>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>
      <c r="A76">
        <v>74</v>
      </c>
      <c r="B76">
        <v>71</v>
      </c>
      <c r="C76">
        <v>72</v>
      </c>
      <c r="D76" t="s">
        <v>9</v>
      </c>
      <c r="E76" t="s">
        <v>9</v>
      </c>
      <c r="F76">
        <v>0</v>
      </c>
      <c r="G76">
        <v>0</v>
      </c>
      <c r="H76">
        <v>0</v>
      </c>
      <c r="I76">
        <f t="shared" si="1"/>
        <v>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>
        <v>75</v>
      </c>
      <c r="B77">
        <v>72</v>
      </c>
      <c r="C77">
        <v>73</v>
      </c>
      <c r="D77" t="s">
        <v>1</v>
      </c>
      <c r="E77" t="s">
        <v>1</v>
      </c>
      <c r="F77">
        <v>0</v>
      </c>
      <c r="G77">
        <v>0</v>
      </c>
      <c r="H77">
        <v>0</v>
      </c>
      <c r="I77">
        <f t="shared" si="1"/>
        <v>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>
        <v>76</v>
      </c>
      <c r="B78">
        <v>73</v>
      </c>
      <c r="C78">
        <v>74</v>
      </c>
      <c r="D78" t="s">
        <v>48</v>
      </c>
      <c r="E78" t="s">
        <v>48</v>
      </c>
      <c r="F78">
        <v>0</v>
      </c>
      <c r="G78">
        <v>0</v>
      </c>
      <c r="H78">
        <v>0</v>
      </c>
      <c r="I78">
        <f t="shared" si="1"/>
        <v>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>
      <c r="A79">
        <v>77</v>
      </c>
      <c r="B79">
        <v>74</v>
      </c>
      <c r="C79">
        <v>75</v>
      </c>
      <c r="D79" t="s">
        <v>45</v>
      </c>
      <c r="E79" t="s">
        <v>45</v>
      </c>
      <c r="F79">
        <v>0</v>
      </c>
      <c r="G79">
        <v>0</v>
      </c>
      <c r="H79">
        <v>0</v>
      </c>
      <c r="I79">
        <f t="shared" si="1"/>
        <v>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>
      <c r="A80">
        <v>78</v>
      </c>
      <c r="B80">
        <v>75</v>
      </c>
      <c r="C80">
        <v>76</v>
      </c>
      <c r="D80" t="s">
        <v>43</v>
      </c>
      <c r="E80" t="s">
        <v>43</v>
      </c>
      <c r="F80">
        <v>0</v>
      </c>
      <c r="G80">
        <v>0</v>
      </c>
      <c r="H80">
        <v>0</v>
      </c>
      <c r="I80">
        <f t="shared" si="1"/>
        <v>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>
      <c r="A81">
        <v>79</v>
      </c>
      <c r="B81">
        <v>76</v>
      </c>
      <c r="C81">
        <v>77</v>
      </c>
      <c r="D81" t="s">
        <v>2</v>
      </c>
      <c r="E81" t="s">
        <v>2</v>
      </c>
      <c r="F81">
        <v>0</v>
      </c>
      <c r="G81">
        <v>0</v>
      </c>
      <c r="H81">
        <v>0</v>
      </c>
      <c r="I81">
        <f t="shared" si="1"/>
        <v>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>
      <c r="A82">
        <v>80</v>
      </c>
      <c r="B82">
        <v>77</v>
      </c>
      <c r="C82">
        <v>78</v>
      </c>
      <c r="D82" t="s">
        <v>5</v>
      </c>
      <c r="E82" t="s">
        <v>5</v>
      </c>
      <c r="F82">
        <v>0</v>
      </c>
      <c r="G82">
        <v>0</v>
      </c>
      <c r="H82">
        <v>0</v>
      </c>
      <c r="I82">
        <f t="shared" si="1"/>
        <v>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>
      <c r="A83">
        <v>81</v>
      </c>
      <c r="B83">
        <v>78</v>
      </c>
      <c r="C83">
        <v>79</v>
      </c>
      <c r="D83" t="s">
        <v>43</v>
      </c>
      <c r="E83" t="s">
        <v>43</v>
      </c>
      <c r="F83">
        <v>0</v>
      </c>
      <c r="G83">
        <v>0</v>
      </c>
      <c r="H83">
        <v>0</v>
      </c>
      <c r="I83">
        <f t="shared" si="1"/>
        <v>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>
      <c r="A84">
        <v>82</v>
      </c>
      <c r="B84">
        <v>79</v>
      </c>
      <c r="C84">
        <v>80</v>
      </c>
      <c r="D84" t="s">
        <v>3</v>
      </c>
      <c r="E84" t="s">
        <v>3</v>
      </c>
      <c r="F84">
        <v>0</v>
      </c>
      <c r="G84">
        <v>0</v>
      </c>
      <c r="H84">
        <v>0</v>
      </c>
      <c r="I84">
        <f t="shared" si="1"/>
        <v>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>
      <c r="A85">
        <v>83</v>
      </c>
      <c r="B85">
        <v>80</v>
      </c>
      <c r="C85">
        <v>81</v>
      </c>
      <c r="D85" t="s">
        <v>43</v>
      </c>
      <c r="E85" t="s">
        <v>43</v>
      </c>
      <c r="F85">
        <v>0</v>
      </c>
      <c r="G85">
        <v>0</v>
      </c>
      <c r="H85">
        <v>0</v>
      </c>
      <c r="I85">
        <f t="shared" si="1"/>
        <v>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>
      <c r="A86">
        <v>84</v>
      </c>
      <c r="B86">
        <v>81</v>
      </c>
      <c r="C86">
        <v>82</v>
      </c>
      <c r="D86" t="s">
        <v>42</v>
      </c>
      <c r="E86" t="s">
        <v>42</v>
      </c>
      <c r="F86">
        <v>0</v>
      </c>
      <c r="G86">
        <v>0</v>
      </c>
      <c r="H86">
        <v>0</v>
      </c>
      <c r="I86">
        <f t="shared" si="1"/>
        <v>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>
      <c r="A87">
        <v>85</v>
      </c>
      <c r="B87">
        <v>82</v>
      </c>
      <c r="C87">
        <v>83</v>
      </c>
      <c r="D87" t="s">
        <v>6</v>
      </c>
      <c r="E87" t="s">
        <v>6</v>
      </c>
      <c r="F87">
        <v>0</v>
      </c>
      <c r="G87">
        <v>0</v>
      </c>
      <c r="H87">
        <v>0</v>
      </c>
      <c r="I87">
        <f t="shared" si="1"/>
        <v>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>
      <c r="A88">
        <v>86</v>
      </c>
      <c r="B88">
        <v>83</v>
      </c>
      <c r="C88">
        <v>84</v>
      </c>
      <c r="D88" t="s">
        <v>45</v>
      </c>
      <c r="E88" t="s">
        <v>45</v>
      </c>
      <c r="F88">
        <v>0</v>
      </c>
      <c r="G88">
        <v>0</v>
      </c>
      <c r="H88">
        <v>0</v>
      </c>
      <c r="I88">
        <f t="shared" si="1"/>
        <v>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>
      <c r="A89">
        <v>87</v>
      </c>
      <c r="B89">
        <v>84</v>
      </c>
      <c r="C89">
        <v>85</v>
      </c>
      <c r="D89" t="s">
        <v>6</v>
      </c>
      <c r="E89" t="s">
        <v>45</v>
      </c>
      <c r="F89">
        <v>0</v>
      </c>
      <c r="G89">
        <v>0</v>
      </c>
      <c r="H89">
        <v>0</v>
      </c>
      <c r="I89">
        <f t="shared" si="1"/>
        <v>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>
      <c r="A90">
        <v>88</v>
      </c>
      <c r="B90">
        <v>85</v>
      </c>
      <c r="C90">
        <v>86</v>
      </c>
      <c r="D90" t="s">
        <v>40</v>
      </c>
      <c r="E90" t="s">
        <v>40</v>
      </c>
      <c r="F90">
        <v>0</v>
      </c>
      <c r="G90">
        <v>0</v>
      </c>
      <c r="H90">
        <v>0</v>
      </c>
      <c r="I90">
        <f t="shared" si="1"/>
        <v>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>
      <c r="A91">
        <v>89</v>
      </c>
      <c r="B91">
        <v>86</v>
      </c>
      <c r="C91">
        <v>87</v>
      </c>
      <c r="D91" t="s">
        <v>8</v>
      </c>
      <c r="E91" t="s">
        <v>45</v>
      </c>
      <c r="F91">
        <v>0</v>
      </c>
      <c r="G91">
        <v>0</v>
      </c>
      <c r="H91">
        <v>0</v>
      </c>
      <c r="I91">
        <f t="shared" si="1"/>
        <v>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A92">
        <v>90</v>
      </c>
      <c r="B92">
        <v>87</v>
      </c>
      <c r="C92">
        <v>88</v>
      </c>
      <c r="D92" t="s">
        <v>3</v>
      </c>
      <c r="E92" t="s">
        <v>3</v>
      </c>
      <c r="F92">
        <v>0</v>
      </c>
      <c r="G92">
        <v>0</v>
      </c>
      <c r="H92">
        <v>0</v>
      </c>
      <c r="I92">
        <f t="shared" si="1"/>
        <v>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>
      <c r="A93">
        <v>91</v>
      </c>
      <c r="B93">
        <v>88</v>
      </c>
      <c r="C93">
        <v>89</v>
      </c>
      <c r="D93" t="s">
        <v>45</v>
      </c>
      <c r="E93" t="s">
        <v>45</v>
      </c>
      <c r="F93">
        <v>0</v>
      </c>
      <c r="G93">
        <v>0</v>
      </c>
      <c r="H93">
        <v>0</v>
      </c>
      <c r="I93">
        <f t="shared" si="1"/>
        <v>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>
      <c r="A94">
        <v>92</v>
      </c>
      <c r="B94">
        <v>89</v>
      </c>
      <c r="C94">
        <v>90</v>
      </c>
      <c r="D94" t="s">
        <v>2</v>
      </c>
      <c r="E94" t="s">
        <v>2</v>
      </c>
      <c r="F94">
        <v>0</v>
      </c>
      <c r="G94">
        <v>0</v>
      </c>
      <c r="H94">
        <v>0</v>
      </c>
      <c r="I94">
        <f t="shared" si="1"/>
        <v>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>
      <c r="A95">
        <v>93</v>
      </c>
      <c r="B95">
        <v>90</v>
      </c>
      <c r="C95">
        <v>91</v>
      </c>
      <c r="D95" t="s">
        <v>6</v>
      </c>
      <c r="E95" t="s">
        <v>6</v>
      </c>
      <c r="F95">
        <v>0</v>
      </c>
      <c r="G95">
        <v>0</v>
      </c>
      <c r="H95">
        <v>0</v>
      </c>
      <c r="I95">
        <f t="shared" si="1"/>
        <v>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>
      <c r="A96">
        <v>94</v>
      </c>
      <c r="B96">
        <v>91</v>
      </c>
      <c r="C96">
        <v>92</v>
      </c>
      <c r="D96" t="s">
        <v>3</v>
      </c>
      <c r="E96" t="s">
        <v>3</v>
      </c>
      <c r="F96">
        <v>0</v>
      </c>
      <c r="G96">
        <v>0</v>
      </c>
      <c r="H96">
        <v>0</v>
      </c>
      <c r="I96">
        <f t="shared" si="1"/>
        <v>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>
      <c r="A97">
        <v>95</v>
      </c>
      <c r="B97">
        <v>92</v>
      </c>
      <c r="C97">
        <v>93</v>
      </c>
      <c r="D97" t="s">
        <v>46</v>
      </c>
      <c r="E97" t="s">
        <v>46</v>
      </c>
      <c r="F97">
        <v>0</v>
      </c>
      <c r="G97">
        <v>0</v>
      </c>
      <c r="H97">
        <v>0</v>
      </c>
      <c r="I97">
        <f t="shared" si="1"/>
        <v>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>
      <c r="A98">
        <v>96</v>
      </c>
      <c r="B98">
        <v>93</v>
      </c>
      <c r="C98">
        <v>94</v>
      </c>
      <c r="D98" t="s">
        <v>3</v>
      </c>
      <c r="E98" t="s">
        <v>3</v>
      </c>
      <c r="F98">
        <v>0</v>
      </c>
      <c r="G98">
        <v>0</v>
      </c>
      <c r="H98">
        <v>0</v>
      </c>
      <c r="I98">
        <f t="shared" si="1"/>
        <v>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>
      <c r="A99">
        <v>97</v>
      </c>
      <c r="B99">
        <v>94</v>
      </c>
      <c r="C99">
        <v>95</v>
      </c>
      <c r="D99" t="s">
        <v>41</v>
      </c>
      <c r="E99" t="s">
        <v>41</v>
      </c>
      <c r="F99">
        <v>0</v>
      </c>
      <c r="G99">
        <v>0</v>
      </c>
      <c r="H99">
        <v>0</v>
      </c>
      <c r="I99">
        <f t="shared" si="1"/>
        <v>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>
      <c r="A100">
        <v>98</v>
      </c>
      <c r="B100">
        <v>95</v>
      </c>
      <c r="C100">
        <v>96</v>
      </c>
      <c r="D100" t="s">
        <v>62</v>
      </c>
      <c r="E100" t="s">
        <v>62</v>
      </c>
      <c r="F100">
        <v>0</v>
      </c>
      <c r="G100">
        <v>0</v>
      </c>
      <c r="H100">
        <v>0</v>
      </c>
      <c r="I100">
        <f t="shared" si="1"/>
        <v>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>
      <c r="A101">
        <v>99</v>
      </c>
      <c r="B101">
        <v>96</v>
      </c>
      <c r="C101">
        <v>97</v>
      </c>
      <c r="D101" t="s">
        <v>8</v>
      </c>
      <c r="E101" t="s">
        <v>8</v>
      </c>
      <c r="F101">
        <v>0</v>
      </c>
      <c r="G101">
        <v>0</v>
      </c>
      <c r="H101">
        <v>0</v>
      </c>
      <c r="I101">
        <f t="shared" si="1"/>
        <v>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>
      <c r="A102">
        <v>100</v>
      </c>
      <c r="B102">
        <v>97</v>
      </c>
      <c r="C102">
        <v>98</v>
      </c>
      <c r="D102" t="s">
        <v>7</v>
      </c>
      <c r="E102" t="s">
        <v>3</v>
      </c>
      <c r="F102" t="s">
        <v>3</v>
      </c>
      <c r="G102">
        <v>0.50228675136116097</v>
      </c>
      <c r="H102">
        <v>0</v>
      </c>
      <c r="I102">
        <f t="shared" si="1"/>
        <v>1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>
      <c r="A103">
        <v>101</v>
      </c>
      <c r="B103">
        <v>98</v>
      </c>
      <c r="C103">
        <v>99</v>
      </c>
      <c r="D103" t="s">
        <v>3</v>
      </c>
      <c r="E103" t="s">
        <v>5</v>
      </c>
      <c r="F103">
        <v>0</v>
      </c>
      <c r="G103">
        <v>0</v>
      </c>
      <c r="H103">
        <v>0</v>
      </c>
      <c r="I103">
        <f t="shared" si="1"/>
        <v>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>
      <c r="A104">
        <v>102</v>
      </c>
      <c r="B104">
        <v>99</v>
      </c>
      <c r="C104">
        <v>100</v>
      </c>
      <c r="D104" t="s">
        <v>41</v>
      </c>
      <c r="E104" t="s">
        <v>41</v>
      </c>
      <c r="F104">
        <v>0</v>
      </c>
      <c r="G104">
        <v>0</v>
      </c>
      <c r="H104">
        <v>0</v>
      </c>
      <c r="I104">
        <f t="shared" si="1"/>
        <v>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>
      <c r="A105">
        <v>103</v>
      </c>
      <c r="B105">
        <v>100</v>
      </c>
      <c r="C105">
        <v>101</v>
      </c>
      <c r="D105" t="s">
        <v>45</v>
      </c>
      <c r="E105" t="s">
        <v>45</v>
      </c>
      <c r="F105">
        <v>0</v>
      </c>
      <c r="G105">
        <v>0</v>
      </c>
      <c r="H105">
        <v>0</v>
      </c>
      <c r="I105">
        <f t="shared" si="1"/>
        <v>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>
      <c r="A106">
        <v>104</v>
      </c>
      <c r="B106">
        <v>101</v>
      </c>
      <c r="C106">
        <v>102</v>
      </c>
      <c r="D106" t="s">
        <v>6</v>
      </c>
      <c r="E106" t="s">
        <v>6</v>
      </c>
      <c r="F106">
        <v>0</v>
      </c>
      <c r="G106">
        <v>0</v>
      </c>
      <c r="H106">
        <v>0</v>
      </c>
      <c r="I106">
        <f t="shared" si="1"/>
        <v>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>
      <c r="A107">
        <v>105</v>
      </c>
      <c r="B107">
        <v>102</v>
      </c>
      <c r="C107">
        <v>103</v>
      </c>
      <c r="D107" t="s">
        <v>42</v>
      </c>
      <c r="E107" t="s">
        <v>42</v>
      </c>
      <c r="F107">
        <v>0</v>
      </c>
      <c r="G107">
        <v>0</v>
      </c>
      <c r="H107">
        <v>0</v>
      </c>
      <c r="I107">
        <f t="shared" si="1"/>
        <v>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>
      <c r="A108">
        <v>106</v>
      </c>
      <c r="B108">
        <v>103</v>
      </c>
      <c r="C108">
        <v>104</v>
      </c>
      <c r="D108" t="s">
        <v>41</v>
      </c>
      <c r="E108" t="s">
        <v>41</v>
      </c>
      <c r="F108">
        <v>0</v>
      </c>
      <c r="G108">
        <v>0</v>
      </c>
      <c r="H108">
        <v>0</v>
      </c>
      <c r="I108">
        <f t="shared" si="1"/>
        <v>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>
      <c r="A109">
        <v>107</v>
      </c>
      <c r="B109">
        <v>104</v>
      </c>
      <c r="C109">
        <v>105</v>
      </c>
      <c r="D109" t="s">
        <v>9</v>
      </c>
      <c r="E109" t="s">
        <v>9</v>
      </c>
      <c r="F109">
        <v>0</v>
      </c>
      <c r="G109">
        <v>0</v>
      </c>
      <c r="H109">
        <v>0</v>
      </c>
      <c r="I109">
        <f t="shared" si="1"/>
        <v>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>
      <c r="A110">
        <v>108</v>
      </c>
      <c r="B110">
        <v>105</v>
      </c>
      <c r="C110">
        <v>106</v>
      </c>
      <c r="D110" t="s">
        <v>6</v>
      </c>
      <c r="E110" t="s">
        <v>6</v>
      </c>
      <c r="F110">
        <v>0</v>
      </c>
      <c r="G110">
        <v>0</v>
      </c>
      <c r="H110">
        <v>0</v>
      </c>
      <c r="I110">
        <f t="shared" si="1"/>
        <v>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>
      <c r="A111">
        <v>109</v>
      </c>
      <c r="B111">
        <v>106</v>
      </c>
      <c r="C111">
        <v>107</v>
      </c>
      <c r="D111" t="s">
        <v>5</v>
      </c>
      <c r="E111" t="s">
        <v>5</v>
      </c>
      <c r="F111">
        <v>0</v>
      </c>
      <c r="G111">
        <v>0</v>
      </c>
      <c r="H111">
        <v>0</v>
      </c>
      <c r="I111">
        <f t="shared" si="1"/>
        <v>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>
      <c r="A112">
        <v>110</v>
      </c>
      <c r="B112">
        <v>107</v>
      </c>
      <c r="C112">
        <v>108</v>
      </c>
      <c r="D112" t="s">
        <v>44</v>
      </c>
      <c r="E112" t="s">
        <v>44</v>
      </c>
      <c r="F112">
        <v>0</v>
      </c>
      <c r="G112">
        <v>0</v>
      </c>
      <c r="H112">
        <v>0</v>
      </c>
      <c r="I112">
        <f t="shared" si="1"/>
        <v>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>
      <c r="A113">
        <v>111</v>
      </c>
      <c r="B113">
        <v>108</v>
      </c>
      <c r="C113">
        <v>109</v>
      </c>
      <c r="D113" t="s">
        <v>44</v>
      </c>
      <c r="E113" t="s">
        <v>44</v>
      </c>
      <c r="F113">
        <v>0</v>
      </c>
      <c r="G113">
        <v>0</v>
      </c>
      <c r="H113">
        <v>0</v>
      </c>
      <c r="I113">
        <f t="shared" si="1"/>
        <v>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>
      <c r="A114">
        <v>112</v>
      </c>
      <c r="B114">
        <v>109</v>
      </c>
      <c r="C114">
        <v>110</v>
      </c>
      <c r="D114" t="s">
        <v>7</v>
      </c>
      <c r="E114" t="s">
        <v>7</v>
      </c>
      <c r="F114">
        <v>0</v>
      </c>
      <c r="G114">
        <v>0</v>
      </c>
      <c r="H114">
        <v>0</v>
      </c>
      <c r="I114">
        <f t="shared" si="1"/>
        <v>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>
      <c r="A115">
        <v>113</v>
      </c>
      <c r="B115">
        <v>110</v>
      </c>
      <c r="C115">
        <v>111</v>
      </c>
      <c r="D115" t="s">
        <v>40</v>
      </c>
      <c r="E115" t="s">
        <v>40</v>
      </c>
      <c r="F115">
        <v>0</v>
      </c>
      <c r="G115">
        <v>0</v>
      </c>
      <c r="H115">
        <v>0</v>
      </c>
      <c r="I115">
        <f t="shared" si="1"/>
        <v>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>
      <c r="A116">
        <v>114</v>
      </c>
      <c r="B116">
        <v>111</v>
      </c>
      <c r="C116">
        <v>112</v>
      </c>
      <c r="D116" t="s">
        <v>62</v>
      </c>
      <c r="E116" t="s">
        <v>62</v>
      </c>
      <c r="F116">
        <v>0</v>
      </c>
      <c r="G116">
        <v>0</v>
      </c>
      <c r="H116">
        <v>0</v>
      </c>
      <c r="I116">
        <f t="shared" si="1"/>
        <v>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>
      <c r="A117">
        <v>115</v>
      </c>
      <c r="B117">
        <v>112</v>
      </c>
      <c r="C117">
        <v>113</v>
      </c>
      <c r="D117" t="s">
        <v>5</v>
      </c>
      <c r="E117" t="s">
        <v>5</v>
      </c>
      <c r="F117">
        <v>0</v>
      </c>
      <c r="G117">
        <v>0</v>
      </c>
      <c r="H117">
        <v>0</v>
      </c>
      <c r="I117">
        <f t="shared" si="1"/>
        <v>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>
      <c r="A118">
        <v>116</v>
      </c>
      <c r="B118">
        <v>113</v>
      </c>
      <c r="C118">
        <v>114</v>
      </c>
      <c r="D118" t="s">
        <v>42</v>
      </c>
      <c r="E118" t="s">
        <v>42</v>
      </c>
      <c r="F118">
        <v>0</v>
      </c>
      <c r="G118">
        <v>0</v>
      </c>
      <c r="H118">
        <v>0</v>
      </c>
      <c r="I118">
        <f t="shared" si="1"/>
        <v>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>
      <c r="A119">
        <v>117</v>
      </c>
      <c r="B119">
        <v>114</v>
      </c>
      <c r="C119">
        <v>115</v>
      </c>
      <c r="D119" t="s">
        <v>7</v>
      </c>
      <c r="E119" t="s">
        <v>7</v>
      </c>
      <c r="F119">
        <v>0</v>
      </c>
      <c r="G119">
        <v>0</v>
      </c>
      <c r="H119">
        <v>0</v>
      </c>
      <c r="I119">
        <f t="shared" si="1"/>
        <v>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>
      <c r="A120">
        <v>118</v>
      </c>
      <c r="B120">
        <v>115</v>
      </c>
      <c r="C120">
        <v>116</v>
      </c>
      <c r="D120" t="s">
        <v>40</v>
      </c>
      <c r="E120" t="s">
        <v>40</v>
      </c>
      <c r="F120">
        <v>0</v>
      </c>
      <c r="G120">
        <v>0</v>
      </c>
      <c r="H120">
        <v>0</v>
      </c>
      <c r="I120">
        <f t="shared" si="1"/>
        <v>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>
      <c r="A121">
        <v>119</v>
      </c>
      <c r="B121">
        <v>116</v>
      </c>
      <c r="C121">
        <v>117</v>
      </c>
      <c r="D121" t="s">
        <v>8</v>
      </c>
      <c r="E121" t="s">
        <v>8</v>
      </c>
      <c r="F121">
        <v>0</v>
      </c>
      <c r="G121">
        <v>0</v>
      </c>
      <c r="H121">
        <v>0</v>
      </c>
      <c r="I121">
        <f t="shared" si="1"/>
        <v>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>
      <c r="A122">
        <v>120</v>
      </c>
      <c r="B122">
        <v>117</v>
      </c>
      <c r="C122">
        <v>118</v>
      </c>
      <c r="D122" t="s">
        <v>43</v>
      </c>
      <c r="E122" t="s">
        <v>43</v>
      </c>
      <c r="F122">
        <v>0</v>
      </c>
      <c r="G122">
        <v>0</v>
      </c>
      <c r="H122">
        <v>0</v>
      </c>
      <c r="I122">
        <f t="shared" si="1"/>
        <v>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>
      <c r="A123">
        <v>121</v>
      </c>
      <c r="B123">
        <v>118</v>
      </c>
      <c r="C123">
        <v>119</v>
      </c>
      <c r="D123" t="s">
        <v>48</v>
      </c>
      <c r="E123" t="s">
        <v>48</v>
      </c>
      <c r="F123">
        <v>0</v>
      </c>
      <c r="G123">
        <v>0</v>
      </c>
      <c r="H123">
        <v>0</v>
      </c>
      <c r="I123">
        <f t="shared" si="1"/>
        <v>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>
      <c r="A124">
        <v>122</v>
      </c>
      <c r="B124">
        <v>119</v>
      </c>
      <c r="C124">
        <v>120</v>
      </c>
      <c r="D124" t="s">
        <v>45</v>
      </c>
      <c r="E124" t="s">
        <v>45</v>
      </c>
      <c r="F124">
        <v>0</v>
      </c>
      <c r="G124">
        <v>0</v>
      </c>
      <c r="H124">
        <v>0</v>
      </c>
      <c r="I124">
        <f t="shared" si="1"/>
        <v>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>
      <c r="A125">
        <v>123</v>
      </c>
      <c r="B125">
        <v>120</v>
      </c>
      <c r="C125">
        <v>121</v>
      </c>
      <c r="D125" t="s">
        <v>8</v>
      </c>
      <c r="E125" t="s">
        <v>8</v>
      </c>
      <c r="F125">
        <v>0</v>
      </c>
      <c r="G125">
        <v>0</v>
      </c>
      <c r="H125">
        <v>0</v>
      </c>
      <c r="I125">
        <f t="shared" si="1"/>
        <v>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>
      <c r="A126">
        <v>124</v>
      </c>
      <c r="B126">
        <v>121</v>
      </c>
      <c r="C126">
        <v>122</v>
      </c>
      <c r="D126" t="s">
        <v>40</v>
      </c>
      <c r="E126" t="s">
        <v>40</v>
      </c>
      <c r="F126">
        <v>0</v>
      </c>
      <c r="G126">
        <v>0</v>
      </c>
      <c r="H126">
        <v>0</v>
      </c>
      <c r="I126">
        <f t="shared" si="1"/>
        <v>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>
      <c r="A127">
        <v>125</v>
      </c>
      <c r="B127">
        <v>122</v>
      </c>
      <c r="C127">
        <v>123</v>
      </c>
      <c r="D127" t="s">
        <v>2</v>
      </c>
      <c r="E127" t="s">
        <v>2</v>
      </c>
      <c r="F127">
        <v>0</v>
      </c>
      <c r="G127">
        <v>0</v>
      </c>
      <c r="H127">
        <v>0</v>
      </c>
      <c r="I127">
        <f t="shared" si="1"/>
        <v>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>
      <c r="A128">
        <v>126</v>
      </c>
      <c r="B128">
        <v>123</v>
      </c>
      <c r="C128">
        <v>124</v>
      </c>
      <c r="D128" t="s">
        <v>43</v>
      </c>
      <c r="E128" t="s">
        <v>43</v>
      </c>
      <c r="F128">
        <v>0</v>
      </c>
      <c r="G128">
        <v>0</v>
      </c>
      <c r="H128">
        <v>0</v>
      </c>
      <c r="I128">
        <f t="shared" si="1"/>
        <v>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>
      <c r="A129">
        <v>127</v>
      </c>
      <c r="B129">
        <v>124</v>
      </c>
      <c r="C129">
        <v>125</v>
      </c>
      <c r="D129" t="s">
        <v>40</v>
      </c>
      <c r="E129" t="s">
        <v>40</v>
      </c>
      <c r="F129">
        <v>0</v>
      </c>
      <c r="G129">
        <v>0</v>
      </c>
      <c r="H129">
        <v>0</v>
      </c>
      <c r="I129">
        <f t="shared" si="1"/>
        <v>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>
      <c r="A130">
        <v>128</v>
      </c>
      <c r="B130">
        <v>125</v>
      </c>
      <c r="C130">
        <v>126</v>
      </c>
      <c r="D130" t="s">
        <v>48</v>
      </c>
      <c r="E130" t="s">
        <v>48</v>
      </c>
      <c r="F130">
        <v>0</v>
      </c>
      <c r="G130">
        <v>0</v>
      </c>
      <c r="H130">
        <v>0</v>
      </c>
      <c r="I130">
        <f t="shared" si="1"/>
        <v>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>
      <c r="A131">
        <v>129</v>
      </c>
      <c r="B131">
        <v>126</v>
      </c>
      <c r="C131">
        <v>127</v>
      </c>
      <c r="D131" t="s">
        <v>45</v>
      </c>
      <c r="E131" t="s">
        <v>45</v>
      </c>
      <c r="F131">
        <v>0</v>
      </c>
      <c r="G131">
        <v>0</v>
      </c>
      <c r="H131">
        <v>0</v>
      </c>
      <c r="I131">
        <f t="shared" ref="I131:I194" si="2">COUNTIF(G131:H131,"&gt;0.1")</f>
        <v>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>
      <c r="A132">
        <v>130</v>
      </c>
      <c r="B132">
        <v>127</v>
      </c>
      <c r="C132">
        <v>128</v>
      </c>
      <c r="D132" t="s">
        <v>2</v>
      </c>
      <c r="E132" t="s">
        <v>7</v>
      </c>
      <c r="F132">
        <v>0</v>
      </c>
      <c r="G132">
        <v>0</v>
      </c>
      <c r="H132">
        <v>0</v>
      </c>
      <c r="I132">
        <f t="shared" si="2"/>
        <v>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>
      <c r="A133">
        <v>131</v>
      </c>
      <c r="B133">
        <v>128</v>
      </c>
      <c r="C133">
        <v>129</v>
      </c>
      <c r="D133" t="s">
        <v>40</v>
      </c>
      <c r="E133" t="s">
        <v>40</v>
      </c>
      <c r="F133">
        <v>0</v>
      </c>
      <c r="G133">
        <v>0</v>
      </c>
      <c r="H133">
        <v>0</v>
      </c>
      <c r="I133">
        <f t="shared" si="2"/>
        <v>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>
      <c r="A134">
        <v>132</v>
      </c>
      <c r="B134">
        <v>129</v>
      </c>
      <c r="C134">
        <v>130</v>
      </c>
      <c r="D134" t="s">
        <v>8</v>
      </c>
      <c r="E134" t="s">
        <v>8</v>
      </c>
      <c r="F134">
        <v>0</v>
      </c>
      <c r="G134">
        <v>0</v>
      </c>
      <c r="H134">
        <v>0</v>
      </c>
      <c r="I134">
        <f t="shared" si="2"/>
        <v>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>
      <c r="A135">
        <v>133</v>
      </c>
      <c r="B135">
        <v>130</v>
      </c>
      <c r="C135">
        <v>131</v>
      </c>
      <c r="D135" t="s">
        <v>48</v>
      </c>
      <c r="E135" t="s">
        <v>48</v>
      </c>
      <c r="F135">
        <v>0</v>
      </c>
      <c r="G135">
        <v>0</v>
      </c>
      <c r="H135">
        <v>0</v>
      </c>
      <c r="I135">
        <f t="shared" si="2"/>
        <v>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>
      <c r="A136">
        <v>134</v>
      </c>
      <c r="B136">
        <v>131</v>
      </c>
      <c r="C136">
        <v>132</v>
      </c>
      <c r="D136" t="s">
        <v>2</v>
      </c>
      <c r="E136" t="s">
        <v>2</v>
      </c>
      <c r="F136">
        <v>0</v>
      </c>
      <c r="G136">
        <v>0</v>
      </c>
      <c r="H136">
        <v>0</v>
      </c>
      <c r="I136">
        <f t="shared" si="2"/>
        <v>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>
      <c r="A137">
        <v>135</v>
      </c>
      <c r="B137">
        <v>132</v>
      </c>
      <c r="C137">
        <v>133</v>
      </c>
      <c r="D137" t="s">
        <v>5</v>
      </c>
      <c r="E137" t="s">
        <v>5</v>
      </c>
      <c r="F137">
        <v>0</v>
      </c>
      <c r="G137">
        <v>0</v>
      </c>
      <c r="H137">
        <v>0</v>
      </c>
      <c r="I137">
        <f t="shared" si="2"/>
        <v>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>
      <c r="A138">
        <v>136</v>
      </c>
      <c r="B138">
        <v>133</v>
      </c>
      <c r="C138">
        <v>134</v>
      </c>
      <c r="D138" t="s">
        <v>40</v>
      </c>
      <c r="E138" t="s">
        <v>40</v>
      </c>
      <c r="F138">
        <v>0</v>
      </c>
      <c r="G138">
        <v>0</v>
      </c>
      <c r="H138">
        <v>0</v>
      </c>
      <c r="I138">
        <f t="shared" si="2"/>
        <v>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>
      <c r="A139">
        <v>137</v>
      </c>
      <c r="B139">
        <v>134</v>
      </c>
      <c r="C139">
        <v>135</v>
      </c>
      <c r="D139" t="s">
        <v>3</v>
      </c>
      <c r="E139" t="s">
        <v>8</v>
      </c>
      <c r="F139">
        <v>0</v>
      </c>
      <c r="G139">
        <v>0</v>
      </c>
      <c r="H139">
        <v>0</v>
      </c>
      <c r="I139">
        <f t="shared" si="2"/>
        <v>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>
      <c r="A140">
        <v>138</v>
      </c>
      <c r="B140">
        <v>135</v>
      </c>
      <c r="C140" t="s">
        <v>67</v>
      </c>
      <c r="D140" t="s">
        <v>45</v>
      </c>
      <c r="E140" t="s">
        <v>58</v>
      </c>
      <c r="F140">
        <v>0</v>
      </c>
      <c r="G140">
        <v>0</v>
      </c>
      <c r="H140">
        <v>0</v>
      </c>
      <c r="I140">
        <f t="shared" si="2"/>
        <v>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>
      <c r="A141">
        <v>139</v>
      </c>
      <c r="B141">
        <v>136</v>
      </c>
      <c r="C141" t="s">
        <v>68</v>
      </c>
      <c r="D141" t="s">
        <v>2</v>
      </c>
      <c r="E141" t="s">
        <v>58</v>
      </c>
      <c r="F141">
        <v>0</v>
      </c>
      <c r="G141">
        <v>0</v>
      </c>
      <c r="H141">
        <v>0</v>
      </c>
      <c r="I141">
        <f t="shared" si="2"/>
        <v>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>
      <c r="A142">
        <v>140</v>
      </c>
      <c r="B142">
        <v>137</v>
      </c>
      <c r="C142">
        <v>136</v>
      </c>
      <c r="D142" t="s">
        <v>3</v>
      </c>
      <c r="E142" t="s">
        <v>3</v>
      </c>
      <c r="F142">
        <v>0</v>
      </c>
      <c r="G142">
        <v>0</v>
      </c>
      <c r="H142">
        <v>0</v>
      </c>
      <c r="I142">
        <f t="shared" si="2"/>
        <v>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>
      <c r="A143">
        <v>141</v>
      </c>
      <c r="B143">
        <v>138</v>
      </c>
      <c r="C143">
        <v>137</v>
      </c>
      <c r="D143" t="s">
        <v>7</v>
      </c>
      <c r="E143" t="s">
        <v>5</v>
      </c>
      <c r="F143">
        <v>0</v>
      </c>
      <c r="G143">
        <v>0</v>
      </c>
      <c r="H143">
        <v>0</v>
      </c>
      <c r="I143">
        <f t="shared" si="2"/>
        <v>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>
      <c r="A144">
        <v>142</v>
      </c>
      <c r="B144">
        <v>139</v>
      </c>
      <c r="C144">
        <v>138</v>
      </c>
      <c r="D144" t="s">
        <v>3</v>
      </c>
      <c r="E144" t="s">
        <v>2</v>
      </c>
      <c r="F144">
        <v>0</v>
      </c>
      <c r="G144">
        <v>0</v>
      </c>
      <c r="H144">
        <v>0</v>
      </c>
      <c r="I144">
        <f t="shared" si="2"/>
        <v>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>
      <c r="A145">
        <v>143</v>
      </c>
      <c r="B145">
        <v>140</v>
      </c>
      <c r="C145">
        <v>139</v>
      </c>
      <c r="D145" t="s">
        <v>7</v>
      </c>
      <c r="E145" t="s">
        <v>3</v>
      </c>
      <c r="F145">
        <v>0</v>
      </c>
      <c r="G145">
        <v>0</v>
      </c>
      <c r="H145">
        <v>0</v>
      </c>
      <c r="I145">
        <f t="shared" si="2"/>
        <v>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>
      <c r="A146">
        <v>144</v>
      </c>
      <c r="B146">
        <v>141</v>
      </c>
      <c r="C146">
        <v>140</v>
      </c>
      <c r="D146" t="s">
        <v>2</v>
      </c>
      <c r="E146" t="s">
        <v>2</v>
      </c>
      <c r="F146">
        <v>0</v>
      </c>
      <c r="G146">
        <v>0</v>
      </c>
      <c r="H146">
        <v>0</v>
      </c>
      <c r="I146">
        <f t="shared" si="2"/>
        <v>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>
      <c r="A147">
        <v>145</v>
      </c>
      <c r="B147">
        <v>142</v>
      </c>
      <c r="C147">
        <v>141</v>
      </c>
      <c r="D147" t="s">
        <v>5</v>
      </c>
      <c r="E147" t="s">
        <v>3</v>
      </c>
      <c r="F147">
        <v>0</v>
      </c>
      <c r="G147">
        <v>0</v>
      </c>
      <c r="H147">
        <v>0</v>
      </c>
      <c r="I147">
        <f t="shared" si="2"/>
        <v>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>
      <c r="A148">
        <v>146</v>
      </c>
      <c r="B148">
        <v>143</v>
      </c>
      <c r="C148">
        <v>142</v>
      </c>
      <c r="D148" t="s">
        <v>9</v>
      </c>
      <c r="E148" t="s">
        <v>7</v>
      </c>
      <c r="F148">
        <v>0</v>
      </c>
      <c r="G148">
        <v>0</v>
      </c>
      <c r="H148">
        <v>0</v>
      </c>
      <c r="I148">
        <f t="shared" si="2"/>
        <v>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>
      <c r="A149">
        <v>147</v>
      </c>
      <c r="B149">
        <v>144</v>
      </c>
      <c r="C149">
        <v>143</v>
      </c>
      <c r="D149" t="s">
        <v>7</v>
      </c>
      <c r="E149" t="s">
        <v>7</v>
      </c>
      <c r="F149">
        <v>0</v>
      </c>
      <c r="G149">
        <v>0</v>
      </c>
      <c r="H149">
        <v>0</v>
      </c>
      <c r="I149">
        <f t="shared" si="2"/>
        <v>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>
      <c r="A150">
        <v>148</v>
      </c>
      <c r="B150">
        <v>145</v>
      </c>
      <c r="C150">
        <v>144</v>
      </c>
      <c r="D150" t="s">
        <v>2</v>
      </c>
      <c r="E150" t="s">
        <v>7</v>
      </c>
      <c r="F150">
        <v>0</v>
      </c>
      <c r="G150">
        <v>0</v>
      </c>
      <c r="H150">
        <v>0</v>
      </c>
      <c r="I150">
        <f t="shared" si="2"/>
        <v>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>
      <c r="A151">
        <v>149</v>
      </c>
      <c r="B151">
        <v>146</v>
      </c>
      <c r="C151">
        <v>145</v>
      </c>
      <c r="D151" t="s">
        <v>3</v>
      </c>
      <c r="E151" t="s">
        <v>4</v>
      </c>
      <c r="F151">
        <v>0</v>
      </c>
      <c r="G151">
        <v>0</v>
      </c>
      <c r="H151">
        <v>0</v>
      </c>
      <c r="I151">
        <f t="shared" si="2"/>
        <v>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>
      <c r="A152">
        <v>150</v>
      </c>
      <c r="B152">
        <v>147</v>
      </c>
      <c r="C152">
        <v>146</v>
      </c>
      <c r="D152" t="s">
        <v>7</v>
      </c>
      <c r="E152" t="s">
        <v>10</v>
      </c>
      <c r="F152">
        <v>0</v>
      </c>
      <c r="G152">
        <v>0</v>
      </c>
      <c r="H152">
        <v>0</v>
      </c>
      <c r="I152">
        <f t="shared" si="2"/>
        <v>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>
      <c r="A153">
        <v>151</v>
      </c>
      <c r="B153">
        <v>148</v>
      </c>
      <c r="C153">
        <v>147</v>
      </c>
      <c r="D153" t="s">
        <v>7</v>
      </c>
      <c r="E153" t="s">
        <v>41</v>
      </c>
      <c r="F153">
        <v>0</v>
      </c>
      <c r="G153">
        <v>0</v>
      </c>
      <c r="H153">
        <v>0</v>
      </c>
      <c r="I153">
        <f t="shared" si="2"/>
        <v>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>
      <c r="A154">
        <v>152</v>
      </c>
      <c r="B154">
        <v>149</v>
      </c>
      <c r="C154">
        <v>148</v>
      </c>
      <c r="D154" t="s">
        <v>40</v>
      </c>
      <c r="E154" t="s">
        <v>44</v>
      </c>
      <c r="F154">
        <v>0</v>
      </c>
      <c r="G154">
        <v>0</v>
      </c>
      <c r="H154">
        <v>0</v>
      </c>
      <c r="I154">
        <f t="shared" si="2"/>
        <v>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>
      <c r="A155">
        <v>153</v>
      </c>
      <c r="B155">
        <v>150</v>
      </c>
      <c r="C155">
        <v>149</v>
      </c>
      <c r="D155" t="s">
        <v>6</v>
      </c>
      <c r="E155" t="s">
        <v>41</v>
      </c>
      <c r="F155">
        <v>0</v>
      </c>
      <c r="G155">
        <v>0</v>
      </c>
      <c r="H155">
        <v>0</v>
      </c>
      <c r="I155">
        <f t="shared" si="2"/>
        <v>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>
      <c r="A156">
        <v>154</v>
      </c>
      <c r="B156">
        <v>151</v>
      </c>
      <c r="C156">
        <v>150</v>
      </c>
      <c r="D156" t="s">
        <v>2</v>
      </c>
      <c r="E156" t="s">
        <v>6</v>
      </c>
      <c r="F156">
        <v>0</v>
      </c>
      <c r="G156">
        <v>0</v>
      </c>
      <c r="H156">
        <v>0</v>
      </c>
      <c r="I156">
        <f t="shared" si="2"/>
        <v>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>
      <c r="A157">
        <v>155</v>
      </c>
      <c r="B157">
        <v>152</v>
      </c>
      <c r="C157">
        <v>151</v>
      </c>
      <c r="D157" t="s">
        <v>8</v>
      </c>
      <c r="E157" t="s">
        <v>8</v>
      </c>
      <c r="F157">
        <v>0</v>
      </c>
      <c r="G157">
        <v>0</v>
      </c>
      <c r="H157">
        <v>0</v>
      </c>
      <c r="I157">
        <f t="shared" si="2"/>
        <v>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>
      <c r="A158">
        <v>156</v>
      </c>
      <c r="B158">
        <v>153</v>
      </c>
      <c r="C158">
        <v>152</v>
      </c>
      <c r="D158" t="s">
        <v>4</v>
      </c>
      <c r="E158" t="s">
        <v>4</v>
      </c>
      <c r="F158">
        <v>0</v>
      </c>
      <c r="G158">
        <v>0</v>
      </c>
      <c r="H158">
        <v>0</v>
      </c>
      <c r="I158">
        <f t="shared" si="2"/>
        <v>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>
      <c r="A159">
        <v>157</v>
      </c>
      <c r="B159">
        <v>154</v>
      </c>
      <c r="C159">
        <v>153</v>
      </c>
      <c r="D159" t="s">
        <v>6</v>
      </c>
      <c r="E159" t="s">
        <v>6</v>
      </c>
      <c r="F159">
        <v>0</v>
      </c>
      <c r="G159">
        <v>0</v>
      </c>
      <c r="H159">
        <v>0</v>
      </c>
      <c r="I159">
        <f t="shared" si="2"/>
        <v>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>
      <c r="A160">
        <v>158</v>
      </c>
      <c r="B160">
        <v>155</v>
      </c>
      <c r="C160">
        <v>154</v>
      </c>
      <c r="D160" t="s">
        <v>44</v>
      </c>
      <c r="E160" t="s">
        <v>44</v>
      </c>
      <c r="F160">
        <v>0</v>
      </c>
      <c r="G160">
        <v>0</v>
      </c>
      <c r="H160">
        <v>0</v>
      </c>
      <c r="I160">
        <f t="shared" si="2"/>
        <v>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>
      <c r="A161">
        <v>159</v>
      </c>
      <c r="B161">
        <v>156</v>
      </c>
      <c r="C161">
        <v>155</v>
      </c>
      <c r="D161" t="s">
        <v>8</v>
      </c>
      <c r="E161" t="s">
        <v>8</v>
      </c>
      <c r="F161">
        <v>0</v>
      </c>
      <c r="G161">
        <v>0</v>
      </c>
      <c r="H161">
        <v>0</v>
      </c>
      <c r="I161">
        <f t="shared" si="2"/>
        <v>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>
      <c r="A162">
        <v>160</v>
      </c>
      <c r="B162">
        <v>157</v>
      </c>
      <c r="C162">
        <v>156</v>
      </c>
      <c r="D162" t="s">
        <v>3</v>
      </c>
      <c r="E162" t="s">
        <v>3</v>
      </c>
      <c r="F162">
        <v>0</v>
      </c>
      <c r="G162">
        <v>0</v>
      </c>
      <c r="H162">
        <v>0</v>
      </c>
      <c r="I162">
        <f t="shared" si="2"/>
        <v>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>
      <c r="A163">
        <v>161</v>
      </c>
      <c r="B163">
        <v>158</v>
      </c>
      <c r="C163">
        <v>157</v>
      </c>
      <c r="D163" t="s">
        <v>48</v>
      </c>
      <c r="E163" t="s">
        <v>48</v>
      </c>
      <c r="F163">
        <v>0</v>
      </c>
      <c r="G163">
        <v>0</v>
      </c>
      <c r="H163">
        <v>0</v>
      </c>
      <c r="I163">
        <f t="shared" si="2"/>
        <v>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>
      <c r="A164">
        <v>162</v>
      </c>
      <c r="B164">
        <v>159</v>
      </c>
      <c r="C164">
        <v>158</v>
      </c>
      <c r="D164" t="s">
        <v>7</v>
      </c>
      <c r="E164" t="s">
        <v>7</v>
      </c>
      <c r="F164">
        <v>0</v>
      </c>
      <c r="G164">
        <v>0</v>
      </c>
      <c r="H164">
        <v>0</v>
      </c>
      <c r="I164">
        <f t="shared" si="2"/>
        <v>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>
      <c r="A165">
        <v>163</v>
      </c>
      <c r="B165">
        <v>160</v>
      </c>
      <c r="C165">
        <v>159</v>
      </c>
      <c r="D165" t="s">
        <v>46</v>
      </c>
      <c r="E165" t="s">
        <v>46</v>
      </c>
      <c r="F165">
        <v>0</v>
      </c>
      <c r="G165">
        <v>0</v>
      </c>
      <c r="H165">
        <v>0</v>
      </c>
      <c r="I165">
        <f t="shared" si="2"/>
        <v>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>
      <c r="A166">
        <v>164</v>
      </c>
      <c r="B166">
        <v>161</v>
      </c>
      <c r="C166">
        <v>160</v>
      </c>
      <c r="D166" t="s">
        <v>3</v>
      </c>
      <c r="E166" t="s">
        <v>3</v>
      </c>
      <c r="F166">
        <v>0</v>
      </c>
      <c r="G166">
        <v>0</v>
      </c>
      <c r="H166">
        <v>0</v>
      </c>
      <c r="I166">
        <f t="shared" si="2"/>
        <v>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>
      <c r="A167">
        <v>165</v>
      </c>
      <c r="B167">
        <v>162</v>
      </c>
      <c r="C167">
        <v>161</v>
      </c>
      <c r="D167" t="s">
        <v>44</v>
      </c>
      <c r="E167" t="s">
        <v>44</v>
      </c>
      <c r="F167">
        <v>0</v>
      </c>
      <c r="G167">
        <v>0</v>
      </c>
      <c r="H167">
        <v>0</v>
      </c>
      <c r="I167">
        <f t="shared" si="2"/>
        <v>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>
      <c r="A168">
        <v>166</v>
      </c>
      <c r="B168">
        <v>163</v>
      </c>
      <c r="C168">
        <v>162</v>
      </c>
      <c r="D168" t="s">
        <v>2</v>
      </c>
      <c r="E168" t="s">
        <v>7</v>
      </c>
      <c r="F168">
        <v>0</v>
      </c>
      <c r="G168">
        <v>0</v>
      </c>
      <c r="H168">
        <v>0</v>
      </c>
      <c r="I168">
        <f t="shared" si="2"/>
        <v>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>
      <c r="A169">
        <v>167</v>
      </c>
      <c r="B169">
        <v>164</v>
      </c>
      <c r="C169">
        <v>163</v>
      </c>
      <c r="D169" t="s">
        <v>2</v>
      </c>
      <c r="E169" t="s">
        <v>2</v>
      </c>
      <c r="F169">
        <v>0</v>
      </c>
      <c r="G169">
        <v>0</v>
      </c>
      <c r="H169">
        <v>0</v>
      </c>
      <c r="I169">
        <f t="shared" si="2"/>
        <v>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>
      <c r="A170">
        <v>168</v>
      </c>
      <c r="B170">
        <v>165</v>
      </c>
      <c r="C170">
        <v>164</v>
      </c>
      <c r="D170" t="s">
        <v>2</v>
      </c>
      <c r="E170" t="s">
        <v>7</v>
      </c>
      <c r="F170">
        <v>0</v>
      </c>
      <c r="G170">
        <v>0</v>
      </c>
      <c r="H170">
        <v>0</v>
      </c>
      <c r="I170">
        <f t="shared" si="2"/>
        <v>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>
      <c r="A171">
        <v>169</v>
      </c>
      <c r="B171">
        <v>166</v>
      </c>
      <c r="C171">
        <v>165</v>
      </c>
      <c r="D171" t="s">
        <v>43</v>
      </c>
      <c r="E171" t="s">
        <v>44</v>
      </c>
      <c r="F171">
        <v>0</v>
      </c>
      <c r="G171">
        <v>0</v>
      </c>
      <c r="H171">
        <v>0</v>
      </c>
      <c r="I171">
        <f t="shared" si="2"/>
        <v>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>
      <c r="A172">
        <v>170</v>
      </c>
      <c r="B172">
        <v>167</v>
      </c>
      <c r="C172">
        <v>166</v>
      </c>
      <c r="D172" t="s">
        <v>10</v>
      </c>
      <c r="E172" t="s">
        <v>10</v>
      </c>
      <c r="F172">
        <v>0</v>
      </c>
      <c r="G172">
        <v>0</v>
      </c>
      <c r="H172">
        <v>0</v>
      </c>
      <c r="I172">
        <f t="shared" si="2"/>
        <v>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>
      <c r="A173">
        <v>171</v>
      </c>
      <c r="B173">
        <v>168</v>
      </c>
      <c r="C173">
        <v>167</v>
      </c>
      <c r="D173" t="s">
        <v>5</v>
      </c>
      <c r="E173" t="s">
        <v>4</v>
      </c>
      <c r="F173" t="s">
        <v>4</v>
      </c>
      <c r="G173">
        <v>0</v>
      </c>
      <c r="H173">
        <v>0.99607623318385596</v>
      </c>
      <c r="I173">
        <f t="shared" si="2"/>
        <v>1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>
      <c r="A174">
        <v>172</v>
      </c>
      <c r="B174">
        <v>168</v>
      </c>
      <c r="C174">
        <v>167</v>
      </c>
      <c r="D174" t="s">
        <v>5</v>
      </c>
      <c r="E174" t="s">
        <v>4</v>
      </c>
      <c r="F174" t="s">
        <v>3</v>
      </c>
      <c r="G174">
        <v>0.70874958831924395</v>
      </c>
      <c r="H174">
        <v>0</v>
      </c>
      <c r="I174">
        <f t="shared" si="2"/>
        <v>1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>
      <c r="A175">
        <v>173</v>
      </c>
      <c r="B175">
        <v>169</v>
      </c>
      <c r="C175">
        <v>168</v>
      </c>
      <c r="D175" t="s">
        <v>8</v>
      </c>
      <c r="E175" t="s">
        <v>8</v>
      </c>
      <c r="F175">
        <v>0</v>
      </c>
      <c r="G175">
        <v>0</v>
      </c>
      <c r="H175">
        <v>0</v>
      </c>
      <c r="I175">
        <f t="shared" si="2"/>
        <v>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>
      <c r="A176">
        <v>174</v>
      </c>
      <c r="B176">
        <v>170</v>
      </c>
      <c r="C176">
        <v>169</v>
      </c>
      <c r="D176" t="s">
        <v>44</v>
      </c>
      <c r="E176" t="s">
        <v>45</v>
      </c>
      <c r="F176">
        <v>0</v>
      </c>
      <c r="G176">
        <v>0</v>
      </c>
      <c r="H176">
        <v>0</v>
      </c>
      <c r="I176">
        <f t="shared" si="2"/>
        <v>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>
      <c r="A177">
        <v>175</v>
      </c>
      <c r="B177">
        <v>171</v>
      </c>
      <c r="C177">
        <v>170</v>
      </c>
      <c r="D177" t="s">
        <v>42</v>
      </c>
      <c r="E177" t="s">
        <v>42</v>
      </c>
      <c r="F177">
        <v>0</v>
      </c>
      <c r="G177">
        <v>0</v>
      </c>
      <c r="H177">
        <v>0</v>
      </c>
      <c r="I177">
        <f t="shared" si="2"/>
        <v>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>
      <c r="A178">
        <v>176</v>
      </c>
      <c r="B178">
        <v>172</v>
      </c>
      <c r="C178">
        <v>171</v>
      </c>
      <c r="D178" t="s">
        <v>8</v>
      </c>
      <c r="E178" t="s">
        <v>8</v>
      </c>
      <c r="F178">
        <v>0</v>
      </c>
      <c r="G178">
        <v>0</v>
      </c>
      <c r="H178">
        <v>0</v>
      </c>
      <c r="I178">
        <f t="shared" si="2"/>
        <v>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>
      <c r="A179">
        <v>177</v>
      </c>
      <c r="B179">
        <v>173</v>
      </c>
      <c r="C179">
        <v>172</v>
      </c>
      <c r="D179" t="s">
        <v>6</v>
      </c>
      <c r="E179" t="s">
        <v>6</v>
      </c>
      <c r="F179">
        <v>0</v>
      </c>
      <c r="G179">
        <v>0</v>
      </c>
      <c r="H179">
        <v>0</v>
      </c>
      <c r="I179">
        <f t="shared" si="2"/>
        <v>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>
      <c r="A180">
        <v>178</v>
      </c>
      <c r="B180">
        <v>174</v>
      </c>
      <c r="C180">
        <v>173</v>
      </c>
      <c r="D180" t="s">
        <v>61</v>
      </c>
      <c r="E180" t="s">
        <v>61</v>
      </c>
      <c r="F180">
        <v>0</v>
      </c>
      <c r="G180">
        <v>0</v>
      </c>
      <c r="H180">
        <v>0</v>
      </c>
      <c r="I180">
        <f t="shared" si="2"/>
        <v>0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>
      <c r="A181">
        <v>179</v>
      </c>
      <c r="B181">
        <v>175</v>
      </c>
      <c r="C181">
        <v>174</v>
      </c>
      <c r="D181" t="s">
        <v>1</v>
      </c>
      <c r="E181" t="s">
        <v>1</v>
      </c>
      <c r="F181">
        <v>0</v>
      </c>
      <c r="G181">
        <v>0</v>
      </c>
      <c r="H181">
        <v>0</v>
      </c>
      <c r="I181">
        <f t="shared" si="2"/>
        <v>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>
      <c r="A182">
        <v>180</v>
      </c>
      <c r="B182">
        <v>176</v>
      </c>
      <c r="C182">
        <v>175</v>
      </c>
      <c r="D182" t="s">
        <v>44</v>
      </c>
      <c r="E182" t="s">
        <v>46</v>
      </c>
      <c r="F182">
        <v>0</v>
      </c>
      <c r="G182">
        <v>0</v>
      </c>
      <c r="H182">
        <v>0</v>
      </c>
      <c r="I182">
        <f t="shared" si="2"/>
        <v>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>
      <c r="A183">
        <v>181</v>
      </c>
      <c r="B183">
        <v>177</v>
      </c>
      <c r="C183">
        <v>176</v>
      </c>
      <c r="D183" t="s">
        <v>46</v>
      </c>
      <c r="E183" t="s">
        <v>46</v>
      </c>
      <c r="F183">
        <v>0</v>
      </c>
      <c r="G183">
        <v>0</v>
      </c>
      <c r="H183">
        <v>0</v>
      </c>
      <c r="I183">
        <f t="shared" si="2"/>
        <v>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>
      <c r="A184">
        <v>182</v>
      </c>
      <c r="B184">
        <v>178</v>
      </c>
      <c r="C184">
        <v>177</v>
      </c>
      <c r="D184" t="s">
        <v>61</v>
      </c>
      <c r="E184" t="s">
        <v>61</v>
      </c>
      <c r="F184">
        <v>0</v>
      </c>
      <c r="G184">
        <v>0</v>
      </c>
      <c r="H184">
        <v>0</v>
      </c>
      <c r="I184">
        <f t="shared" si="2"/>
        <v>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>
      <c r="A185">
        <v>183</v>
      </c>
      <c r="B185">
        <v>179</v>
      </c>
      <c r="C185">
        <v>178</v>
      </c>
      <c r="D185" t="s">
        <v>8</v>
      </c>
      <c r="E185" t="s">
        <v>8</v>
      </c>
      <c r="F185">
        <v>0</v>
      </c>
      <c r="G185">
        <v>0</v>
      </c>
      <c r="H185">
        <v>0</v>
      </c>
      <c r="I185">
        <f t="shared" si="2"/>
        <v>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>
      <c r="A186">
        <v>184</v>
      </c>
      <c r="B186">
        <v>180</v>
      </c>
      <c r="C186">
        <v>179</v>
      </c>
      <c r="D186" t="s">
        <v>42</v>
      </c>
      <c r="E186" t="s">
        <v>40</v>
      </c>
      <c r="F186">
        <v>0</v>
      </c>
      <c r="G186">
        <v>0</v>
      </c>
      <c r="H186">
        <v>0</v>
      </c>
      <c r="I186">
        <f t="shared" si="2"/>
        <v>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>
      <c r="A187">
        <v>185</v>
      </c>
      <c r="B187">
        <v>181</v>
      </c>
      <c r="C187">
        <v>180</v>
      </c>
      <c r="D187" t="s">
        <v>5</v>
      </c>
      <c r="E187" t="s">
        <v>5</v>
      </c>
      <c r="F187">
        <v>0</v>
      </c>
      <c r="G187">
        <v>0</v>
      </c>
      <c r="H187">
        <v>0</v>
      </c>
      <c r="I187">
        <f t="shared" si="2"/>
        <v>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>
      <c r="A188">
        <v>186</v>
      </c>
      <c r="B188">
        <v>182</v>
      </c>
      <c r="C188">
        <v>181</v>
      </c>
      <c r="D188" t="s">
        <v>45</v>
      </c>
      <c r="E188" t="s">
        <v>44</v>
      </c>
      <c r="F188">
        <v>0</v>
      </c>
      <c r="G188">
        <v>0</v>
      </c>
      <c r="H188">
        <v>0</v>
      </c>
      <c r="I188">
        <f t="shared" si="2"/>
        <v>0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>
      <c r="A189">
        <v>187</v>
      </c>
      <c r="B189">
        <v>183</v>
      </c>
      <c r="C189">
        <v>182</v>
      </c>
      <c r="D189" t="s">
        <v>45</v>
      </c>
      <c r="E189" t="s">
        <v>44</v>
      </c>
      <c r="F189">
        <v>0</v>
      </c>
      <c r="G189">
        <v>0</v>
      </c>
      <c r="H189">
        <v>0</v>
      </c>
      <c r="I189">
        <f t="shared" si="2"/>
        <v>0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>
      <c r="A190">
        <v>188</v>
      </c>
      <c r="B190">
        <v>184</v>
      </c>
      <c r="C190">
        <v>183</v>
      </c>
      <c r="D190" t="s">
        <v>43</v>
      </c>
      <c r="E190" t="s">
        <v>43</v>
      </c>
      <c r="F190">
        <v>0</v>
      </c>
      <c r="G190">
        <v>0</v>
      </c>
      <c r="H190">
        <v>0</v>
      </c>
      <c r="I190">
        <f t="shared" si="2"/>
        <v>0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>
      <c r="A191">
        <v>189</v>
      </c>
      <c r="B191">
        <v>185</v>
      </c>
      <c r="C191">
        <v>184</v>
      </c>
      <c r="D191" t="s">
        <v>44</v>
      </c>
      <c r="E191" t="s">
        <v>44</v>
      </c>
      <c r="F191">
        <v>0</v>
      </c>
      <c r="G191">
        <v>0</v>
      </c>
      <c r="H191">
        <v>0</v>
      </c>
      <c r="I191">
        <f t="shared" si="2"/>
        <v>0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>
      <c r="A192">
        <v>190</v>
      </c>
      <c r="B192">
        <v>186</v>
      </c>
      <c r="C192">
        <v>185</v>
      </c>
      <c r="D192" t="s">
        <v>8</v>
      </c>
      <c r="E192" t="s">
        <v>5</v>
      </c>
      <c r="F192">
        <v>0</v>
      </c>
      <c r="G192">
        <v>0</v>
      </c>
      <c r="H192">
        <v>0</v>
      </c>
      <c r="I192">
        <f t="shared" si="2"/>
        <v>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>
      <c r="A193">
        <v>191</v>
      </c>
      <c r="B193">
        <v>187</v>
      </c>
      <c r="C193">
        <v>186</v>
      </c>
      <c r="D193" t="s">
        <v>3</v>
      </c>
      <c r="E193" t="s">
        <v>3</v>
      </c>
      <c r="F193">
        <v>0</v>
      </c>
      <c r="G193">
        <v>0</v>
      </c>
      <c r="H193">
        <v>0</v>
      </c>
      <c r="I193">
        <f t="shared" si="2"/>
        <v>0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>
      <c r="A194">
        <v>192</v>
      </c>
      <c r="B194">
        <v>188</v>
      </c>
      <c r="C194">
        <v>187</v>
      </c>
      <c r="D194" t="s">
        <v>5</v>
      </c>
      <c r="E194" t="s">
        <v>5</v>
      </c>
      <c r="F194">
        <v>0</v>
      </c>
      <c r="G194">
        <v>0</v>
      </c>
      <c r="H194">
        <v>0</v>
      </c>
      <c r="I194">
        <f t="shared" si="2"/>
        <v>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>
      <c r="A195">
        <v>193</v>
      </c>
      <c r="B195">
        <v>189</v>
      </c>
      <c r="C195">
        <v>188</v>
      </c>
      <c r="D195" t="s">
        <v>3</v>
      </c>
      <c r="E195" t="s">
        <v>2</v>
      </c>
      <c r="F195">
        <v>0</v>
      </c>
      <c r="G195">
        <v>0</v>
      </c>
      <c r="H195">
        <v>0</v>
      </c>
      <c r="I195">
        <f t="shared" ref="I195:I258" si="3">COUNTIF(G195:H195,"&gt;0.1")</f>
        <v>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>
      <c r="A196">
        <v>194</v>
      </c>
      <c r="B196">
        <v>190</v>
      </c>
      <c r="C196">
        <v>189</v>
      </c>
      <c r="D196" t="s">
        <v>44</v>
      </c>
      <c r="E196" t="s">
        <v>2</v>
      </c>
      <c r="F196">
        <v>0</v>
      </c>
      <c r="G196">
        <v>0</v>
      </c>
      <c r="H196">
        <v>0</v>
      </c>
      <c r="I196">
        <f t="shared" si="3"/>
        <v>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>
      <c r="A197">
        <v>195</v>
      </c>
      <c r="B197">
        <v>191</v>
      </c>
      <c r="C197">
        <v>190</v>
      </c>
      <c r="D197" t="s">
        <v>7</v>
      </c>
      <c r="E197" t="s">
        <v>7</v>
      </c>
      <c r="F197">
        <v>0</v>
      </c>
      <c r="G197">
        <v>0</v>
      </c>
      <c r="H197">
        <v>0</v>
      </c>
      <c r="I197">
        <f t="shared" si="3"/>
        <v>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>
      <c r="A198">
        <v>196</v>
      </c>
      <c r="B198">
        <v>192</v>
      </c>
      <c r="C198">
        <v>191</v>
      </c>
      <c r="D198" t="s">
        <v>61</v>
      </c>
      <c r="E198" t="s">
        <v>61</v>
      </c>
      <c r="F198">
        <v>0</v>
      </c>
      <c r="G198">
        <v>0</v>
      </c>
      <c r="H198">
        <v>0</v>
      </c>
      <c r="I198">
        <f t="shared" si="3"/>
        <v>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>
      <c r="A199">
        <v>197</v>
      </c>
      <c r="B199">
        <v>193</v>
      </c>
      <c r="C199">
        <v>192</v>
      </c>
      <c r="D199" t="s">
        <v>10</v>
      </c>
      <c r="E199" t="s">
        <v>8</v>
      </c>
      <c r="F199" t="s">
        <v>8</v>
      </c>
      <c r="G199">
        <v>0.15812892184826</v>
      </c>
      <c r="H199">
        <v>0</v>
      </c>
      <c r="I199">
        <f t="shared" si="3"/>
        <v>1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>
      <c r="A200">
        <v>198</v>
      </c>
      <c r="B200">
        <v>194</v>
      </c>
      <c r="C200">
        <v>193</v>
      </c>
      <c r="D200" t="s">
        <v>40</v>
      </c>
      <c r="E200" t="s">
        <v>40</v>
      </c>
      <c r="F200">
        <v>0</v>
      </c>
      <c r="G200">
        <v>0</v>
      </c>
      <c r="H200">
        <v>0</v>
      </c>
      <c r="I200">
        <f t="shared" si="3"/>
        <v>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>
      <c r="A201">
        <v>199</v>
      </c>
      <c r="B201">
        <v>195</v>
      </c>
      <c r="C201">
        <v>194</v>
      </c>
      <c r="D201" t="s">
        <v>44</v>
      </c>
      <c r="E201" t="s">
        <v>2</v>
      </c>
      <c r="F201">
        <v>0</v>
      </c>
      <c r="G201">
        <v>0</v>
      </c>
      <c r="H201">
        <v>0</v>
      </c>
      <c r="I201">
        <f t="shared" si="3"/>
        <v>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>
      <c r="A202">
        <v>200</v>
      </c>
      <c r="B202">
        <v>196</v>
      </c>
      <c r="C202">
        <v>195</v>
      </c>
      <c r="D202" t="s">
        <v>7</v>
      </c>
      <c r="E202" t="s">
        <v>7</v>
      </c>
      <c r="F202">
        <v>0</v>
      </c>
      <c r="G202">
        <v>0</v>
      </c>
      <c r="H202">
        <v>0</v>
      </c>
      <c r="I202">
        <f t="shared" si="3"/>
        <v>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>
      <c r="A203">
        <v>201</v>
      </c>
      <c r="B203">
        <v>197</v>
      </c>
      <c r="C203">
        <v>196</v>
      </c>
      <c r="D203" t="s">
        <v>48</v>
      </c>
      <c r="E203" t="s">
        <v>48</v>
      </c>
      <c r="F203">
        <v>0</v>
      </c>
      <c r="G203">
        <v>0</v>
      </c>
      <c r="H203">
        <v>0</v>
      </c>
      <c r="I203">
        <f t="shared" si="3"/>
        <v>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>
      <c r="A204">
        <v>202</v>
      </c>
      <c r="B204">
        <v>198</v>
      </c>
      <c r="C204">
        <v>197</v>
      </c>
      <c r="D204" t="s">
        <v>3</v>
      </c>
      <c r="E204" t="s">
        <v>3</v>
      </c>
      <c r="F204">
        <v>0</v>
      </c>
      <c r="G204">
        <v>0</v>
      </c>
      <c r="H204">
        <v>0</v>
      </c>
      <c r="I204">
        <f t="shared" si="3"/>
        <v>0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>
      <c r="A205">
        <v>203</v>
      </c>
      <c r="B205">
        <v>199</v>
      </c>
      <c r="C205">
        <v>198</v>
      </c>
      <c r="D205" t="s">
        <v>2</v>
      </c>
      <c r="E205" t="s">
        <v>2</v>
      </c>
      <c r="F205">
        <v>0</v>
      </c>
      <c r="G205">
        <v>0</v>
      </c>
      <c r="H205">
        <v>0</v>
      </c>
      <c r="I205">
        <f t="shared" si="3"/>
        <v>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>
      <c r="A206">
        <v>204</v>
      </c>
      <c r="B206">
        <v>200</v>
      </c>
      <c r="C206">
        <v>199</v>
      </c>
      <c r="D206" t="s">
        <v>7</v>
      </c>
      <c r="E206" t="s">
        <v>7</v>
      </c>
      <c r="F206">
        <v>0</v>
      </c>
      <c r="G206">
        <v>0</v>
      </c>
      <c r="H206">
        <v>0</v>
      </c>
      <c r="I206">
        <f t="shared" si="3"/>
        <v>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>
      <c r="A207">
        <v>205</v>
      </c>
      <c r="B207">
        <v>201</v>
      </c>
      <c r="C207">
        <v>200</v>
      </c>
      <c r="D207" t="s">
        <v>45</v>
      </c>
      <c r="E207" t="s">
        <v>45</v>
      </c>
      <c r="F207">
        <v>0</v>
      </c>
      <c r="G207">
        <v>0</v>
      </c>
      <c r="H207">
        <v>0</v>
      </c>
      <c r="I207">
        <f t="shared" si="3"/>
        <v>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>
      <c r="A208">
        <v>206</v>
      </c>
      <c r="B208">
        <v>202</v>
      </c>
      <c r="C208">
        <v>201</v>
      </c>
      <c r="D208" t="s">
        <v>44</v>
      </c>
      <c r="E208" t="s">
        <v>44</v>
      </c>
      <c r="F208">
        <v>0</v>
      </c>
      <c r="G208">
        <v>0</v>
      </c>
      <c r="H208">
        <v>0</v>
      </c>
      <c r="I208">
        <f t="shared" si="3"/>
        <v>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>
      <c r="A209">
        <v>207</v>
      </c>
      <c r="B209">
        <v>203</v>
      </c>
      <c r="C209">
        <v>202</v>
      </c>
      <c r="D209" t="s">
        <v>2</v>
      </c>
      <c r="E209" t="s">
        <v>2</v>
      </c>
      <c r="F209">
        <v>0</v>
      </c>
      <c r="G209">
        <v>0</v>
      </c>
      <c r="H209">
        <v>0</v>
      </c>
      <c r="I209">
        <f t="shared" si="3"/>
        <v>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>
      <c r="A210">
        <v>208</v>
      </c>
      <c r="B210">
        <v>204</v>
      </c>
      <c r="C210">
        <v>203</v>
      </c>
      <c r="D210" t="s">
        <v>42</v>
      </c>
      <c r="E210" t="s">
        <v>42</v>
      </c>
      <c r="F210">
        <v>0</v>
      </c>
      <c r="G210">
        <v>0</v>
      </c>
      <c r="H210">
        <v>0</v>
      </c>
      <c r="I210">
        <f t="shared" si="3"/>
        <v>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>
      <c r="A211">
        <v>209</v>
      </c>
      <c r="B211">
        <v>205</v>
      </c>
      <c r="C211">
        <v>204</v>
      </c>
      <c r="D211" t="s">
        <v>1</v>
      </c>
      <c r="E211" t="s">
        <v>1</v>
      </c>
      <c r="F211">
        <v>0</v>
      </c>
      <c r="G211">
        <v>0</v>
      </c>
      <c r="H211">
        <v>0</v>
      </c>
      <c r="I211">
        <f t="shared" si="3"/>
        <v>0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>
      <c r="A212">
        <v>210</v>
      </c>
      <c r="B212">
        <v>206</v>
      </c>
      <c r="C212">
        <v>205</v>
      </c>
      <c r="D212" t="s">
        <v>48</v>
      </c>
      <c r="E212" t="s">
        <v>48</v>
      </c>
      <c r="F212">
        <v>0</v>
      </c>
      <c r="G212">
        <v>0</v>
      </c>
      <c r="H212">
        <v>0</v>
      </c>
      <c r="I212">
        <f t="shared" si="3"/>
        <v>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>
      <c r="A213">
        <v>211</v>
      </c>
      <c r="B213">
        <v>207</v>
      </c>
      <c r="C213">
        <v>206</v>
      </c>
      <c r="D213" t="s">
        <v>43</v>
      </c>
      <c r="E213" t="s">
        <v>43</v>
      </c>
      <c r="F213">
        <v>0</v>
      </c>
      <c r="G213">
        <v>0</v>
      </c>
      <c r="H213">
        <v>0</v>
      </c>
      <c r="I213">
        <f t="shared" si="3"/>
        <v>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>
      <c r="A214">
        <v>212</v>
      </c>
      <c r="B214">
        <v>208</v>
      </c>
      <c r="C214">
        <v>207</v>
      </c>
      <c r="D214" t="s">
        <v>8</v>
      </c>
      <c r="E214" t="s">
        <v>8</v>
      </c>
      <c r="F214">
        <v>0</v>
      </c>
      <c r="G214">
        <v>0</v>
      </c>
      <c r="H214">
        <v>0</v>
      </c>
      <c r="I214">
        <f t="shared" si="3"/>
        <v>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>
      <c r="A215">
        <v>213</v>
      </c>
      <c r="B215">
        <v>209</v>
      </c>
      <c r="C215">
        <v>208</v>
      </c>
      <c r="D215" t="s">
        <v>45</v>
      </c>
      <c r="E215" t="s">
        <v>45</v>
      </c>
      <c r="F215">
        <v>0</v>
      </c>
      <c r="G215">
        <v>0</v>
      </c>
      <c r="H215">
        <v>0</v>
      </c>
      <c r="I215">
        <f t="shared" si="3"/>
        <v>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>
      <c r="A216">
        <v>214</v>
      </c>
      <c r="B216">
        <v>210</v>
      </c>
      <c r="C216">
        <v>209</v>
      </c>
      <c r="D216" t="s">
        <v>2</v>
      </c>
      <c r="E216" t="s">
        <v>7</v>
      </c>
      <c r="F216">
        <v>0</v>
      </c>
      <c r="G216">
        <v>0</v>
      </c>
      <c r="H216">
        <v>0</v>
      </c>
      <c r="I216">
        <f t="shared" si="3"/>
        <v>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>
      <c r="A217">
        <v>215</v>
      </c>
      <c r="B217">
        <v>211</v>
      </c>
      <c r="C217">
        <v>210</v>
      </c>
      <c r="D217" t="s">
        <v>46</v>
      </c>
      <c r="E217" t="s">
        <v>46</v>
      </c>
      <c r="F217">
        <v>0</v>
      </c>
      <c r="G217">
        <v>0</v>
      </c>
      <c r="H217">
        <v>0</v>
      </c>
      <c r="I217">
        <f t="shared" si="3"/>
        <v>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>
      <c r="A218">
        <v>216</v>
      </c>
      <c r="B218">
        <v>212</v>
      </c>
      <c r="C218">
        <v>211</v>
      </c>
      <c r="D218" t="s">
        <v>6</v>
      </c>
      <c r="E218" t="s">
        <v>6</v>
      </c>
      <c r="F218">
        <v>0</v>
      </c>
      <c r="G218">
        <v>0</v>
      </c>
      <c r="H218">
        <v>0</v>
      </c>
      <c r="I218">
        <f t="shared" si="3"/>
        <v>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>
      <c r="A219">
        <v>217</v>
      </c>
      <c r="B219">
        <v>213</v>
      </c>
      <c r="C219">
        <v>212</v>
      </c>
      <c r="D219" t="s">
        <v>43</v>
      </c>
      <c r="E219" t="s">
        <v>43</v>
      </c>
      <c r="F219">
        <v>0</v>
      </c>
      <c r="G219">
        <v>0</v>
      </c>
      <c r="H219">
        <v>0</v>
      </c>
      <c r="I219">
        <f t="shared" si="3"/>
        <v>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>
      <c r="A220">
        <v>218</v>
      </c>
      <c r="B220">
        <v>214</v>
      </c>
      <c r="C220">
        <v>213</v>
      </c>
      <c r="D220" t="s">
        <v>44</v>
      </c>
      <c r="E220" t="s">
        <v>44</v>
      </c>
      <c r="F220">
        <v>0</v>
      </c>
      <c r="G220">
        <v>0</v>
      </c>
      <c r="H220">
        <v>0</v>
      </c>
      <c r="I220">
        <f t="shared" si="3"/>
        <v>0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>
      <c r="A221">
        <v>219</v>
      </c>
      <c r="B221">
        <v>215</v>
      </c>
      <c r="C221">
        <v>214</v>
      </c>
      <c r="D221" t="s">
        <v>43</v>
      </c>
      <c r="E221" t="s">
        <v>43</v>
      </c>
      <c r="F221">
        <v>0</v>
      </c>
      <c r="G221">
        <v>0</v>
      </c>
      <c r="H221">
        <v>0</v>
      </c>
      <c r="I221">
        <f t="shared" si="3"/>
        <v>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>
      <c r="A222">
        <v>220</v>
      </c>
      <c r="B222">
        <v>216</v>
      </c>
      <c r="C222">
        <v>215</v>
      </c>
      <c r="D222" t="s">
        <v>44</v>
      </c>
      <c r="E222" t="s">
        <v>44</v>
      </c>
      <c r="F222">
        <v>0</v>
      </c>
      <c r="G222">
        <v>0</v>
      </c>
      <c r="H222">
        <v>0</v>
      </c>
      <c r="I222">
        <f t="shared" si="3"/>
        <v>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>
      <c r="A223">
        <v>221</v>
      </c>
      <c r="B223">
        <v>217</v>
      </c>
      <c r="C223">
        <v>216</v>
      </c>
      <c r="D223" t="s">
        <v>9</v>
      </c>
      <c r="E223" t="s">
        <v>9</v>
      </c>
      <c r="F223">
        <v>0</v>
      </c>
      <c r="G223">
        <v>0</v>
      </c>
      <c r="H223">
        <v>0</v>
      </c>
      <c r="I223">
        <f t="shared" si="3"/>
        <v>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>
      <c r="A224">
        <v>222</v>
      </c>
      <c r="B224">
        <v>218</v>
      </c>
      <c r="C224">
        <v>217</v>
      </c>
      <c r="D224" t="s">
        <v>61</v>
      </c>
      <c r="E224" t="s">
        <v>61</v>
      </c>
      <c r="F224">
        <v>0</v>
      </c>
      <c r="G224">
        <v>0</v>
      </c>
      <c r="H224">
        <v>0</v>
      </c>
      <c r="I224">
        <f t="shared" si="3"/>
        <v>0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>
      <c r="A225">
        <v>223</v>
      </c>
      <c r="B225">
        <v>219</v>
      </c>
      <c r="C225">
        <v>218</v>
      </c>
      <c r="D225" t="s">
        <v>48</v>
      </c>
      <c r="E225" t="s">
        <v>48</v>
      </c>
      <c r="F225">
        <v>0</v>
      </c>
      <c r="G225">
        <v>0</v>
      </c>
      <c r="H225">
        <v>0</v>
      </c>
      <c r="I225">
        <f t="shared" si="3"/>
        <v>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>
      <c r="A226">
        <v>224</v>
      </c>
      <c r="B226">
        <v>220</v>
      </c>
      <c r="C226">
        <v>219</v>
      </c>
      <c r="D226" t="s">
        <v>1</v>
      </c>
      <c r="E226" t="s">
        <v>1</v>
      </c>
      <c r="F226">
        <v>0</v>
      </c>
      <c r="G226">
        <v>0</v>
      </c>
      <c r="H226">
        <v>0</v>
      </c>
      <c r="I226">
        <f t="shared" si="3"/>
        <v>0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>
      <c r="A227">
        <v>225</v>
      </c>
      <c r="B227">
        <v>221</v>
      </c>
      <c r="C227">
        <v>220</v>
      </c>
      <c r="D227" t="s">
        <v>43</v>
      </c>
      <c r="E227" t="s">
        <v>43</v>
      </c>
      <c r="F227">
        <v>0</v>
      </c>
      <c r="G227">
        <v>0</v>
      </c>
      <c r="H227">
        <v>0</v>
      </c>
      <c r="I227">
        <f t="shared" si="3"/>
        <v>0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>
      <c r="A228">
        <v>226</v>
      </c>
      <c r="B228">
        <v>222</v>
      </c>
      <c r="C228">
        <v>221</v>
      </c>
      <c r="D228" t="s">
        <v>1</v>
      </c>
      <c r="E228" t="s">
        <v>1</v>
      </c>
      <c r="F228">
        <v>0</v>
      </c>
      <c r="G228">
        <v>0</v>
      </c>
      <c r="H228">
        <v>0</v>
      </c>
      <c r="I228">
        <f t="shared" si="3"/>
        <v>0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>
      <c r="A229">
        <v>227</v>
      </c>
      <c r="B229">
        <v>223</v>
      </c>
      <c r="C229">
        <v>222</v>
      </c>
      <c r="D229" t="s">
        <v>4</v>
      </c>
      <c r="E229" t="s">
        <v>4</v>
      </c>
      <c r="F229">
        <v>0</v>
      </c>
      <c r="G229">
        <v>0</v>
      </c>
      <c r="H229">
        <v>0</v>
      </c>
      <c r="I229">
        <f t="shared" si="3"/>
        <v>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>
      <c r="A230">
        <v>228</v>
      </c>
      <c r="B230">
        <v>224</v>
      </c>
      <c r="C230">
        <v>223</v>
      </c>
      <c r="D230" t="s">
        <v>46</v>
      </c>
      <c r="E230" t="s">
        <v>46</v>
      </c>
      <c r="F230">
        <v>0</v>
      </c>
      <c r="G230">
        <v>0</v>
      </c>
      <c r="H230">
        <v>0</v>
      </c>
      <c r="I230">
        <f t="shared" si="3"/>
        <v>0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>
      <c r="A231">
        <v>229</v>
      </c>
      <c r="B231">
        <v>225</v>
      </c>
      <c r="C231">
        <v>224</v>
      </c>
      <c r="D231" t="s">
        <v>1</v>
      </c>
      <c r="E231" t="s">
        <v>1</v>
      </c>
      <c r="F231">
        <v>0</v>
      </c>
      <c r="G231">
        <v>0</v>
      </c>
      <c r="H231">
        <v>0</v>
      </c>
      <c r="I231">
        <f t="shared" si="3"/>
        <v>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>
      <c r="A232">
        <v>230</v>
      </c>
      <c r="B232">
        <v>226</v>
      </c>
      <c r="C232">
        <v>225</v>
      </c>
      <c r="D232" t="s">
        <v>44</v>
      </c>
      <c r="E232" t="s">
        <v>44</v>
      </c>
      <c r="F232">
        <v>0</v>
      </c>
      <c r="G232">
        <v>0</v>
      </c>
      <c r="H232">
        <v>0</v>
      </c>
      <c r="I232">
        <f t="shared" si="3"/>
        <v>0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>
      <c r="A233">
        <v>231</v>
      </c>
      <c r="B233">
        <v>227</v>
      </c>
      <c r="C233">
        <v>226</v>
      </c>
      <c r="D233" t="s">
        <v>40</v>
      </c>
      <c r="E233" t="s">
        <v>40</v>
      </c>
      <c r="F233">
        <v>0</v>
      </c>
      <c r="G233">
        <v>0</v>
      </c>
      <c r="H233">
        <v>0</v>
      </c>
      <c r="I233">
        <f t="shared" si="3"/>
        <v>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>
      <c r="A234">
        <v>232</v>
      </c>
      <c r="B234">
        <v>228</v>
      </c>
      <c r="C234">
        <v>227</v>
      </c>
      <c r="D234" t="s">
        <v>8</v>
      </c>
      <c r="E234" t="s">
        <v>8</v>
      </c>
      <c r="F234">
        <v>0</v>
      </c>
      <c r="G234">
        <v>0</v>
      </c>
      <c r="H234">
        <v>0</v>
      </c>
      <c r="I234">
        <f t="shared" si="3"/>
        <v>0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>
      <c r="A235">
        <v>233</v>
      </c>
      <c r="B235">
        <v>229</v>
      </c>
      <c r="C235">
        <v>228</v>
      </c>
      <c r="D235" t="s">
        <v>48</v>
      </c>
      <c r="E235" t="s">
        <v>48</v>
      </c>
      <c r="F235">
        <v>0</v>
      </c>
      <c r="G235">
        <v>0</v>
      </c>
      <c r="H235">
        <v>0</v>
      </c>
      <c r="I235">
        <f t="shared" si="3"/>
        <v>0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>
      <c r="A236">
        <v>234</v>
      </c>
      <c r="B236">
        <v>230</v>
      </c>
      <c r="C236">
        <v>229</v>
      </c>
      <c r="D236" t="s">
        <v>3</v>
      </c>
      <c r="E236" t="s">
        <v>3</v>
      </c>
      <c r="F236">
        <v>0</v>
      </c>
      <c r="G236">
        <v>0</v>
      </c>
      <c r="H236">
        <v>0</v>
      </c>
      <c r="I236">
        <f t="shared" si="3"/>
        <v>0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>
      <c r="A237">
        <v>235</v>
      </c>
      <c r="B237">
        <v>231</v>
      </c>
      <c r="C237">
        <v>230</v>
      </c>
      <c r="D237" t="s">
        <v>5</v>
      </c>
      <c r="E237" t="s">
        <v>3</v>
      </c>
      <c r="F237">
        <v>0</v>
      </c>
      <c r="G237">
        <v>0</v>
      </c>
      <c r="H237">
        <v>0</v>
      </c>
      <c r="I237">
        <f t="shared" si="3"/>
        <v>0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>
      <c r="A238">
        <v>236</v>
      </c>
      <c r="B238">
        <v>232</v>
      </c>
      <c r="C238">
        <v>231</v>
      </c>
      <c r="D238" t="s">
        <v>8</v>
      </c>
      <c r="E238" t="s">
        <v>8</v>
      </c>
      <c r="F238">
        <v>0</v>
      </c>
      <c r="G238">
        <v>0</v>
      </c>
      <c r="H238">
        <v>0</v>
      </c>
      <c r="I238">
        <f t="shared" si="3"/>
        <v>0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>
      <c r="A239">
        <v>237</v>
      </c>
      <c r="B239">
        <v>233</v>
      </c>
      <c r="C239">
        <v>232</v>
      </c>
      <c r="D239" t="s">
        <v>4</v>
      </c>
      <c r="E239" t="s">
        <v>2</v>
      </c>
      <c r="F239">
        <v>0</v>
      </c>
      <c r="G239">
        <v>0</v>
      </c>
      <c r="H239">
        <v>0</v>
      </c>
      <c r="I239">
        <f t="shared" si="3"/>
        <v>0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>
      <c r="A240">
        <v>238</v>
      </c>
      <c r="B240">
        <v>234</v>
      </c>
      <c r="C240">
        <v>233</v>
      </c>
      <c r="D240" t="s">
        <v>46</v>
      </c>
      <c r="E240" t="s">
        <v>46</v>
      </c>
      <c r="F240">
        <v>0</v>
      </c>
      <c r="G240">
        <v>0</v>
      </c>
      <c r="H240">
        <v>0</v>
      </c>
      <c r="I240">
        <f t="shared" si="3"/>
        <v>0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>
      <c r="A241">
        <v>239</v>
      </c>
      <c r="B241">
        <v>235</v>
      </c>
      <c r="C241">
        <v>234</v>
      </c>
      <c r="D241" t="s">
        <v>3</v>
      </c>
      <c r="E241" t="s">
        <v>3</v>
      </c>
      <c r="F241">
        <v>0</v>
      </c>
      <c r="G241">
        <v>0</v>
      </c>
      <c r="H241">
        <v>0</v>
      </c>
      <c r="I241">
        <f t="shared" si="3"/>
        <v>0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>
      <c r="A242">
        <v>240</v>
      </c>
      <c r="B242">
        <v>236</v>
      </c>
      <c r="C242">
        <v>235</v>
      </c>
      <c r="D242" t="s">
        <v>4</v>
      </c>
      <c r="E242" t="s">
        <v>4</v>
      </c>
      <c r="F242">
        <v>0</v>
      </c>
      <c r="G242">
        <v>0</v>
      </c>
      <c r="H242">
        <v>0</v>
      </c>
      <c r="I242">
        <f t="shared" si="3"/>
        <v>0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>
      <c r="A243">
        <v>241</v>
      </c>
      <c r="B243">
        <v>237</v>
      </c>
      <c r="C243">
        <v>236</v>
      </c>
      <c r="D243" t="s">
        <v>2</v>
      </c>
      <c r="E243" t="s">
        <v>2</v>
      </c>
      <c r="F243" t="s">
        <v>8</v>
      </c>
      <c r="G243">
        <v>0</v>
      </c>
      <c r="H243">
        <v>0.99509403107113603</v>
      </c>
      <c r="I243">
        <f t="shared" si="3"/>
        <v>1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>
      <c r="A244">
        <v>242</v>
      </c>
      <c r="B244">
        <v>238</v>
      </c>
      <c r="C244">
        <v>237</v>
      </c>
      <c r="D244" t="s">
        <v>4</v>
      </c>
      <c r="E244" t="s">
        <v>4</v>
      </c>
      <c r="F244">
        <v>0</v>
      </c>
      <c r="G244">
        <v>0</v>
      </c>
      <c r="H244">
        <v>0</v>
      </c>
      <c r="I244">
        <f t="shared" si="3"/>
        <v>0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>
      <c r="A245">
        <v>243</v>
      </c>
      <c r="B245">
        <v>239</v>
      </c>
      <c r="C245">
        <v>238</v>
      </c>
      <c r="D245" t="s">
        <v>43</v>
      </c>
      <c r="E245" t="s">
        <v>43</v>
      </c>
      <c r="F245">
        <v>0</v>
      </c>
      <c r="G245">
        <v>0</v>
      </c>
      <c r="H245">
        <v>0</v>
      </c>
      <c r="I245">
        <f t="shared" si="3"/>
        <v>0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>
      <c r="A246">
        <v>244</v>
      </c>
      <c r="B246">
        <v>240</v>
      </c>
      <c r="C246">
        <v>239</v>
      </c>
      <c r="D246" t="s">
        <v>48</v>
      </c>
      <c r="E246" t="s">
        <v>48</v>
      </c>
      <c r="F246">
        <v>0</v>
      </c>
      <c r="G246">
        <v>0</v>
      </c>
      <c r="H246">
        <v>0</v>
      </c>
      <c r="I246">
        <f t="shared" si="3"/>
        <v>0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>
      <c r="A247">
        <v>245</v>
      </c>
      <c r="B247">
        <v>241</v>
      </c>
      <c r="C247">
        <v>240</v>
      </c>
      <c r="D247" t="s">
        <v>2</v>
      </c>
      <c r="E247" t="s">
        <v>2</v>
      </c>
      <c r="F247">
        <v>0</v>
      </c>
      <c r="G247">
        <v>0</v>
      </c>
      <c r="H247">
        <v>0</v>
      </c>
      <c r="I247">
        <f t="shared" si="3"/>
        <v>0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>
      <c r="A248">
        <v>246</v>
      </c>
      <c r="B248">
        <v>242</v>
      </c>
      <c r="C248">
        <v>241</v>
      </c>
      <c r="D248" t="s">
        <v>3</v>
      </c>
      <c r="E248" t="s">
        <v>3</v>
      </c>
      <c r="F248">
        <v>0</v>
      </c>
      <c r="G248">
        <v>0</v>
      </c>
      <c r="H248">
        <v>0</v>
      </c>
      <c r="I248">
        <f t="shared" si="3"/>
        <v>0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>
      <c r="A249">
        <v>247</v>
      </c>
      <c r="B249">
        <v>243</v>
      </c>
      <c r="C249">
        <v>242</v>
      </c>
      <c r="D249" t="s">
        <v>45</v>
      </c>
      <c r="E249" t="s">
        <v>45</v>
      </c>
      <c r="F249">
        <v>0</v>
      </c>
      <c r="G249">
        <v>0</v>
      </c>
      <c r="H249">
        <v>0</v>
      </c>
      <c r="I249">
        <f t="shared" si="3"/>
        <v>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>
      <c r="A250">
        <v>248</v>
      </c>
      <c r="B250">
        <v>244</v>
      </c>
      <c r="C250">
        <v>243</v>
      </c>
      <c r="D250" t="s">
        <v>7</v>
      </c>
      <c r="E250" t="s">
        <v>7</v>
      </c>
      <c r="F250">
        <v>0</v>
      </c>
      <c r="G250">
        <v>0</v>
      </c>
      <c r="H250">
        <v>0</v>
      </c>
      <c r="I250">
        <f t="shared" si="3"/>
        <v>0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>
      <c r="A251">
        <v>249</v>
      </c>
      <c r="B251">
        <v>245</v>
      </c>
      <c r="C251">
        <v>244</v>
      </c>
      <c r="D251" t="s">
        <v>2</v>
      </c>
      <c r="E251" t="s">
        <v>2</v>
      </c>
      <c r="F251">
        <v>0</v>
      </c>
      <c r="G251">
        <v>0</v>
      </c>
      <c r="H251">
        <v>0</v>
      </c>
      <c r="I251">
        <f t="shared" si="3"/>
        <v>0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>
      <c r="A252">
        <v>250</v>
      </c>
      <c r="B252">
        <v>246</v>
      </c>
      <c r="C252">
        <v>245</v>
      </c>
      <c r="D252" t="s">
        <v>45</v>
      </c>
      <c r="E252" t="s">
        <v>45</v>
      </c>
      <c r="F252">
        <v>0</v>
      </c>
      <c r="G252">
        <v>0</v>
      </c>
      <c r="H252">
        <v>0</v>
      </c>
      <c r="I252">
        <f t="shared" si="3"/>
        <v>0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>
      <c r="A253">
        <v>251</v>
      </c>
      <c r="B253">
        <v>247</v>
      </c>
      <c r="C253">
        <v>246</v>
      </c>
      <c r="D253" t="s">
        <v>42</v>
      </c>
      <c r="E253" t="s">
        <v>42</v>
      </c>
      <c r="F253">
        <v>0</v>
      </c>
      <c r="G253">
        <v>0</v>
      </c>
      <c r="H253">
        <v>0</v>
      </c>
      <c r="I253">
        <f t="shared" si="3"/>
        <v>0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>
      <c r="A254">
        <v>252</v>
      </c>
      <c r="B254">
        <v>248</v>
      </c>
      <c r="C254">
        <v>247</v>
      </c>
      <c r="D254" t="s">
        <v>48</v>
      </c>
      <c r="E254" t="s">
        <v>48</v>
      </c>
      <c r="F254">
        <v>0</v>
      </c>
      <c r="G254">
        <v>0</v>
      </c>
      <c r="H254">
        <v>0</v>
      </c>
      <c r="I254">
        <f t="shared" si="3"/>
        <v>0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>
      <c r="A255">
        <v>253</v>
      </c>
      <c r="B255">
        <v>249</v>
      </c>
      <c r="C255">
        <v>248</v>
      </c>
      <c r="D255" t="s">
        <v>2</v>
      </c>
      <c r="E255" t="s">
        <v>2</v>
      </c>
      <c r="F255">
        <v>0</v>
      </c>
      <c r="G255">
        <v>0</v>
      </c>
      <c r="H255">
        <v>0</v>
      </c>
      <c r="I255">
        <f t="shared" si="3"/>
        <v>0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>
      <c r="A256">
        <v>254</v>
      </c>
      <c r="B256">
        <v>250</v>
      </c>
      <c r="C256">
        <v>249</v>
      </c>
      <c r="D256" t="s">
        <v>9</v>
      </c>
      <c r="E256" t="s">
        <v>9</v>
      </c>
      <c r="F256">
        <v>0</v>
      </c>
      <c r="G256">
        <v>0</v>
      </c>
      <c r="H256">
        <v>0</v>
      </c>
      <c r="I256">
        <f t="shared" si="3"/>
        <v>0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>
      <c r="A257">
        <v>255</v>
      </c>
      <c r="B257">
        <v>251</v>
      </c>
      <c r="C257">
        <v>250</v>
      </c>
      <c r="D257" t="s">
        <v>4</v>
      </c>
      <c r="E257" t="s">
        <v>4</v>
      </c>
      <c r="F257">
        <v>0</v>
      </c>
      <c r="G257">
        <v>0</v>
      </c>
      <c r="H257">
        <v>0</v>
      </c>
      <c r="I257">
        <f t="shared" si="3"/>
        <v>0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>
      <c r="A258">
        <v>256</v>
      </c>
      <c r="B258">
        <v>252</v>
      </c>
      <c r="C258">
        <v>251</v>
      </c>
      <c r="D258" t="s">
        <v>44</v>
      </c>
      <c r="E258" t="s">
        <v>44</v>
      </c>
      <c r="F258">
        <v>0</v>
      </c>
      <c r="G258">
        <v>0</v>
      </c>
      <c r="H258">
        <v>0</v>
      </c>
      <c r="I258">
        <f t="shared" si="3"/>
        <v>0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>
      <c r="A259">
        <v>257</v>
      </c>
      <c r="B259">
        <v>253</v>
      </c>
      <c r="C259">
        <v>252</v>
      </c>
      <c r="D259" t="s">
        <v>10</v>
      </c>
      <c r="E259" t="s">
        <v>10</v>
      </c>
      <c r="F259">
        <v>0</v>
      </c>
      <c r="G259">
        <v>0</v>
      </c>
      <c r="H259">
        <v>0</v>
      </c>
      <c r="I259">
        <f t="shared" ref="I259:I322" si="4">COUNTIF(G259:H259,"&gt;0.1")</f>
        <v>0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>
      <c r="A260">
        <v>258</v>
      </c>
      <c r="B260">
        <v>254</v>
      </c>
      <c r="C260">
        <v>253</v>
      </c>
      <c r="D260" t="s">
        <v>43</v>
      </c>
      <c r="E260" t="s">
        <v>43</v>
      </c>
      <c r="F260">
        <v>0</v>
      </c>
      <c r="G260">
        <v>0</v>
      </c>
      <c r="H260">
        <v>0</v>
      </c>
      <c r="I260">
        <f t="shared" si="4"/>
        <v>0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>
      <c r="A261">
        <v>259</v>
      </c>
      <c r="B261">
        <v>255</v>
      </c>
      <c r="C261">
        <v>254</v>
      </c>
      <c r="D261" t="s">
        <v>45</v>
      </c>
      <c r="E261" t="s">
        <v>45</v>
      </c>
      <c r="F261">
        <v>0</v>
      </c>
      <c r="G261">
        <v>0</v>
      </c>
      <c r="H261">
        <v>0</v>
      </c>
      <c r="I261">
        <f t="shared" si="4"/>
        <v>0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>
      <c r="A262">
        <v>260</v>
      </c>
      <c r="B262">
        <v>256</v>
      </c>
      <c r="C262">
        <v>255</v>
      </c>
      <c r="D262" t="s">
        <v>44</v>
      </c>
      <c r="E262" t="s">
        <v>45</v>
      </c>
      <c r="F262" t="s">
        <v>45</v>
      </c>
      <c r="G262">
        <v>0.99423868312757202</v>
      </c>
      <c r="H262">
        <v>0</v>
      </c>
      <c r="I262">
        <f t="shared" si="4"/>
        <v>1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>
      <c r="A263">
        <v>261</v>
      </c>
      <c r="B263">
        <v>257</v>
      </c>
      <c r="C263">
        <v>256</v>
      </c>
      <c r="D263" t="s">
        <v>7</v>
      </c>
      <c r="E263" t="s">
        <v>7</v>
      </c>
      <c r="F263">
        <v>0</v>
      </c>
      <c r="G263">
        <v>0</v>
      </c>
      <c r="H263">
        <v>0</v>
      </c>
      <c r="I263">
        <f t="shared" si="4"/>
        <v>0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>
      <c r="A264">
        <v>262</v>
      </c>
      <c r="B264">
        <v>258</v>
      </c>
      <c r="C264">
        <v>257</v>
      </c>
      <c r="D264" t="s">
        <v>2</v>
      </c>
      <c r="E264" t="s">
        <v>2</v>
      </c>
      <c r="F264">
        <v>0</v>
      </c>
      <c r="G264">
        <v>0</v>
      </c>
      <c r="H264">
        <v>0</v>
      </c>
      <c r="I264">
        <f t="shared" si="4"/>
        <v>0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>
      <c r="A265">
        <v>263</v>
      </c>
      <c r="B265">
        <v>259</v>
      </c>
      <c r="C265">
        <v>258</v>
      </c>
      <c r="D265" t="s">
        <v>42</v>
      </c>
      <c r="E265" t="s">
        <v>42</v>
      </c>
      <c r="F265">
        <v>0</v>
      </c>
      <c r="G265">
        <v>0</v>
      </c>
      <c r="H265">
        <v>0</v>
      </c>
      <c r="I265">
        <f t="shared" si="4"/>
        <v>0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>
      <c r="A266">
        <v>264</v>
      </c>
      <c r="B266">
        <v>260</v>
      </c>
      <c r="C266">
        <v>259</v>
      </c>
      <c r="D266" t="s">
        <v>40</v>
      </c>
      <c r="E266" t="s">
        <v>40</v>
      </c>
      <c r="F266" t="s">
        <v>40</v>
      </c>
      <c r="G266">
        <v>0.86423357664233502</v>
      </c>
      <c r="H266">
        <v>0</v>
      </c>
      <c r="I266">
        <f t="shared" si="4"/>
        <v>1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>
      <c r="A267">
        <v>265</v>
      </c>
      <c r="B267">
        <v>261</v>
      </c>
      <c r="C267">
        <v>260</v>
      </c>
      <c r="D267" t="s">
        <v>40</v>
      </c>
      <c r="E267" t="s">
        <v>40</v>
      </c>
      <c r="F267">
        <v>0</v>
      </c>
      <c r="G267">
        <v>0</v>
      </c>
      <c r="H267">
        <v>0</v>
      </c>
      <c r="I267">
        <f t="shared" si="4"/>
        <v>0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>
      <c r="A268">
        <v>266</v>
      </c>
      <c r="B268">
        <v>262</v>
      </c>
      <c r="C268">
        <v>261</v>
      </c>
      <c r="D268" t="s">
        <v>40</v>
      </c>
      <c r="E268" t="s">
        <v>40</v>
      </c>
      <c r="F268" t="s">
        <v>40</v>
      </c>
      <c r="G268">
        <v>0.99190283400809698</v>
      </c>
      <c r="H268">
        <v>0</v>
      </c>
      <c r="I268">
        <f t="shared" si="4"/>
        <v>1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>
      <c r="A269">
        <v>267</v>
      </c>
      <c r="B269">
        <v>263</v>
      </c>
      <c r="C269">
        <v>262</v>
      </c>
      <c r="D269" t="s">
        <v>3</v>
      </c>
      <c r="E269" t="s">
        <v>3</v>
      </c>
      <c r="F269">
        <v>0</v>
      </c>
      <c r="G269">
        <v>0</v>
      </c>
      <c r="H269">
        <v>0</v>
      </c>
      <c r="I269">
        <f t="shared" si="4"/>
        <v>0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>
      <c r="A270">
        <v>268</v>
      </c>
      <c r="B270">
        <v>264</v>
      </c>
      <c r="C270">
        <v>263</v>
      </c>
      <c r="D270" t="s">
        <v>4</v>
      </c>
      <c r="E270" t="s">
        <v>4</v>
      </c>
      <c r="F270">
        <v>0</v>
      </c>
      <c r="G270">
        <v>0</v>
      </c>
      <c r="H270">
        <v>0</v>
      </c>
      <c r="I270">
        <f t="shared" si="4"/>
        <v>0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>
      <c r="A271">
        <v>269</v>
      </c>
      <c r="B271">
        <v>265</v>
      </c>
      <c r="C271">
        <v>264</v>
      </c>
      <c r="D271" t="s">
        <v>7</v>
      </c>
      <c r="E271" t="s">
        <v>7</v>
      </c>
      <c r="F271">
        <v>0</v>
      </c>
      <c r="G271">
        <v>0</v>
      </c>
      <c r="H271">
        <v>0</v>
      </c>
      <c r="I271">
        <f t="shared" si="4"/>
        <v>0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>
      <c r="A272">
        <v>270</v>
      </c>
      <c r="B272">
        <v>266</v>
      </c>
      <c r="C272">
        <v>265</v>
      </c>
      <c r="D272" t="s">
        <v>40</v>
      </c>
      <c r="E272" t="s">
        <v>40</v>
      </c>
      <c r="F272">
        <v>0</v>
      </c>
      <c r="G272">
        <v>0</v>
      </c>
      <c r="H272">
        <v>0</v>
      </c>
      <c r="I272">
        <f t="shared" si="4"/>
        <v>0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>
      <c r="A273">
        <v>271</v>
      </c>
      <c r="B273">
        <v>267</v>
      </c>
      <c r="C273">
        <v>266</v>
      </c>
      <c r="D273" t="s">
        <v>1</v>
      </c>
      <c r="E273" t="s">
        <v>1</v>
      </c>
      <c r="F273">
        <v>0</v>
      </c>
      <c r="G273">
        <v>0</v>
      </c>
      <c r="H273">
        <v>0</v>
      </c>
      <c r="I273">
        <f t="shared" si="4"/>
        <v>0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>
      <c r="A274">
        <v>272</v>
      </c>
      <c r="B274">
        <v>268</v>
      </c>
      <c r="C274">
        <v>267</v>
      </c>
      <c r="D274" t="s">
        <v>6</v>
      </c>
      <c r="E274" t="s">
        <v>6</v>
      </c>
      <c r="F274">
        <v>0</v>
      </c>
      <c r="G274">
        <v>0</v>
      </c>
      <c r="H274">
        <v>0</v>
      </c>
      <c r="I274">
        <f t="shared" si="4"/>
        <v>0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>
      <c r="A275">
        <v>273</v>
      </c>
      <c r="B275">
        <v>269</v>
      </c>
      <c r="C275">
        <v>268</v>
      </c>
      <c r="D275" t="s">
        <v>5</v>
      </c>
      <c r="E275" t="s">
        <v>6</v>
      </c>
      <c r="F275" t="s">
        <v>6</v>
      </c>
      <c r="G275">
        <v>0.97388059701492502</v>
      </c>
      <c r="H275">
        <v>0</v>
      </c>
      <c r="I275">
        <f t="shared" si="4"/>
        <v>1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>
      <c r="A276">
        <v>274</v>
      </c>
      <c r="B276">
        <v>270</v>
      </c>
      <c r="C276">
        <v>269</v>
      </c>
      <c r="D276" t="s">
        <v>8</v>
      </c>
      <c r="E276" t="s">
        <v>6</v>
      </c>
      <c r="F276">
        <v>0</v>
      </c>
      <c r="G276">
        <v>0</v>
      </c>
      <c r="H276">
        <v>0</v>
      </c>
      <c r="I276">
        <f t="shared" si="4"/>
        <v>0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>
      <c r="A277">
        <v>275</v>
      </c>
      <c r="B277">
        <v>271</v>
      </c>
      <c r="C277">
        <v>270</v>
      </c>
      <c r="D277" t="s">
        <v>45</v>
      </c>
      <c r="E277" t="s">
        <v>45</v>
      </c>
      <c r="F277" t="s">
        <v>45</v>
      </c>
      <c r="G277">
        <v>0.97520661157024802</v>
      </c>
      <c r="H277">
        <v>0</v>
      </c>
      <c r="I277">
        <f t="shared" si="4"/>
        <v>1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>
      <c r="A278">
        <v>276</v>
      </c>
      <c r="B278">
        <v>272</v>
      </c>
      <c r="C278">
        <v>271</v>
      </c>
      <c r="D278" t="s">
        <v>45</v>
      </c>
      <c r="E278" t="s">
        <v>45</v>
      </c>
      <c r="F278">
        <v>0</v>
      </c>
      <c r="G278">
        <v>0</v>
      </c>
      <c r="H278">
        <v>0</v>
      </c>
      <c r="I278">
        <f t="shared" si="4"/>
        <v>0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>
      <c r="A279">
        <v>277</v>
      </c>
      <c r="B279">
        <v>273</v>
      </c>
      <c r="C279">
        <v>272</v>
      </c>
      <c r="D279" t="s">
        <v>44</v>
      </c>
      <c r="E279" t="s">
        <v>44</v>
      </c>
      <c r="F279">
        <v>0</v>
      </c>
      <c r="G279">
        <v>0</v>
      </c>
      <c r="H279">
        <v>0</v>
      </c>
      <c r="I279">
        <f t="shared" si="4"/>
        <v>0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>
      <c r="A280">
        <v>278</v>
      </c>
      <c r="B280">
        <v>274</v>
      </c>
      <c r="C280">
        <v>273</v>
      </c>
      <c r="D280" t="s">
        <v>10</v>
      </c>
      <c r="E280" t="s">
        <v>10</v>
      </c>
      <c r="F280">
        <v>0</v>
      </c>
      <c r="G280">
        <v>0</v>
      </c>
      <c r="H280">
        <v>0</v>
      </c>
      <c r="I280">
        <f t="shared" si="4"/>
        <v>0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>
      <c r="A281">
        <v>279</v>
      </c>
      <c r="B281">
        <v>275</v>
      </c>
      <c r="C281">
        <v>274</v>
      </c>
      <c r="D281" t="s">
        <v>7</v>
      </c>
      <c r="E281" t="s">
        <v>7</v>
      </c>
      <c r="F281">
        <v>0</v>
      </c>
      <c r="G281">
        <v>0</v>
      </c>
      <c r="H281">
        <v>0</v>
      </c>
      <c r="I281">
        <f t="shared" si="4"/>
        <v>0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>
      <c r="A282">
        <v>280</v>
      </c>
      <c r="B282">
        <v>276</v>
      </c>
      <c r="C282">
        <v>275</v>
      </c>
      <c r="D282" t="s">
        <v>5</v>
      </c>
      <c r="E282" t="s">
        <v>45</v>
      </c>
      <c r="F282" t="s">
        <v>6</v>
      </c>
      <c r="G282">
        <v>0.98947368421052595</v>
      </c>
      <c r="H282">
        <v>0</v>
      </c>
      <c r="I282">
        <f t="shared" si="4"/>
        <v>1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>
      <c r="A283">
        <v>281</v>
      </c>
      <c r="B283">
        <v>277</v>
      </c>
      <c r="C283">
        <v>276</v>
      </c>
      <c r="D283" t="s">
        <v>3</v>
      </c>
      <c r="E283" t="s">
        <v>3</v>
      </c>
      <c r="F283">
        <v>0</v>
      </c>
      <c r="G283">
        <v>0</v>
      </c>
      <c r="H283">
        <v>0</v>
      </c>
      <c r="I283">
        <f t="shared" si="4"/>
        <v>0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>
      <c r="A284">
        <v>282</v>
      </c>
      <c r="B284">
        <v>278</v>
      </c>
      <c r="C284">
        <v>277</v>
      </c>
      <c r="D284" t="s">
        <v>46</v>
      </c>
      <c r="E284" t="s">
        <v>46</v>
      </c>
      <c r="F284" t="s">
        <v>46</v>
      </c>
      <c r="G284">
        <v>0.98412698412698396</v>
      </c>
      <c r="H284">
        <v>0</v>
      </c>
      <c r="I284">
        <f t="shared" si="4"/>
        <v>1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>
      <c r="A285">
        <v>283</v>
      </c>
      <c r="B285">
        <v>279</v>
      </c>
      <c r="C285">
        <v>278</v>
      </c>
      <c r="D285" t="s">
        <v>2</v>
      </c>
      <c r="E285" t="s">
        <v>2</v>
      </c>
      <c r="F285">
        <v>0</v>
      </c>
      <c r="G285">
        <v>0</v>
      </c>
      <c r="H285">
        <v>0</v>
      </c>
      <c r="I285">
        <f t="shared" si="4"/>
        <v>0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>
      <c r="A286">
        <v>284</v>
      </c>
      <c r="B286">
        <v>280</v>
      </c>
      <c r="C286">
        <v>279</v>
      </c>
      <c r="D286" t="s">
        <v>5</v>
      </c>
      <c r="E286" t="s">
        <v>5</v>
      </c>
      <c r="F286" t="s">
        <v>3</v>
      </c>
      <c r="G286">
        <v>0</v>
      </c>
      <c r="H286">
        <v>0.93771961710892904</v>
      </c>
      <c r="I286">
        <f t="shared" si="4"/>
        <v>1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>
      <c r="A287">
        <v>285</v>
      </c>
      <c r="B287">
        <v>281</v>
      </c>
      <c r="C287">
        <v>280</v>
      </c>
      <c r="D287" t="s">
        <v>3</v>
      </c>
      <c r="E287" t="s">
        <v>3</v>
      </c>
      <c r="F287">
        <v>0</v>
      </c>
      <c r="G287">
        <v>0</v>
      </c>
      <c r="H287">
        <v>0</v>
      </c>
      <c r="I287">
        <f t="shared" si="4"/>
        <v>0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>
      <c r="A288">
        <v>286</v>
      </c>
      <c r="B288">
        <v>282</v>
      </c>
      <c r="C288">
        <v>281</v>
      </c>
      <c r="D288" t="s">
        <v>1</v>
      </c>
      <c r="E288" t="s">
        <v>1</v>
      </c>
      <c r="F288" t="s">
        <v>5</v>
      </c>
      <c r="G288">
        <v>0.115577889447236</v>
      </c>
      <c r="H288">
        <v>0</v>
      </c>
      <c r="I288">
        <f t="shared" si="4"/>
        <v>1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>
      <c r="A289">
        <v>287</v>
      </c>
      <c r="B289">
        <v>282</v>
      </c>
      <c r="C289">
        <v>281</v>
      </c>
      <c r="D289" t="s">
        <v>1</v>
      </c>
      <c r="E289" t="s">
        <v>1</v>
      </c>
      <c r="F289" t="s">
        <v>354</v>
      </c>
      <c r="G289">
        <v>0.60804020100502498</v>
      </c>
      <c r="H289">
        <v>0</v>
      </c>
      <c r="I289">
        <f t="shared" si="4"/>
        <v>1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>
      <c r="A290">
        <v>288</v>
      </c>
      <c r="B290">
        <v>282</v>
      </c>
      <c r="C290">
        <v>281</v>
      </c>
      <c r="D290" t="s">
        <v>1</v>
      </c>
      <c r="E290" t="s">
        <v>1</v>
      </c>
      <c r="F290" t="s">
        <v>44</v>
      </c>
      <c r="G290">
        <v>0.24623115577889401</v>
      </c>
      <c r="H290">
        <v>0</v>
      </c>
      <c r="I290">
        <f t="shared" si="4"/>
        <v>1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>
      <c r="A291">
        <v>289</v>
      </c>
      <c r="B291">
        <v>282</v>
      </c>
      <c r="C291">
        <v>281</v>
      </c>
      <c r="D291" t="s">
        <v>1</v>
      </c>
      <c r="E291" t="s">
        <v>1</v>
      </c>
      <c r="F291" t="s">
        <v>2</v>
      </c>
      <c r="G291">
        <v>0</v>
      </c>
      <c r="H291">
        <v>0.94370263442800395</v>
      </c>
      <c r="I291">
        <f t="shared" si="4"/>
        <v>1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>
      <c r="A292">
        <v>290</v>
      </c>
      <c r="B292">
        <v>283</v>
      </c>
      <c r="C292">
        <v>282</v>
      </c>
      <c r="D292" t="s">
        <v>8</v>
      </c>
      <c r="E292" t="s">
        <v>8</v>
      </c>
      <c r="F292" t="s">
        <v>3</v>
      </c>
      <c r="G292">
        <v>0.320175438596491</v>
      </c>
      <c r="H292">
        <v>0</v>
      </c>
      <c r="I292">
        <f t="shared" si="4"/>
        <v>1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>
      <c r="A293">
        <v>291</v>
      </c>
      <c r="B293">
        <v>283</v>
      </c>
      <c r="C293">
        <v>282</v>
      </c>
      <c r="D293" t="s">
        <v>8</v>
      </c>
      <c r="E293" t="s">
        <v>8</v>
      </c>
      <c r="F293" t="s">
        <v>354</v>
      </c>
      <c r="G293">
        <v>0.53070175438596401</v>
      </c>
      <c r="H293">
        <v>0</v>
      </c>
      <c r="I293">
        <f t="shared" si="4"/>
        <v>1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>
      <c r="A294">
        <v>292</v>
      </c>
      <c r="B294">
        <v>283</v>
      </c>
      <c r="C294">
        <v>282</v>
      </c>
      <c r="D294" t="s">
        <v>8</v>
      </c>
      <c r="E294" t="s">
        <v>8</v>
      </c>
      <c r="F294" t="s">
        <v>44</v>
      </c>
      <c r="G294">
        <v>0.118421052631578</v>
      </c>
      <c r="H294">
        <v>0</v>
      </c>
      <c r="I294">
        <f t="shared" si="4"/>
        <v>1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>
      <c r="A295">
        <v>293</v>
      </c>
      <c r="B295">
        <v>284</v>
      </c>
      <c r="C295">
        <v>283</v>
      </c>
      <c r="D295" t="s">
        <v>2</v>
      </c>
      <c r="E295" t="s">
        <v>2</v>
      </c>
      <c r="F295" t="s">
        <v>44</v>
      </c>
      <c r="G295">
        <v>0.98888888888888804</v>
      </c>
      <c r="H295">
        <v>0</v>
      </c>
      <c r="I295">
        <f t="shared" si="4"/>
        <v>1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>
      <c r="A296">
        <v>294</v>
      </c>
      <c r="B296">
        <v>285</v>
      </c>
      <c r="C296">
        <v>284</v>
      </c>
      <c r="D296" t="s">
        <v>44</v>
      </c>
      <c r="E296" t="s">
        <v>44</v>
      </c>
      <c r="F296">
        <v>0</v>
      </c>
      <c r="G296">
        <v>0</v>
      </c>
      <c r="H296">
        <v>0</v>
      </c>
      <c r="I296">
        <f t="shared" si="4"/>
        <v>0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>
      <c r="A297">
        <v>295</v>
      </c>
      <c r="B297">
        <v>286</v>
      </c>
      <c r="C297">
        <v>285</v>
      </c>
      <c r="D297" t="s">
        <v>44</v>
      </c>
      <c r="E297" t="s">
        <v>44</v>
      </c>
      <c r="F297">
        <v>0</v>
      </c>
      <c r="G297">
        <v>0</v>
      </c>
      <c r="H297">
        <v>0</v>
      </c>
      <c r="I297">
        <f t="shared" si="4"/>
        <v>0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>
      <c r="A298">
        <v>296</v>
      </c>
      <c r="B298">
        <v>287</v>
      </c>
      <c r="C298">
        <v>286</v>
      </c>
      <c r="D298" t="s">
        <v>45</v>
      </c>
      <c r="E298" t="s">
        <v>45</v>
      </c>
      <c r="F298">
        <v>0</v>
      </c>
      <c r="G298">
        <v>0</v>
      </c>
      <c r="H298">
        <v>0</v>
      </c>
      <c r="I298">
        <f t="shared" si="4"/>
        <v>0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>
      <c r="A299">
        <v>297</v>
      </c>
      <c r="B299">
        <v>288</v>
      </c>
      <c r="C299">
        <v>287</v>
      </c>
      <c r="D299" t="s">
        <v>9</v>
      </c>
      <c r="E299" t="s">
        <v>42</v>
      </c>
      <c r="F299" t="s">
        <v>42</v>
      </c>
      <c r="G299">
        <v>0.99434229137199404</v>
      </c>
      <c r="H299">
        <v>0</v>
      </c>
      <c r="I299">
        <f t="shared" si="4"/>
        <v>1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>
      <c r="A300">
        <v>298</v>
      </c>
      <c r="B300">
        <v>289</v>
      </c>
      <c r="C300">
        <v>288</v>
      </c>
      <c r="D300" t="s">
        <v>40</v>
      </c>
      <c r="E300" t="s">
        <v>40</v>
      </c>
      <c r="F300" t="s">
        <v>40</v>
      </c>
      <c r="G300">
        <v>0.21165644171779099</v>
      </c>
      <c r="H300">
        <v>0</v>
      </c>
      <c r="I300">
        <f t="shared" si="4"/>
        <v>1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>
      <c r="A301">
        <v>299</v>
      </c>
      <c r="B301">
        <v>290</v>
      </c>
      <c r="C301">
        <v>289</v>
      </c>
      <c r="D301" t="s">
        <v>3</v>
      </c>
      <c r="E301" t="s">
        <v>3</v>
      </c>
      <c r="F301">
        <v>0</v>
      </c>
      <c r="G301">
        <v>0</v>
      </c>
      <c r="H301">
        <v>0</v>
      </c>
      <c r="I301">
        <f t="shared" si="4"/>
        <v>0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>
      <c r="A302">
        <v>300</v>
      </c>
      <c r="B302">
        <v>291</v>
      </c>
      <c r="C302">
        <v>290</v>
      </c>
      <c r="D302" t="s">
        <v>6</v>
      </c>
      <c r="E302" t="s">
        <v>2</v>
      </c>
      <c r="F302">
        <v>0</v>
      </c>
      <c r="G302">
        <v>0</v>
      </c>
      <c r="H302">
        <v>0</v>
      </c>
      <c r="I302">
        <f t="shared" si="4"/>
        <v>0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>
      <c r="A303">
        <v>301</v>
      </c>
      <c r="B303">
        <v>292</v>
      </c>
      <c r="C303">
        <v>291</v>
      </c>
      <c r="D303" t="s">
        <v>2</v>
      </c>
      <c r="E303" t="s">
        <v>7</v>
      </c>
      <c r="F303" t="s">
        <v>7</v>
      </c>
      <c r="G303">
        <v>0.99397590361445698</v>
      </c>
      <c r="H303">
        <v>0</v>
      </c>
      <c r="I303">
        <f t="shared" si="4"/>
        <v>1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>
      <c r="A304">
        <v>302</v>
      </c>
      <c r="B304">
        <v>293</v>
      </c>
      <c r="C304">
        <v>292</v>
      </c>
      <c r="D304" t="s">
        <v>45</v>
      </c>
      <c r="E304" t="s">
        <v>45</v>
      </c>
      <c r="F304">
        <v>0</v>
      </c>
      <c r="G304">
        <v>0</v>
      </c>
      <c r="H304">
        <v>0</v>
      </c>
      <c r="I304">
        <f t="shared" si="4"/>
        <v>0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>
      <c r="A305">
        <v>303</v>
      </c>
      <c r="B305">
        <v>294</v>
      </c>
      <c r="C305">
        <v>293</v>
      </c>
      <c r="D305" t="s">
        <v>8</v>
      </c>
      <c r="E305" t="s">
        <v>6</v>
      </c>
      <c r="F305">
        <v>0</v>
      </c>
      <c r="G305">
        <v>0</v>
      </c>
      <c r="H305">
        <v>0</v>
      </c>
      <c r="I305">
        <f t="shared" si="4"/>
        <v>0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>
      <c r="A306">
        <v>304</v>
      </c>
      <c r="B306">
        <v>295</v>
      </c>
      <c r="C306">
        <v>294</v>
      </c>
      <c r="D306" t="s">
        <v>44</v>
      </c>
      <c r="E306" t="s">
        <v>44</v>
      </c>
      <c r="F306">
        <v>0</v>
      </c>
      <c r="G306">
        <v>0</v>
      </c>
      <c r="H306">
        <v>0</v>
      </c>
      <c r="I306">
        <f t="shared" si="4"/>
        <v>0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>
      <c r="A307">
        <v>305</v>
      </c>
      <c r="B307">
        <v>296</v>
      </c>
      <c r="C307">
        <v>295</v>
      </c>
      <c r="D307" t="s">
        <v>3</v>
      </c>
      <c r="E307" t="s">
        <v>3</v>
      </c>
      <c r="F307">
        <v>0</v>
      </c>
      <c r="G307">
        <v>0</v>
      </c>
      <c r="H307">
        <v>0</v>
      </c>
      <c r="I307">
        <f t="shared" si="4"/>
        <v>0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>
      <c r="A308">
        <v>306</v>
      </c>
      <c r="B308">
        <v>297</v>
      </c>
      <c r="C308">
        <v>296</v>
      </c>
      <c r="D308" t="s">
        <v>48</v>
      </c>
      <c r="E308" t="s">
        <v>48</v>
      </c>
      <c r="F308">
        <v>0</v>
      </c>
      <c r="G308">
        <v>0</v>
      </c>
      <c r="H308">
        <v>0</v>
      </c>
      <c r="I308">
        <f t="shared" si="4"/>
        <v>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>
      <c r="A309">
        <v>307</v>
      </c>
      <c r="B309">
        <v>298</v>
      </c>
      <c r="C309">
        <v>297</v>
      </c>
      <c r="D309" t="s">
        <v>2</v>
      </c>
      <c r="E309" t="s">
        <v>2</v>
      </c>
      <c r="F309">
        <v>0</v>
      </c>
      <c r="G309">
        <v>0</v>
      </c>
      <c r="H309">
        <v>0</v>
      </c>
      <c r="I309">
        <f t="shared" si="4"/>
        <v>0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>
      <c r="A310">
        <v>308</v>
      </c>
      <c r="B310">
        <v>299</v>
      </c>
      <c r="C310">
        <v>298</v>
      </c>
      <c r="D310" t="s">
        <v>10</v>
      </c>
      <c r="E310" t="s">
        <v>10</v>
      </c>
      <c r="F310">
        <v>0</v>
      </c>
      <c r="G310">
        <v>0</v>
      </c>
      <c r="H310">
        <v>0</v>
      </c>
      <c r="I310">
        <f t="shared" si="4"/>
        <v>0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>
      <c r="A311">
        <v>309</v>
      </c>
      <c r="B311">
        <v>300</v>
      </c>
      <c r="C311">
        <v>299</v>
      </c>
      <c r="D311" t="s">
        <v>43</v>
      </c>
      <c r="E311" t="s">
        <v>43</v>
      </c>
      <c r="F311">
        <v>0</v>
      </c>
      <c r="G311">
        <v>0</v>
      </c>
      <c r="H311">
        <v>0</v>
      </c>
      <c r="I311">
        <f t="shared" si="4"/>
        <v>0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>
      <c r="A312">
        <v>310</v>
      </c>
      <c r="B312">
        <v>301</v>
      </c>
      <c r="C312">
        <v>300</v>
      </c>
      <c r="D312" t="s">
        <v>3</v>
      </c>
      <c r="E312" t="s">
        <v>3</v>
      </c>
      <c r="F312">
        <v>0</v>
      </c>
      <c r="G312">
        <v>0</v>
      </c>
      <c r="H312">
        <v>0</v>
      </c>
      <c r="I312">
        <f t="shared" si="4"/>
        <v>0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>
      <c r="A313">
        <v>311</v>
      </c>
      <c r="B313">
        <v>302</v>
      </c>
      <c r="C313">
        <v>301</v>
      </c>
      <c r="D313" t="s">
        <v>3</v>
      </c>
      <c r="E313" t="s">
        <v>3</v>
      </c>
      <c r="F313">
        <v>0</v>
      </c>
      <c r="G313">
        <v>0</v>
      </c>
      <c r="H313">
        <v>0</v>
      </c>
      <c r="I313">
        <f t="shared" si="4"/>
        <v>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>
      <c r="A314">
        <v>312</v>
      </c>
      <c r="B314">
        <v>303</v>
      </c>
      <c r="C314">
        <v>302</v>
      </c>
      <c r="D314" t="s">
        <v>3</v>
      </c>
      <c r="E314" t="s">
        <v>3</v>
      </c>
      <c r="F314">
        <v>0</v>
      </c>
      <c r="G314">
        <v>0</v>
      </c>
      <c r="H314">
        <v>0</v>
      </c>
      <c r="I314">
        <f t="shared" si="4"/>
        <v>0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>
      <c r="A315">
        <v>313</v>
      </c>
      <c r="B315">
        <v>304</v>
      </c>
      <c r="C315">
        <v>303</v>
      </c>
      <c r="D315" t="s">
        <v>2</v>
      </c>
      <c r="E315" t="s">
        <v>2</v>
      </c>
      <c r="F315">
        <v>0</v>
      </c>
      <c r="G315">
        <v>0</v>
      </c>
      <c r="H315">
        <v>0</v>
      </c>
      <c r="I315">
        <f t="shared" si="4"/>
        <v>0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>
      <c r="A316">
        <v>314</v>
      </c>
      <c r="B316">
        <v>305</v>
      </c>
      <c r="C316">
        <v>304</v>
      </c>
      <c r="D316" t="s">
        <v>10</v>
      </c>
      <c r="E316" t="s">
        <v>10</v>
      </c>
      <c r="F316">
        <v>0</v>
      </c>
      <c r="G316">
        <v>0</v>
      </c>
      <c r="H316">
        <v>0</v>
      </c>
      <c r="I316">
        <f t="shared" si="4"/>
        <v>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>
      <c r="A317">
        <v>315</v>
      </c>
      <c r="B317">
        <v>306</v>
      </c>
      <c r="C317">
        <v>305</v>
      </c>
      <c r="D317" t="s">
        <v>8</v>
      </c>
      <c r="E317" t="s">
        <v>8</v>
      </c>
      <c r="F317">
        <v>0</v>
      </c>
      <c r="G317">
        <v>0</v>
      </c>
      <c r="H317">
        <v>0</v>
      </c>
      <c r="I317">
        <f t="shared" si="4"/>
        <v>0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>
      <c r="A318">
        <v>316</v>
      </c>
      <c r="B318">
        <v>307</v>
      </c>
      <c r="C318">
        <v>306</v>
      </c>
      <c r="D318" t="s">
        <v>7</v>
      </c>
      <c r="E318" t="s">
        <v>10</v>
      </c>
      <c r="F318">
        <v>0</v>
      </c>
      <c r="G318">
        <v>0</v>
      </c>
      <c r="H318">
        <v>0</v>
      </c>
      <c r="I318">
        <f t="shared" si="4"/>
        <v>0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>
      <c r="A319">
        <v>317</v>
      </c>
      <c r="B319">
        <v>308</v>
      </c>
      <c r="C319">
        <v>307</v>
      </c>
      <c r="D319" t="s">
        <v>44</v>
      </c>
      <c r="E319" t="s">
        <v>44</v>
      </c>
      <c r="F319">
        <v>0</v>
      </c>
      <c r="G319">
        <v>0</v>
      </c>
      <c r="H319">
        <v>0</v>
      </c>
      <c r="I319">
        <f t="shared" si="4"/>
        <v>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>
      <c r="A320">
        <v>318</v>
      </c>
      <c r="B320">
        <v>309</v>
      </c>
      <c r="C320">
        <v>308</v>
      </c>
      <c r="D320" t="s">
        <v>9</v>
      </c>
      <c r="E320" t="s">
        <v>10</v>
      </c>
      <c r="F320">
        <v>0</v>
      </c>
      <c r="G320">
        <v>0</v>
      </c>
      <c r="H320">
        <v>0</v>
      </c>
      <c r="I320">
        <f t="shared" si="4"/>
        <v>0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>
      <c r="A321">
        <v>319</v>
      </c>
      <c r="B321">
        <v>310</v>
      </c>
      <c r="C321">
        <v>309</v>
      </c>
      <c r="D321" t="s">
        <v>44</v>
      </c>
      <c r="E321" t="s">
        <v>44</v>
      </c>
      <c r="F321">
        <v>0</v>
      </c>
      <c r="G321">
        <v>0</v>
      </c>
      <c r="H321">
        <v>0</v>
      </c>
      <c r="I321">
        <f t="shared" si="4"/>
        <v>0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>
      <c r="A322">
        <v>320</v>
      </c>
      <c r="B322" t="s">
        <v>69</v>
      </c>
      <c r="C322">
        <v>310</v>
      </c>
      <c r="D322" t="s">
        <v>58</v>
      </c>
      <c r="E322" t="s">
        <v>42</v>
      </c>
      <c r="F322">
        <v>0</v>
      </c>
      <c r="G322">
        <v>0</v>
      </c>
      <c r="H322">
        <v>0</v>
      </c>
      <c r="I322">
        <f t="shared" si="4"/>
        <v>0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>
      <c r="A323">
        <v>321</v>
      </c>
      <c r="B323" t="s">
        <v>70</v>
      </c>
      <c r="C323">
        <v>311</v>
      </c>
      <c r="D323" t="s">
        <v>58</v>
      </c>
      <c r="E323" t="s">
        <v>10</v>
      </c>
      <c r="F323">
        <v>0</v>
      </c>
      <c r="G323">
        <v>0</v>
      </c>
      <c r="H323">
        <v>0</v>
      </c>
      <c r="I323">
        <f t="shared" ref="I323:I386" si="5">COUNTIF(G323:H323,"&gt;0.1")</f>
        <v>0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>
      <c r="A324">
        <v>322</v>
      </c>
      <c r="B324">
        <v>311</v>
      </c>
      <c r="C324">
        <v>312</v>
      </c>
      <c r="D324" t="s">
        <v>1</v>
      </c>
      <c r="E324" t="s">
        <v>4</v>
      </c>
      <c r="F324">
        <v>0</v>
      </c>
      <c r="G324">
        <v>0</v>
      </c>
      <c r="H324">
        <v>0</v>
      </c>
      <c r="I324">
        <f t="shared" si="5"/>
        <v>0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>
      <c r="A325">
        <v>323</v>
      </c>
      <c r="B325">
        <v>312</v>
      </c>
      <c r="C325">
        <v>313</v>
      </c>
      <c r="D325" t="s">
        <v>43</v>
      </c>
      <c r="E325" t="s">
        <v>43</v>
      </c>
      <c r="F325">
        <v>0</v>
      </c>
      <c r="G325">
        <v>0</v>
      </c>
      <c r="H325">
        <v>0</v>
      </c>
      <c r="I325">
        <f t="shared" si="5"/>
        <v>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>
      <c r="A326">
        <v>324</v>
      </c>
      <c r="B326">
        <v>313</v>
      </c>
      <c r="C326">
        <v>314</v>
      </c>
      <c r="D326" t="s">
        <v>4</v>
      </c>
      <c r="E326" t="s">
        <v>4</v>
      </c>
      <c r="F326">
        <v>0</v>
      </c>
      <c r="G326">
        <v>0</v>
      </c>
      <c r="H326">
        <v>0</v>
      </c>
      <c r="I326">
        <f t="shared" si="5"/>
        <v>0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>
      <c r="A327">
        <v>325</v>
      </c>
      <c r="B327">
        <v>314</v>
      </c>
      <c r="C327">
        <v>315</v>
      </c>
      <c r="D327" t="s">
        <v>10</v>
      </c>
      <c r="E327" t="s">
        <v>10</v>
      </c>
      <c r="F327">
        <v>0</v>
      </c>
      <c r="G327">
        <v>0</v>
      </c>
      <c r="H327">
        <v>0</v>
      </c>
      <c r="I327">
        <f t="shared" si="5"/>
        <v>0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>
      <c r="A328">
        <v>326</v>
      </c>
      <c r="B328">
        <v>315</v>
      </c>
      <c r="C328">
        <v>316</v>
      </c>
      <c r="D328" t="s">
        <v>1</v>
      </c>
      <c r="E328" t="s">
        <v>1</v>
      </c>
      <c r="F328">
        <v>0</v>
      </c>
      <c r="G328">
        <v>0</v>
      </c>
      <c r="H328">
        <v>0</v>
      </c>
      <c r="I328">
        <f t="shared" si="5"/>
        <v>0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>
      <c r="A329">
        <v>327</v>
      </c>
      <c r="B329">
        <v>316</v>
      </c>
      <c r="C329">
        <v>317</v>
      </c>
      <c r="D329" t="s">
        <v>46</v>
      </c>
      <c r="E329" t="s">
        <v>46</v>
      </c>
      <c r="F329">
        <v>0</v>
      </c>
      <c r="G329">
        <v>0</v>
      </c>
      <c r="H329">
        <v>0</v>
      </c>
      <c r="I329">
        <f t="shared" si="5"/>
        <v>0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>
      <c r="A330">
        <v>328</v>
      </c>
      <c r="B330">
        <v>317</v>
      </c>
      <c r="C330">
        <v>318</v>
      </c>
      <c r="D330" t="s">
        <v>61</v>
      </c>
      <c r="E330" t="s">
        <v>45</v>
      </c>
      <c r="F330">
        <v>0</v>
      </c>
      <c r="G330">
        <v>0</v>
      </c>
      <c r="H330">
        <v>0</v>
      </c>
      <c r="I330">
        <f t="shared" si="5"/>
        <v>0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>
      <c r="A331">
        <v>329</v>
      </c>
      <c r="B331">
        <v>318</v>
      </c>
      <c r="C331">
        <v>319</v>
      </c>
      <c r="D331" t="s">
        <v>1</v>
      </c>
      <c r="E331" t="s">
        <v>2</v>
      </c>
      <c r="F331">
        <v>0</v>
      </c>
      <c r="G331">
        <v>0</v>
      </c>
      <c r="H331">
        <v>0</v>
      </c>
      <c r="I331">
        <f t="shared" si="5"/>
        <v>0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>
      <c r="A332">
        <v>330</v>
      </c>
      <c r="B332">
        <v>319</v>
      </c>
      <c r="C332">
        <v>320</v>
      </c>
      <c r="D332" t="s">
        <v>2</v>
      </c>
      <c r="E332" t="s">
        <v>44</v>
      </c>
      <c r="F332">
        <v>0</v>
      </c>
      <c r="G332">
        <v>0</v>
      </c>
      <c r="H332">
        <v>0</v>
      </c>
      <c r="I332">
        <f t="shared" si="5"/>
        <v>0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>
      <c r="A333">
        <v>331</v>
      </c>
      <c r="B333">
        <v>320</v>
      </c>
      <c r="C333">
        <v>321</v>
      </c>
      <c r="D333" t="s">
        <v>4</v>
      </c>
      <c r="E333" t="s">
        <v>4</v>
      </c>
      <c r="F333">
        <v>0</v>
      </c>
      <c r="G333">
        <v>0</v>
      </c>
      <c r="H333">
        <v>0</v>
      </c>
      <c r="I333">
        <f t="shared" si="5"/>
        <v>0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>
      <c r="A334">
        <v>332</v>
      </c>
      <c r="B334">
        <v>321</v>
      </c>
      <c r="C334">
        <v>322</v>
      </c>
      <c r="D334" t="s">
        <v>6</v>
      </c>
      <c r="E334" t="s">
        <v>8</v>
      </c>
      <c r="F334">
        <v>0</v>
      </c>
      <c r="G334">
        <v>0</v>
      </c>
      <c r="H334">
        <v>0</v>
      </c>
      <c r="I334">
        <f t="shared" si="5"/>
        <v>0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>
      <c r="A335">
        <v>333</v>
      </c>
      <c r="B335">
        <v>322</v>
      </c>
      <c r="C335" t="s">
        <v>71</v>
      </c>
      <c r="D335" t="s">
        <v>44</v>
      </c>
      <c r="E335" t="s">
        <v>58</v>
      </c>
      <c r="F335">
        <v>0</v>
      </c>
      <c r="G335">
        <v>0</v>
      </c>
      <c r="H335">
        <v>0</v>
      </c>
      <c r="I335">
        <f t="shared" si="5"/>
        <v>0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>
      <c r="A336">
        <v>334</v>
      </c>
      <c r="B336">
        <v>323</v>
      </c>
      <c r="C336">
        <v>323</v>
      </c>
      <c r="D336" t="s">
        <v>44</v>
      </c>
      <c r="E336" t="s">
        <v>44</v>
      </c>
      <c r="F336">
        <v>0</v>
      </c>
      <c r="G336">
        <v>0</v>
      </c>
      <c r="H336">
        <v>0</v>
      </c>
      <c r="I336">
        <f t="shared" si="5"/>
        <v>0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>
      <c r="A337">
        <v>335</v>
      </c>
      <c r="B337">
        <v>324</v>
      </c>
      <c r="C337">
        <v>324</v>
      </c>
      <c r="D337" t="s">
        <v>4</v>
      </c>
      <c r="E337" t="s">
        <v>4</v>
      </c>
      <c r="F337">
        <v>0</v>
      </c>
      <c r="G337">
        <v>0</v>
      </c>
      <c r="H337">
        <v>0</v>
      </c>
      <c r="I337">
        <f t="shared" si="5"/>
        <v>0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>
      <c r="A338">
        <v>336</v>
      </c>
      <c r="B338">
        <v>325</v>
      </c>
      <c r="C338">
        <v>325</v>
      </c>
      <c r="D338" t="s">
        <v>5</v>
      </c>
      <c r="E338" t="s">
        <v>3</v>
      </c>
      <c r="F338">
        <v>0</v>
      </c>
      <c r="G338">
        <v>0</v>
      </c>
      <c r="H338">
        <v>0</v>
      </c>
      <c r="I338">
        <f t="shared" si="5"/>
        <v>0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>
      <c r="A339">
        <v>337</v>
      </c>
      <c r="B339">
        <v>326</v>
      </c>
      <c r="C339">
        <v>326</v>
      </c>
      <c r="D339" t="s">
        <v>44</v>
      </c>
      <c r="E339" t="s">
        <v>41</v>
      </c>
      <c r="F339">
        <v>0</v>
      </c>
      <c r="G339">
        <v>0</v>
      </c>
      <c r="H339">
        <v>0</v>
      </c>
      <c r="I339">
        <f t="shared" si="5"/>
        <v>0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>
      <c r="A340">
        <v>338</v>
      </c>
      <c r="B340">
        <v>327</v>
      </c>
      <c r="C340">
        <v>327</v>
      </c>
      <c r="D340" t="s">
        <v>10</v>
      </c>
      <c r="E340" t="s">
        <v>10</v>
      </c>
      <c r="F340">
        <v>0</v>
      </c>
      <c r="G340">
        <v>0</v>
      </c>
      <c r="H340">
        <v>0</v>
      </c>
      <c r="I340">
        <f t="shared" si="5"/>
        <v>0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>
      <c r="A341">
        <v>339</v>
      </c>
      <c r="B341">
        <v>328</v>
      </c>
      <c r="C341">
        <v>328</v>
      </c>
      <c r="D341" t="s">
        <v>8</v>
      </c>
      <c r="E341" t="s">
        <v>42</v>
      </c>
      <c r="F341">
        <v>0</v>
      </c>
      <c r="G341">
        <v>0</v>
      </c>
      <c r="H341">
        <v>0</v>
      </c>
      <c r="I341">
        <f t="shared" si="5"/>
        <v>0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>
      <c r="A342">
        <v>340</v>
      </c>
      <c r="B342">
        <v>329</v>
      </c>
      <c r="C342">
        <v>329</v>
      </c>
      <c r="D342" t="s">
        <v>1</v>
      </c>
      <c r="E342" t="s">
        <v>1</v>
      </c>
      <c r="F342">
        <v>0</v>
      </c>
      <c r="G342">
        <v>0</v>
      </c>
      <c r="H342">
        <v>0</v>
      </c>
      <c r="I342">
        <f t="shared" si="5"/>
        <v>0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>
      <c r="A343">
        <v>341</v>
      </c>
      <c r="B343">
        <v>330</v>
      </c>
      <c r="C343">
        <v>330</v>
      </c>
      <c r="D343" t="s">
        <v>61</v>
      </c>
      <c r="E343" t="s">
        <v>9</v>
      </c>
      <c r="F343">
        <v>0</v>
      </c>
      <c r="G343">
        <v>0</v>
      </c>
      <c r="H343">
        <v>0</v>
      </c>
      <c r="I343">
        <f t="shared" si="5"/>
        <v>0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>
      <c r="A344">
        <v>342</v>
      </c>
      <c r="B344">
        <v>331</v>
      </c>
      <c r="C344">
        <v>331</v>
      </c>
      <c r="D344" t="s">
        <v>48</v>
      </c>
      <c r="E344" t="s">
        <v>48</v>
      </c>
      <c r="F344">
        <v>0</v>
      </c>
      <c r="G344">
        <v>0</v>
      </c>
      <c r="H344">
        <v>0</v>
      </c>
      <c r="I344">
        <f t="shared" si="5"/>
        <v>0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>
      <c r="A345">
        <v>343</v>
      </c>
      <c r="B345">
        <v>332</v>
      </c>
      <c r="C345">
        <v>332</v>
      </c>
      <c r="D345" t="s">
        <v>2</v>
      </c>
      <c r="E345" t="s">
        <v>3</v>
      </c>
      <c r="F345">
        <v>0</v>
      </c>
      <c r="G345">
        <v>0</v>
      </c>
      <c r="H345">
        <v>0</v>
      </c>
      <c r="I345">
        <f t="shared" si="5"/>
        <v>0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>
      <c r="A346">
        <v>344</v>
      </c>
      <c r="B346">
        <v>333</v>
      </c>
      <c r="C346">
        <v>333</v>
      </c>
      <c r="D346" t="s">
        <v>44</v>
      </c>
      <c r="E346" t="s">
        <v>44</v>
      </c>
      <c r="F346">
        <v>0</v>
      </c>
      <c r="G346">
        <v>0</v>
      </c>
      <c r="H346">
        <v>0</v>
      </c>
      <c r="I346">
        <f t="shared" si="5"/>
        <v>0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>
      <c r="A347">
        <v>345</v>
      </c>
      <c r="B347">
        <v>334</v>
      </c>
      <c r="C347">
        <v>334</v>
      </c>
      <c r="D347" t="s">
        <v>3</v>
      </c>
      <c r="E347" t="s">
        <v>7</v>
      </c>
      <c r="F347">
        <v>0</v>
      </c>
      <c r="G347">
        <v>0</v>
      </c>
      <c r="H347">
        <v>0</v>
      </c>
      <c r="I347">
        <f t="shared" si="5"/>
        <v>0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>
      <c r="A348">
        <v>346</v>
      </c>
      <c r="B348">
        <v>335</v>
      </c>
      <c r="C348">
        <v>335</v>
      </c>
      <c r="D348" t="s">
        <v>6</v>
      </c>
      <c r="E348" t="s">
        <v>10</v>
      </c>
      <c r="F348">
        <v>0</v>
      </c>
      <c r="G348">
        <v>0</v>
      </c>
      <c r="H348">
        <v>0</v>
      </c>
      <c r="I348">
        <f t="shared" si="5"/>
        <v>0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>
      <c r="A349">
        <v>347</v>
      </c>
      <c r="B349">
        <v>336</v>
      </c>
      <c r="C349">
        <v>336</v>
      </c>
      <c r="D349" t="s">
        <v>7</v>
      </c>
      <c r="E349" t="s">
        <v>1</v>
      </c>
      <c r="F349">
        <v>0</v>
      </c>
      <c r="G349">
        <v>0</v>
      </c>
      <c r="H349">
        <v>0</v>
      </c>
      <c r="I349">
        <f t="shared" si="5"/>
        <v>0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>
      <c r="A350">
        <v>348</v>
      </c>
      <c r="B350">
        <v>337</v>
      </c>
      <c r="C350">
        <v>337</v>
      </c>
      <c r="D350" t="s">
        <v>6</v>
      </c>
      <c r="E350" t="s">
        <v>8</v>
      </c>
      <c r="F350">
        <v>0</v>
      </c>
      <c r="G350">
        <v>0</v>
      </c>
      <c r="H350">
        <v>0</v>
      </c>
      <c r="I350">
        <f t="shared" si="5"/>
        <v>0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>
      <c r="A351">
        <v>349</v>
      </c>
      <c r="B351">
        <v>338</v>
      </c>
      <c r="C351">
        <v>338</v>
      </c>
      <c r="D351" t="s">
        <v>62</v>
      </c>
      <c r="E351" t="s">
        <v>62</v>
      </c>
      <c r="F351">
        <v>0</v>
      </c>
      <c r="G351">
        <v>0</v>
      </c>
      <c r="H351">
        <v>0</v>
      </c>
      <c r="I351">
        <f t="shared" si="5"/>
        <v>0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>
      <c r="A352">
        <v>350</v>
      </c>
      <c r="B352">
        <v>339</v>
      </c>
      <c r="C352">
        <v>339</v>
      </c>
      <c r="D352" t="s">
        <v>3</v>
      </c>
      <c r="E352" t="s">
        <v>3</v>
      </c>
      <c r="F352">
        <v>0</v>
      </c>
      <c r="G352">
        <v>0</v>
      </c>
      <c r="H352">
        <v>0</v>
      </c>
      <c r="I352">
        <f t="shared" si="5"/>
        <v>0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>
      <c r="A353">
        <v>351</v>
      </c>
      <c r="B353">
        <v>340</v>
      </c>
      <c r="C353">
        <v>340</v>
      </c>
      <c r="D353" t="s">
        <v>3</v>
      </c>
      <c r="E353" t="s">
        <v>3</v>
      </c>
      <c r="F353">
        <v>0</v>
      </c>
      <c r="G353">
        <v>0</v>
      </c>
      <c r="H353">
        <v>0</v>
      </c>
      <c r="I353">
        <f t="shared" si="5"/>
        <v>0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>
      <c r="A354">
        <v>352</v>
      </c>
      <c r="B354">
        <v>341</v>
      </c>
      <c r="C354">
        <v>341</v>
      </c>
      <c r="D354" t="s">
        <v>2</v>
      </c>
      <c r="E354" t="s">
        <v>2</v>
      </c>
      <c r="F354">
        <v>0</v>
      </c>
      <c r="G354">
        <v>0</v>
      </c>
      <c r="H354">
        <v>0</v>
      </c>
      <c r="I354">
        <f t="shared" si="5"/>
        <v>0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>
      <c r="A355">
        <v>353</v>
      </c>
      <c r="B355">
        <v>342</v>
      </c>
      <c r="C355">
        <v>342</v>
      </c>
      <c r="D355" t="s">
        <v>40</v>
      </c>
      <c r="E355" t="s">
        <v>40</v>
      </c>
      <c r="F355">
        <v>0</v>
      </c>
      <c r="G355">
        <v>0</v>
      </c>
      <c r="H355">
        <v>0</v>
      </c>
      <c r="I355">
        <f t="shared" si="5"/>
        <v>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>
      <c r="A356">
        <v>354</v>
      </c>
      <c r="B356">
        <v>343</v>
      </c>
      <c r="C356">
        <v>343</v>
      </c>
      <c r="D356" t="s">
        <v>42</v>
      </c>
      <c r="E356" t="s">
        <v>8</v>
      </c>
      <c r="F356">
        <v>0</v>
      </c>
      <c r="G356">
        <v>0</v>
      </c>
      <c r="H356">
        <v>0</v>
      </c>
      <c r="I356">
        <f t="shared" si="5"/>
        <v>0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>
      <c r="A357">
        <v>355</v>
      </c>
      <c r="B357">
        <v>344</v>
      </c>
      <c r="C357">
        <v>344</v>
      </c>
      <c r="D357" t="s">
        <v>8</v>
      </c>
      <c r="E357" t="s">
        <v>42</v>
      </c>
      <c r="F357">
        <v>0</v>
      </c>
      <c r="G357">
        <v>0</v>
      </c>
      <c r="H357">
        <v>0</v>
      </c>
      <c r="I357">
        <f t="shared" si="5"/>
        <v>0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>
      <c r="A358">
        <v>356</v>
      </c>
      <c r="B358">
        <v>345</v>
      </c>
      <c r="C358">
        <v>345</v>
      </c>
      <c r="D358" t="s">
        <v>44</v>
      </c>
      <c r="E358" t="s">
        <v>44</v>
      </c>
      <c r="F358">
        <v>0</v>
      </c>
      <c r="G358">
        <v>0</v>
      </c>
      <c r="H358">
        <v>0</v>
      </c>
      <c r="I358">
        <f t="shared" si="5"/>
        <v>0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>
      <c r="A359">
        <v>357</v>
      </c>
      <c r="B359">
        <v>346</v>
      </c>
      <c r="C359">
        <v>346</v>
      </c>
      <c r="D359" t="s">
        <v>45</v>
      </c>
      <c r="E359" t="s">
        <v>1</v>
      </c>
      <c r="F359">
        <v>0</v>
      </c>
      <c r="G359">
        <v>0</v>
      </c>
      <c r="H359">
        <v>0</v>
      </c>
      <c r="I359">
        <f t="shared" si="5"/>
        <v>0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>
      <c r="A360">
        <v>358</v>
      </c>
      <c r="B360">
        <v>347</v>
      </c>
      <c r="C360">
        <v>347</v>
      </c>
      <c r="D360" t="s">
        <v>45</v>
      </c>
      <c r="E360" t="s">
        <v>7</v>
      </c>
      <c r="F360">
        <v>0</v>
      </c>
      <c r="G360">
        <v>0</v>
      </c>
      <c r="H360">
        <v>0</v>
      </c>
      <c r="I360">
        <f t="shared" si="5"/>
        <v>0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>
      <c r="A361">
        <v>359</v>
      </c>
      <c r="B361">
        <v>348</v>
      </c>
      <c r="C361">
        <v>348</v>
      </c>
      <c r="D361" t="s">
        <v>2</v>
      </c>
      <c r="E361" t="s">
        <v>8</v>
      </c>
      <c r="F361">
        <v>0</v>
      </c>
      <c r="G361">
        <v>0</v>
      </c>
      <c r="H361">
        <v>0</v>
      </c>
      <c r="I361">
        <f t="shared" si="5"/>
        <v>0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>
      <c r="A362">
        <v>360</v>
      </c>
      <c r="B362">
        <v>349</v>
      </c>
      <c r="C362">
        <v>349</v>
      </c>
      <c r="D362" t="s">
        <v>40</v>
      </c>
      <c r="E362" t="s">
        <v>40</v>
      </c>
      <c r="F362">
        <v>0</v>
      </c>
      <c r="G362">
        <v>0</v>
      </c>
      <c r="H362">
        <v>0</v>
      </c>
      <c r="I362">
        <f t="shared" si="5"/>
        <v>0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>
      <c r="A363">
        <v>361</v>
      </c>
      <c r="B363">
        <v>350</v>
      </c>
      <c r="C363">
        <v>350</v>
      </c>
      <c r="D363" t="s">
        <v>10</v>
      </c>
      <c r="E363" t="s">
        <v>10</v>
      </c>
      <c r="F363">
        <v>0</v>
      </c>
      <c r="G363">
        <v>0</v>
      </c>
      <c r="H363">
        <v>0</v>
      </c>
      <c r="I363">
        <f t="shared" si="5"/>
        <v>0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>
      <c r="A364">
        <v>362</v>
      </c>
      <c r="B364">
        <v>351</v>
      </c>
      <c r="C364">
        <v>351</v>
      </c>
      <c r="D364" t="s">
        <v>6</v>
      </c>
      <c r="E364" t="s">
        <v>6</v>
      </c>
      <c r="F364">
        <v>0</v>
      </c>
      <c r="G364">
        <v>0</v>
      </c>
      <c r="H364">
        <v>0</v>
      </c>
      <c r="I364">
        <f t="shared" si="5"/>
        <v>0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>
      <c r="A365">
        <v>363</v>
      </c>
      <c r="B365">
        <v>352</v>
      </c>
      <c r="C365">
        <v>352</v>
      </c>
      <c r="D365" t="s">
        <v>42</v>
      </c>
      <c r="E365" t="s">
        <v>42</v>
      </c>
      <c r="F365">
        <v>0</v>
      </c>
      <c r="G365">
        <v>0</v>
      </c>
      <c r="H365">
        <v>0</v>
      </c>
      <c r="I365">
        <f t="shared" si="5"/>
        <v>0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>
      <c r="A366">
        <v>364</v>
      </c>
      <c r="B366">
        <v>353</v>
      </c>
      <c r="C366">
        <v>353</v>
      </c>
      <c r="D366" t="s">
        <v>46</v>
      </c>
      <c r="E366" t="s">
        <v>46</v>
      </c>
      <c r="F366">
        <v>0</v>
      </c>
      <c r="G366">
        <v>0</v>
      </c>
      <c r="H366">
        <v>0</v>
      </c>
      <c r="I366">
        <f t="shared" si="5"/>
        <v>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>
      <c r="A367">
        <v>365</v>
      </c>
      <c r="B367">
        <v>354</v>
      </c>
      <c r="C367">
        <v>354</v>
      </c>
      <c r="D367" t="s">
        <v>10</v>
      </c>
      <c r="E367" t="s">
        <v>4</v>
      </c>
      <c r="F367">
        <v>0</v>
      </c>
      <c r="G367">
        <v>0</v>
      </c>
      <c r="H367">
        <v>0</v>
      </c>
      <c r="I367">
        <f t="shared" si="5"/>
        <v>0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>
      <c r="A368">
        <v>366</v>
      </c>
      <c r="B368" t="s">
        <v>72</v>
      </c>
      <c r="C368">
        <v>355</v>
      </c>
      <c r="D368" t="s">
        <v>58</v>
      </c>
      <c r="E368" t="s">
        <v>3</v>
      </c>
      <c r="F368">
        <v>0</v>
      </c>
      <c r="G368">
        <v>0</v>
      </c>
      <c r="H368">
        <v>0</v>
      </c>
      <c r="I368">
        <f t="shared" si="5"/>
        <v>0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>
      <c r="A369">
        <v>367</v>
      </c>
      <c r="B369">
        <v>355</v>
      </c>
      <c r="C369">
        <v>356</v>
      </c>
      <c r="D369" t="s">
        <v>3</v>
      </c>
      <c r="E369" t="s">
        <v>3</v>
      </c>
      <c r="F369">
        <v>0</v>
      </c>
      <c r="G369">
        <v>0</v>
      </c>
      <c r="H369">
        <v>0</v>
      </c>
      <c r="I369">
        <f t="shared" si="5"/>
        <v>0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>
      <c r="A370">
        <v>368</v>
      </c>
      <c r="B370">
        <v>356</v>
      </c>
      <c r="C370">
        <v>357</v>
      </c>
      <c r="D370" t="s">
        <v>8</v>
      </c>
      <c r="E370" t="s">
        <v>8</v>
      </c>
      <c r="F370">
        <v>0</v>
      </c>
      <c r="G370">
        <v>0</v>
      </c>
      <c r="H370">
        <v>0</v>
      </c>
      <c r="I370">
        <f t="shared" si="5"/>
        <v>0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>
      <c r="A371">
        <v>369</v>
      </c>
      <c r="B371">
        <v>357</v>
      </c>
      <c r="C371">
        <v>358</v>
      </c>
      <c r="D371" t="s">
        <v>2</v>
      </c>
      <c r="E371" t="s">
        <v>2</v>
      </c>
      <c r="F371">
        <v>0</v>
      </c>
      <c r="G371">
        <v>0</v>
      </c>
      <c r="H371">
        <v>0</v>
      </c>
      <c r="I371">
        <f t="shared" si="5"/>
        <v>0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>
      <c r="A372">
        <v>370</v>
      </c>
      <c r="B372">
        <v>358</v>
      </c>
      <c r="C372">
        <v>359</v>
      </c>
      <c r="D372" t="s">
        <v>44</v>
      </c>
      <c r="E372" t="s">
        <v>44</v>
      </c>
      <c r="F372">
        <v>0</v>
      </c>
      <c r="G372">
        <v>0</v>
      </c>
      <c r="H372">
        <v>0</v>
      </c>
      <c r="I372">
        <f t="shared" si="5"/>
        <v>0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>
      <c r="A373">
        <v>371</v>
      </c>
      <c r="B373">
        <v>359</v>
      </c>
      <c r="C373">
        <v>360</v>
      </c>
      <c r="D373" t="s">
        <v>45</v>
      </c>
      <c r="E373" t="s">
        <v>44</v>
      </c>
      <c r="F373">
        <v>0</v>
      </c>
      <c r="G373">
        <v>0</v>
      </c>
      <c r="H373">
        <v>0</v>
      </c>
      <c r="I373">
        <f t="shared" si="5"/>
        <v>0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>
      <c r="A374">
        <v>372</v>
      </c>
      <c r="B374">
        <v>360</v>
      </c>
      <c r="C374">
        <v>361</v>
      </c>
      <c r="D374" t="s">
        <v>46</v>
      </c>
      <c r="E374" t="s">
        <v>46</v>
      </c>
      <c r="F374">
        <v>0</v>
      </c>
      <c r="G374">
        <v>0</v>
      </c>
      <c r="H374">
        <v>0</v>
      </c>
      <c r="I374">
        <f t="shared" si="5"/>
        <v>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>
      <c r="A375">
        <v>373</v>
      </c>
      <c r="B375">
        <v>361</v>
      </c>
      <c r="C375">
        <v>362</v>
      </c>
      <c r="D375" t="s">
        <v>3</v>
      </c>
      <c r="E375" t="s">
        <v>8</v>
      </c>
      <c r="F375">
        <v>0</v>
      </c>
      <c r="G375">
        <v>0</v>
      </c>
      <c r="H375">
        <v>0</v>
      </c>
      <c r="I375">
        <f t="shared" si="5"/>
        <v>0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>
      <c r="A376">
        <v>374</v>
      </c>
      <c r="B376">
        <v>362</v>
      </c>
      <c r="C376">
        <v>363</v>
      </c>
      <c r="D376" t="s">
        <v>42</v>
      </c>
      <c r="E376" t="s">
        <v>42</v>
      </c>
      <c r="F376">
        <v>0</v>
      </c>
      <c r="G376">
        <v>0</v>
      </c>
      <c r="H376">
        <v>0</v>
      </c>
      <c r="I376">
        <f t="shared" si="5"/>
        <v>0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>
      <c r="A377">
        <v>375</v>
      </c>
      <c r="B377">
        <v>363</v>
      </c>
      <c r="C377">
        <v>364</v>
      </c>
      <c r="D377" t="s">
        <v>7</v>
      </c>
      <c r="E377" t="s">
        <v>7</v>
      </c>
      <c r="F377">
        <v>0</v>
      </c>
      <c r="G377">
        <v>0</v>
      </c>
      <c r="H377">
        <v>0</v>
      </c>
      <c r="I377">
        <f t="shared" si="5"/>
        <v>0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>
      <c r="A378">
        <v>376</v>
      </c>
      <c r="B378">
        <v>364</v>
      </c>
      <c r="C378">
        <v>365</v>
      </c>
      <c r="D378" t="s">
        <v>7</v>
      </c>
      <c r="E378" t="s">
        <v>7</v>
      </c>
      <c r="F378">
        <v>0</v>
      </c>
      <c r="G378">
        <v>0</v>
      </c>
      <c r="H378">
        <v>0</v>
      </c>
      <c r="I378">
        <f t="shared" si="5"/>
        <v>0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>
      <c r="A379">
        <v>377</v>
      </c>
      <c r="B379">
        <v>365</v>
      </c>
      <c r="C379">
        <v>366</v>
      </c>
      <c r="D379" t="s">
        <v>4</v>
      </c>
      <c r="E379" t="s">
        <v>4</v>
      </c>
      <c r="F379">
        <v>0</v>
      </c>
      <c r="G379">
        <v>0</v>
      </c>
      <c r="H379">
        <v>0</v>
      </c>
      <c r="I379">
        <f t="shared" si="5"/>
        <v>0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>
      <c r="A380">
        <v>378</v>
      </c>
      <c r="B380">
        <v>366</v>
      </c>
      <c r="C380">
        <v>367</v>
      </c>
      <c r="D380" t="s">
        <v>4</v>
      </c>
      <c r="E380" t="s">
        <v>4</v>
      </c>
      <c r="F380">
        <v>0</v>
      </c>
      <c r="G380">
        <v>0</v>
      </c>
      <c r="H380">
        <v>0</v>
      </c>
      <c r="I380">
        <f t="shared" si="5"/>
        <v>0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>
      <c r="A381">
        <v>379</v>
      </c>
      <c r="B381">
        <v>367</v>
      </c>
      <c r="C381">
        <v>368</v>
      </c>
      <c r="D381" t="s">
        <v>5</v>
      </c>
      <c r="E381" t="s">
        <v>5</v>
      </c>
      <c r="F381">
        <v>0</v>
      </c>
      <c r="G381">
        <v>0</v>
      </c>
      <c r="H381">
        <v>0</v>
      </c>
      <c r="I381">
        <f t="shared" si="5"/>
        <v>0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>
      <c r="A382">
        <v>380</v>
      </c>
      <c r="B382">
        <v>368</v>
      </c>
      <c r="C382">
        <v>369</v>
      </c>
      <c r="D382" t="s">
        <v>43</v>
      </c>
      <c r="E382" t="s">
        <v>43</v>
      </c>
      <c r="F382">
        <v>0</v>
      </c>
      <c r="G382">
        <v>0</v>
      </c>
      <c r="H382">
        <v>0</v>
      </c>
      <c r="I382">
        <f t="shared" si="5"/>
        <v>0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>
      <c r="A383">
        <v>381</v>
      </c>
      <c r="B383">
        <v>369</v>
      </c>
      <c r="C383">
        <v>370</v>
      </c>
      <c r="D383" t="s">
        <v>6</v>
      </c>
      <c r="E383" t="s">
        <v>6</v>
      </c>
      <c r="F383">
        <v>0</v>
      </c>
      <c r="G383">
        <v>0</v>
      </c>
      <c r="H383">
        <v>0</v>
      </c>
      <c r="I383">
        <f t="shared" si="5"/>
        <v>0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>
      <c r="A384">
        <v>382</v>
      </c>
      <c r="B384">
        <v>370</v>
      </c>
      <c r="C384">
        <v>371</v>
      </c>
      <c r="D384" t="s">
        <v>45</v>
      </c>
      <c r="E384" t="s">
        <v>44</v>
      </c>
      <c r="F384">
        <v>0</v>
      </c>
      <c r="G384">
        <v>0</v>
      </c>
      <c r="H384">
        <v>0</v>
      </c>
      <c r="I384">
        <f t="shared" si="5"/>
        <v>0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>
      <c r="A385">
        <v>383</v>
      </c>
      <c r="B385">
        <v>371</v>
      </c>
      <c r="C385">
        <v>372</v>
      </c>
      <c r="D385" t="s">
        <v>2</v>
      </c>
      <c r="E385" t="s">
        <v>45</v>
      </c>
      <c r="F385">
        <v>0</v>
      </c>
      <c r="G385">
        <v>0</v>
      </c>
      <c r="H385">
        <v>0</v>
      </c>
      <c r="I385">
        <f t="shared" si="5"/>
        <v>0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>
      <c r="A386">
        <v>384</v>
      </c>
      <c r="B386">
        <v>372</v>
      </c>
      <c r="C386">
        <v>373</v>
      </c>
      <c r="D386" t="s">
        <v>41</v>
      </c>
      <c r="E386" t="s">
        <v>2</v>
      </c>
      <c r="F386">
        <v>0</v>
      </c>
      <c r="G386">
        <v>0</v>
      </c>
      <c r="H386">
        <v>0</v>
      </c>
      <c r="I386">
        <f t="shared" si="5"/>
        <v>0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>
      <c r="A387">
        <v>385</v>
      </c>
      <c r="B387">
        <v>373</v>
      </c>
      <c r="C387">
        <v>374</v>
      </c>
      <c r="D387" t="s">
        <v>9</v>
      </c>
      <c r="E387" t="s">
        <v>9</v>
      </c>
      <c r="F387">
        <v>0</v>
      </c>
      <c r="G387">
        <v>0</v>
      </c>
      <c r="H387">
        <v>0</v>
      </c>
      <c r="I387">
        <f t="shared" ref="I387:I450" si="6">COUNTIF(G387:H387,"&gt;0.1")</f>
        <v>0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>
      <c r="A388">
        <v>386</v>
      </c>
      <c r="B388">
        <v>374</v>
      </c>
      <c r="C388">
        <v>375</v>
      </c>
      <c r="D388" t="s">
        <v>2</v>
      </c>
      <c r="E388" t="s">
        <v>7</v>
      </c>
      <c r="F388">
        <v>0</v>
      </c>
      <c r="G388">
        <v>0</v>
      </c>
      <c r="H388">
        <v>0</v>
      </c>
      <c r="I388">
        <f t="shared" si="6"/>
        <v>0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>
      <c r="A389">
        <v>387</v>
      </c>
      <c r="B389">
        <v>375</v>
      </c>
      <c r="C389">
        <v>376</v>
      </c>
      <c r="D389" t="s">
        <v>46</v>
      </c>
      <c r="E389" t="s">
        <v>46</v>
      </c>
      <c r="F389">
        <v>0</v>
      </c>
      <c r="G389">
        <v>0</v>
      </c>
      <c r="H389">
        <v>0</v>
      </c>
      <c r="I389">
        <f t="shared" si="6"/>
        <v>0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>
      <c r="A390">
        <v>388</v>
      </c>
      <c r="B390">
        <v>376</v>
      </c>
      <c r="C390">
        <v>377</v>
      </c>
      <c r="D390" t="s">
        <v>3</v>
      </c>
      <c r="E390" t="s">
        <v>3</v>
      </c>
      <c r="F390">
        <v>0</v>
      </c>
      <c r="G390">
        <v>0</v>
      </c>
      <c r="H390">
        <v>0</v>
      </c>
      <c r="I390">
        <f t="shared" si="6"/>
        <v>0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>
      <c r="A391">
        <v>389</v>
      </c>
      <c r="B391">
        <v>377</v>
      </c>
      <c r="C391">
        <v>378</v>
      </c>
      <c r="D391" t="s">
        <v>48</v>
      </c>
      <c r="E391" t="s">
        <v>48</v>
      </c>
      <c r="F391">
        <v>0</v>
      </c>
      <c r="G391">
        <v>0</v>
      </c>
      <c r="H391">
        <v>0</v>
      </c>
      <c r="I391">
        <f t="shared" si="6"/>
        <v>0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>
      <c r="A392">
        <v>390</v>
      </c>
      <c r="B392">
        <v>378</v>
      </c>
      <c r="C392">
        <v>379</v>
      </c>
      <c r="D392" t="s">
        <v>4</v>
      </c>
      <c r="E392" t="s">
        <v>4</v>
      </c>
      <c r="F392">
        <v>0</v>
      </c>
      <c r="G392">
        <v>0</v>
      </c>
      <c r="H392">
        <v>0</v>
      </c>
      <c r="I392">
        <f t="shared" si="6"/>
        <v>0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>
      <c r="A393">
        <v>391</v>
      </c>
      <c r="B393">
        <v>379</v>
      </c>
      <c r="C393">
        <v>380</v>
      </c>
      <c r="D393" t="s">
        <v>4</v>
      </c>
      <c r="E393" t="s">
        <v>4</v>
      </c>
      <c r="F393">
        <v>0</v>
      </c>
      <c r="G393">
        <v>0</v>
      </c>
      <c r="H393">
        <v>0</v>
      </c>
      <c r="I393">
        <f t="shared" si="6"/>
        <v>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>
      <c r="A394">
        <v>392</v>
      </c>
      <c r="B394">
        <v>380</v>
      </c>
      <c r="C394">
        <v>381</v>
      </c>
      <c r="D394" t="s">
        <v>6</v>
      </c>
      <c r="E394" t="s">
        <v>6</v>
      </c>
      <c r="F394">
        <v>0</v>
      </c>
      <c r="G394">
        <v>0</v>
      </c>
      <c r="H394">
        <v>0</v>
      </c>
      <c r="I394">
        <f t="shared" si="6"/>
        <v>0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>
      <c r="A395">
        <v>393</v>
      </c>
      <c r="B395">
        <v>381</v>
      </c>
      <c r="C395">
        <v>382</v>
      </c>
      <c r="D395" t="s">
        <v>46</v>
      </c>
      <c r="E395" t="s">
        <v>46</v>
      </c>
      <c r="F395">
        <v>0</v>
      </c>
      <c r="G395">
        <v>0</v>
      </c>
      <c r="H395">
        <v>0</v>
      </c>
      <c r="I395">
        <f t="shared" si="6"/>
        <v>0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>
      <c r="A396">
        <v>394</v>
      </c>
      <c r="B396">
        <v>382</v>
      </c>
      <c r="C396">
        <v>383</v>
      </c>
      <c r="D396" t="s">
        <v>46</v>
      </c>
      <c r="E396" t="s">
        <v>46</v>
      </c>
      <c r="F396">
        <v>0</v>
      </c>
      <c r="G396">
        <v>0</v>
      </c>
      <c r="H396">
        <v>0</v>
      </c>
      <c r="I396">
        <f t="shared" si="6"/>
        <v>0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>
      <c r="A397">
        <v>395</v>
      </c>
      <c r="B397">
        <v>383</v>
      </c>
      <c r="C397">
        <v>384</v>
      </c>
      <c r="D397" t="s">
        <v>61</v>
      </c>
      <c r="E397" t="s">
        <v>61</v>
      </c>
      <c r="F397">
        <v>0</v>
      </c>
      <c r="G397">
        <v>0</v>
      </c>
      <c r="H397">
        <v>0</v>
      </c>
      <c r="I397">
        <f t="shared" si="6"/>
        <v>0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>
      <c r="A398">
        <v>396</v>
      </c>
      <c r="B398">
        <v>384</v>
      </c>
      <c r="C398">
        <v>385</v>
      </c>
      <c r="D398" t="s">
        <v>48</v>
      </c>
      <c r="E398" t="s">
        <v>48</v>
      </c>
      <c r="F398">
        <v>0</v>
      </c>
      <c r="G398">
        <v>0</v>
      </c>
      <c r="H398">
        <v>0</v>
      </c>
      <c r="I398">
        <f t="shared" si="6"/>
        <v>0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>
      <c r="A399">
        <v>397</v>
      </c>
      <c r="B399">
        <v>385</v>
      </c>
      <c r="C399">
        <v>386</v>
      </c>
      <c r="D399" t="s">
        <v>3</v>
      </c>
      <c r="E399" t="s">
        <v>3</v>
      </c>
      <c r="F399">
        <v>0</v>
      </c>
      <c r="G399">
        <v>0</v>
      </c>
      <c r="H399">
        <v>0</v>
      </c>
      <c r="I399">
        <f t="shared" si="6"/>
        <v>0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>
      <c r="A400">
        <v>398</v>
      </c>
      <c r="B400">
        <v>386</v>
      </c>
      <c r="C400">
        <v>387</v>
      </c>
      <c r="D400" t="s">
        <v>2</v>
      </c>
      <c r="E400" t="s">
        <v>7</v>
      </c>
      <c r="F400">
        <v>0</v>
      </c>
      <c r="G400">
        <v>0</v>
      </c>
      <c r="H400">
        <v>0</v>
      </c>
      <c r="I400">
        <f t="shared" si="6"/>
        <v>0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>
      <c r="A401">
        <v>399</v>
      </c>
      <c r="B401">
        <v>387</v>
      </c>
      <c r="C401">
        <v>388</v>
      </c>
      <c r="D401" t="s">
        <v>1</v>
      </c>
      <c r="E401" t="s">
        <v>2</v>
      </c>
      <c r="F401">
        <v>0</v>
      </c>
      <c r="G401">
        <v>0</v>
      </c>
      <c r="H401">
        <v>0</v>
      </c>
      <c r="I401">
        <f t="shared" si="6"/>
        <v>0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>
      <c r="A402">
        <v>400</v>
      </c>
      <c r="B402">
        <v>388</v>
      </c>
      <c r="C402">
        <v>389</v>
      </c>
      <c r="D402" t="s">
        <v>42</v>
      </c>
      <c r="E402" t="s">
        <v>42</v>
      </c>
      <c r="F402">
        <v>0</v>
      </c>
      <c r="G402">
        <v>0</v>
      </c>
      <c r="H402">
        <v>0</v>
      </c>
      <c r="I402">
        <f t="shared" si="6"/>
        <v>0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>
      <c r="A403">
        <v>401</v>
      </c>
      <c r="B403">
        <v>389</v>
      </c>
      <c r="C403">
        <v>390</v>
      </c>
      <c r="D403" t="s">
        <v>40</v>
      </c>
      <c r="E403" t="s">
        <v>40</v>
      </c>
      <c r="F403">
        <v>0</v>
      </c>
      <c r="G403">
        <v>0</v>
      </c>
      <c r="H403">
        <v>0</v>
      </c>
      <c r="I403">
        <f t="shared" si="6"/>
        <v>0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>
      <c r="A404">
        <v>402</v>
      </c>
      <c r="B404">
        <v>390</v>
      </c>
      <c r="C404">
        <v>391</v>
      </c>
      <c r="D404" t="s">
        <v>46</v>
      </c>
      <c r="E404" t="s">
        <v>46</v>
      </c>
      <c r="F404">
        <v>0</v>
      </c>
      <c r="G404">
        <v>0</v>
      </c>
      <c r="H404">
        <v>0</v>
      </c>
      <c r="I404">
        <f t="shared" si="6"/>
        <v>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>
      <c r="A405">
        <v>403</v>
      </c>
      <c r="B405">
        <v>391</v>
      </c>
      <c r="C405">
        <v>392</v>
      </c>
      <c r="D405" t="s">
        <v>3</v>
      </c>
      <c r="E405" t="s">
        <v>3</v>
      </c>
      <c r="F405">
        <v>0</v>
      </c>
      <c r="G405">
        <v>0</v>
      </c>
      <c r="H405">
        <v>0</v>
      </c>
      <c r="I405">
        <f t="shared" si="6"/>
        <v>0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>
      <c r="A406">
        <v>404</v>
      </c>
      <c r="B406">
        <v>392</v>
      </c>
      <c r="C406">
        <v>393</v>
      </c>
      <c r="D406" t="s">
        <v>7</v>
      </c>
      <c r="E406" t="s">
        <v>7</v>
      </c>
      <c r="F406">
        <v>0</v>
      </c>
      <c r="G406">
        <v>0</v>
      </c>
      <c r="H406">
        <v>0</v>
      </c>
      <c r="I406">
        <f t="shared" si="6"/>
        <v>0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>
      <c r="A407">
        <v>405</v>
      </c>
      <c r="B407">
        <v>393</v>
      </c>
      <c r="C407">
        <v>394</v>
      </c>
      <c r="D407" t="s">
        <v>7</v>
      </c>
      <c r="E407" t="s">
        <v>2</v>
      </c>
      <c r="F407">
        <v>0</v>
      </c>
      <c r="G407">
        <v>0</v>
      </c>
      <c r="H407">
        <v>0</v>
      </c>
      <c r="I407">
        <f t="shared" si="6"/>
        <v>0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>
      <c r="A408">
        <v>406</v>
      </c>
      <c r="B408">
        <v>394</v>
      </c>
      <c r="C408">
        <v>395</v>
      </c>
      <c r="D408" t="s">
        <v>62</v>
      </c>
      <c r="E408" t="s">
        <v>62</v>
      </c>
      <c r="F408">
        <v>0</v>
      </c>
      <c r="G408">
        <v>0</v>
      </c>
      <c r="H408">
        <v>0</v>
      </c>
      <c r="I408">
        <f t="shared" si="6"/>
        <v>0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>
      <c r="A409">
        <v>407</v>
      </c>
      <c r="B409">
        <v>395</v>
      </c>
      <c r="C409">
        <v>396</v>
      </c>
      <c r="D409" t="s">
        <v>5</v>
      </c>
      <c r="E409" t="s">
        <v>46</v>
      </c>
      <c r="F409">
        <v>0</v>
      </c>
      <c r="G409">
        <v>0</v>
      </c>
      <c r="H409">
        <v>0</v>
      </c>
      <c r="I409">
        <f t="shared" si="6"/>
        <v>0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>
      <c r="A410">
        <v>408</v>
      </c>
      <c r="B410">
        <v>396</v>
      </c>
      <c r="C410">
        <v>397</v>
      </c>
      <c r="D410" t="s">
        <v>2</v>
      </c>
      <c r="E410" t="s">
        <v>3</v>
      </c>
      <c r="F410">
        <v>0</v>
      </c>
      <c r="G410">
        <v>0</v>
      </c>
      <c r="H410">
        <v>0</v>
      </c>
      <c r="I410">
        <f t="shared" si="6"/>
        <v>0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>
      <c r="A411">
        <v>409</v>
      </c>
      <c r="B411">
        <v>397</v>
      </c>
      <c r="C411">
        <v>398</v>
      </c>
      <c r="D411" t="s">
        <v>3</v>
      </c>
      <c r="E411" t="s">
        <v>7</v>
      </c>
      <c r="F411">
        <v>0</v>
      </c>
      <c r="G411">
        <v>0</v>
      </c>
      <c r="H411">
        <v>0</v>
      </c>
      <c r="I411">
        <f t="shared" si="6"/>
        <v>0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>
      <c r="A412">
        <v>410</v>
      </c>
      <c r="B412">
        <v>398</v>
      </c>
      <c r="C412">
        <v>399</v>
      </c>
      <c r="D412" t="s">
        <v>2</v>
      </c>
      <c r="E412" t="s">
        <v>2</v>
      </c>
      <c r="F412">
        <v>0</v>
      </c>
      <c r="G412">
        <v>0</v>
      </c>
      <c r="H412">
        <v>0</v>
      </c>
      <c r="I412">
        <f t="shared" si="6"/>
        <v>0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>
      <c r="A413">
        <v>411</v>
      </c>
      <c r="B413">
        <v>399</v>
      </c>
      <c r="C413">
        <v>400</v>
      </c>
      <c r="D413" t="s">
        <v>3</v>
      </c>
      <c r="E413" t="s">
        <v>62</v>
      </c>
      <c r="F413">
        <v>0</v>
      </c>
      <c r="G413">
        <v>0</v>
      </c>
      <c r="H413">
        <v>0</v>
      </c>
      <c r="I413">
        <f t="shared" si="6"/>
        <v>0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>
      <c r="A414">
        <v>412</v>
      </c>
      <c r="B414">
        <v>400</v>
      </c>
      <c r="C414">
        <v>401</v>
      </c>
      <c r="D414" t="s">
        <v>4</v>
      </c>
      <c r="E414" t="s">
        <v>7</v>
      </c>
      <c r="F414">
        <v>0</v>
      </c>
      <c r="G414">
        <v>0</v>
      </c>
      <c r="H414">
        <v>0</v>
      </c>
      <c r="I414">
        <f t="shared" si="6"/>
        <v>0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>
      <c r="A415">
        <v>413</v>
      </c>
      <c r="B415">
        <v>401</v>
      </c>
      <c r="C415">
        <v>402</v>
      </c>
      <c r="D415" t="s">
        <v>3</v>
      </c>
      <c r="E415" t="s">
        <v>2</v>
      </c>
      <c r="F415">
        <v>0</v>
      </c>
      <c r="G415">
        <v>0</v>
      </c>
      <c r="H415">
        <v>0</v>
      </c>
      <c r="I415">
        <f t="shared" si="6"/>
        <v>0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>
      <c r="A416">
        <v>414</v>
      </c>
      <c r="B416">
        <v>402</v>
      </c>
      <c r="C416">
        <v>403</v>
      </c>
      <c r="D416" t="s">
        <v>5</v>
      </c>
      <c r="E416" t="s">
        <v>6</v>
      </c>
      <c r="F416">
        <v>0</v>
      </c>
      <c r="G416">
        <v>0</v>
      </c>
      <c r="H416">
        <v>0</v>
      </c>
      <c r="I416">
        <f t="shared" si="6"/>
        <v>0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>
      <c r="A417">
        <v>415</v>
      </c>
      <c r="B417">
        <v>403</v>
      </c>
      <c r="C417">
        <v>404</v>
      </c>
      <c r="D417" t="s">
        <v>2</v>
      </c>
      <c r="E417" t="s">
        <v>4</v>
      </c>
      <c r="F417">
        <v>0</v>
      </c>
      <c r="G417">
        <v>0</v>
      </c>
      <c r="H417">
        <v>0</v>
      </c>
      <c r="I417">
        <f t="shared" si="6"/>
        <v>0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>
      <c r="A418">
        <v>416</v>
      </c>
      <c r="B418">
        <v>404</v>
      </c>
      <c r="C418">
        <v>405</v>
      </c>
      <c r="D418" t="s">
        <v>42</v>
      </c>
      <c r="E418" t="s">
        <v>7</v>
      </c>
      <c r="F418">
        <v>0</v>
      </c>
      <c r="G418">
        <v>0</v>
      </c>
      <c r="H418">
        <v>0</v>
      </c>
      <c r="I418">
        <f t="shared" si="6"/>
        <v>0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>
      <c r="A419">
        <v>417</v>
      </c>
      <c r="B419">
        <v>405</v>
      </c>
      <c r="C419">
        <v>406</v>
      </c>
      <c r="D419" t="s">
        <v>4</v>
      </c>
      <c r="E419" t="s">
        <v>3</v>
      </c>
      <c r="F419">
        <v>0</v>
      </c>
      <c r="G419">
        <v>0</v>
      </c>
      <c r="H419">
        <v>0</v>
      </c>
      <c r="I419">
        <f t="shared" si="6"/>
        <v>0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>
      <c r="A420">
        <v>418</v>
      </c>
      <c r="B420">
        <v>406</v>
      </c>
      <c r="C420">
        <v>407</v>
      </c>
      <c r="D420" t="s">
        <v>43</v>
      </c>
      <c r="E420" t="s">
        <v>3</v>
      </c>
      <c r="F420">
        <v>0</v>
      </c>
      <c r="G420">
        <v>0</v>
      </c>
      <c r="H420">
        <v>0</v>
      </c>
      <c r="I420">
        <f t="shared" si="6"/>
        <v>0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>
      <c r="A421">
        <v>419</v>
      </c>
      <c r="B421">
        <v>407</v>
      </c>
      <c r="C421">
        <v>408</v>
      </c>
      <c r="D421" t="s">
        <v>7</v>
      </c>
      <c r="E421" t="s">
        <v>2</v>
      </c>
      <c r="F421">
        <v>0</v>
      </c>
      <c r="G421">
        <v>0</v>
      </c>
      <c r="H421">
        <v>0</v>
      </c>
      <c r="I421">
        <f t="shared" si="6"/>
        <v>0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>
      <c r="A422">
        <v>420</v>
      </c>
      <c r="B422">
        <v>408</v>
      </c>
      <c r="C422">
        <v>409</v>
      </c>
      <c r="D422" t="s">
        <v>6</v>
      </c>
      <c r="E422" t="s">
        <v>6</v>
      </c>
      <c r="F422">
        <v>0</v>
      </c>
      <c r="G422">
        <v>0</v>
      </c>
      <c r="H422">
        <v>0</v>
      </c>
      <c r="I422">
        <f t="shared" si="6"/>
        <v>0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>
      <c r="A423">
        <v>421</v>
      </c>
      <c r="B423" t="s">
        <v>73</v>
      </c>
      <c r="C423">
        <v>410</v>
      </c>
      <c r="D423" t="s">
        <v>58</v>
      </c>
      <c r="E423" t="s">
        <v>4</v>
      </c>
      <c r="F423">
        <v>0</v>
      </c>
      <c r="G423">
        <v>0</v>
      </c>
      <c r="H423">
        <v>0</v>
      </c>
      <c r="I423">
        <f t="shared" si="6"/>
        <v>0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>
      <c r="A424">
        <v>422</v>
      </c>
      <c r="B424">
        <v>409</v>
      </c>
      <c r="C424">
        <v>411</v>
      </c>
      <c r="D424" t="s">
        <v>3</v>
      </c>
      <c r="E424" t="s">
        <v>7</v>
      </c>
      <c r="F424">
        <v>0</v>
      </c>
      <c r="G424">
        <v>0</v>
      </c>
      <c r="H424">
        <v>0</v>
      </c>
      <c r="I424">
        <f t="shared" si="6"/>
        <v>0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>
      <c r="A425">
        <v>423</v>
      </c>
      <c r="B425">
        <v>410</v>
      </c>
      <c r="C425">
        <v>412</v>
      </c>
      <c r="D425" t="s">
        <v>3</v>
      </c>
      <c r="E425" t="s">
        <v>5</v>
      </c>
      <c r="F425">
        <v>0</v>
      </c>
      <c r="G425">
        <v>0</v>
      </c>
      <c r="H425">
        <v>0</v>
      </c>
      <c r="I425">
        <f t="shared" si="6"/>
        <v>0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>
      <c r="A426">
        <v>424</v>
      </c>
      <c r="B426">
        <v>411</v>
      </c>
      <c r="C426">
        <v>413</v>
      </c>
      <c r="D426" t="s">
        <v>2</v>
      </c>
      <c r="E426" t="s">
        <v>2</v>
      </c>
      <c r="F426">
        <v>0</v>
      </c>
      <c r="G426">
        <v>0</v>
      </c>
      <c r="H426">
        <v>0</v>
      </c>
      <c r="I426">
        <f t="shared" si="6"/>
        <v>0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>
      <c r="A427">
        <v>425</v>
      </c>
      <c r="B427">
        <v>412</v>
      </c>
      <c r="C427">
        <v>414</v>
      </c>
      <c r="D427" t="s">
        <v>44</v>
      </c>
      <c r="E427" t="s">
        <v>44</v>
      </c>
      <c r="F427">
        <v>0</v>
      </c>
      <c r="G427">
        <v>0</v>
      </c>
      <c r="H427">
        <v>0</v>
      </c>
      <c r="I427">
        <f t="shared" si="6"/>
        <v>0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>
      <c r="A428">
        <v>426</v>
      </c>
      <c r="B428">
        <v>413</v>
      </c>
      <c r="C428">
        <v>415</v>
      </c>
      <c r="D428" t="s">
        <v>44</v>
      </c>
      <c r="E428" t="s">
        <v>2</v>
      </c>
      <c r="F428">
        <v>0</v>
      </c>
      <c r="G428">
        <v>0</v>
      </c>
      <c r="H428">
        <v>0</v>
      </c>
      <c r="I428">
        <f t="shared" si="6"/>
        <v>0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>
      <c r="A429">
        <v>427</v>
      </c>
      <c r="B429">
        <v>414</v>
      </c>
      <c r="C429">
        <v>416</v>
      </c>
      <c r="D429" t="s">
        <v>40</v>
      </c>
      <c r="E429" t="s">
        <v>40</v>
      </c>
      <c r="F429">
        <v>0</v>
      </c>
      <c r="G429">
        <v>0</v>
      </c>
      <c r="H429">
        <v>0</v>
      </c>
      <c r="I429">
        <f t="shared" si="6"/>
        <v>0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>
      <c r="A430">
        <v>428</v>
      </c>
      <c r="B430">
        <v>415</v>
      </c>
      <c r="C430">
        <v>417</v>
      </c>
      <c r="D430" t="s">
        <v>43</v>
      </c>
      <c r="E430" t="s">
        <v>43</v>
      </c>
      <c r="F430">
        <v>0</v>
      </c>
      <c r="G430">
        <v>0</v>
      </c>
      <c r="H430">
        <v>0</v>
      </c>
      <c r="I430">
        <f t="shared" si="6"/>
        <v>0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>
      <c r="A431">
        <v>429</v>
      </c>
      <c r="B431">
        <v>416</v>
      </c>
      <c r="C431">
        <v>418</v>
      </c>
      <c r="D431" t="s">
        <v>48</v>
      </c>
      <c r="E431" t="s">
        <v>48</v>
      </c>
      <c r="F431">
        <v>0</v>
      </c>
      <c r="G431">
        <v>0</v>
      </c>
      <c r="H431">
        <v>0</v>
      </c>
      <c r="I431">
        <f t="shared" si="6"/>
        <v>0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>
      <c r="A432">
        <v>430</v>
      </c>
      <c r="B432">
        <v>417</v>
      </c>
      <c r="C432">
        <v>419</v>
      </c>
      <c r="D432" t="s">
        <v>10</v>
      </c>
      <c r="E432" t="s">
        <v>10</v>
      </c>
      <c r="F432">
        <v>0</v>
      </c>
      <c r="G432">
        <v>0</v>
      </c>
      <c r="H432">
        <v>0</v>
      </c>
      <c r="I432">
        <f t="shared" si="6"/>
        <v>0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>
      <c r="A433">
        <v>431</v>
      </c>
      <c r="B433">
        <v>418</v>
      </c>
      <c r="C433">
        <v>420</v>
      </c>
      <c r="D433" t="s">
        <v>44</v>
      </c>
      <c r="E433" t="s">
        <v>44</v>
      </c>
      <c r="F433">
        <v>0</v>
      </c>
      <c r="G433">
        <v>0</v>
      </c>
      <c r="H433">
        <v>0</v>
      </c>
      <c r="I433">
        <f t="shared" si="6"/>
        <v>0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>
      <c r="A434">
        <v>432</v>
      </c>
      <c r="B434">
        <v>419</v>
      </c>
      <c r="C434">
        <v>421</v>
      </c>
      <c r="D434" t="s">
        <v>8</v>
      </c>
      <c r="E434" t="s">
        <v>8</v>
      </c>
      <c r="F434">
        <v>0</v>
      </c>
      <c r="G434">
        <v>0</v>
      </c>
      <c r="H434">
        <v>0</v>
      </c>
      <c r="I434">
        <f t="shared" si="6"/>
        <v>0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>
      <c r="A435">
        <v>433</v>
      </c>
      <c r="B435">
        <v>420</v>
      </c>
      <c r="C435">
        <v>422</v>
      </c>
      <c r="D435" t="s">
        <v>42</v>
      </c>
      <c r="E435" t="s">
        <v>42</v>
      </c>
      <c r="F435">
        <v>0</v>
      </c>
      <c r="G435">
        <v>0</v>
      </c>
      <c r="H435">
        <v>0</v>
      </c>
      <c r="I435">
        <f t="shared" si="6"/>
        <v>0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>
      <c r="A436">
        <v>434</v>
      </c>
      <c r="B436">
        <v>421</v>
      </c>
      <c r="C436">
        <v>423</v>
      </c>
      <c r="D436" t="s">
        <v>44</v>
      </c>
      <c r="E436" t="s">
        <v>44</v>
      </c>
      <c r="F436">
        <v>0</v>
      </c>
      <c r="G436">
        <v>0</v>
      </c>
      <c r="H436">
        <v>0</v>
      </c>
      <c r="I436">
        <f t="shared" si="6"/>
        <v>0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>
      <c r="A437">
        <v>435</v>
      </c>
      <c r="B437">
        <v>422</v>
      </c>
      <c r="C437">
        <v>424</v>
      </c>
      <c r="D437" t="s">
        <v>44</v>
      </c>
      <c r="E437" t="s">
        <v>44</v>
      </c>
      <c r="F437">
        <v>0</v>
      </c>
      <c r="G437">
        <v>0</v>
      </c>
      <c r="H437">
        <v>0</v>
      </c>
      <c r="I437">
        <f t="shared" si="6"/>
        <v>0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>
      <c r="A438">
        <v>436</v>
      </c>
      <c r="B438">
        <v>423</v>
      </c>
      <c r="C438">
        <v>425</v>
      </c>
      <c r="D438" t="s">
        <v>3</v>
      </c>
      <c r="E438" t="s">
        <v>3</v>
      </c>
      <c r="F438">
        <v>0</v>
      </c>
      <c r="G438">
        <v>0</v>
      </c>
      <c r="H438">
        <v>0</v>
      </c>
      <c r="I438">
        <f t="shared" si="6"/>
        <v>0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>
      <c r="A439">
        <v>437</v>
      </c>
      <c r="B439">
        <v>424</v>
      </c>
      <c r="C439">
        <v>426</v>
      </c>
      <c r="D439" t="s">
        <v>41</v>
      </c>
      <c r="E439" t="s">
        <v>41</v>
      </c>
      <c r="F439">
        <v>0</v>
      </c>
      <c r="G439">
        <v>0</v>
      </c>
      <c r="H439">
        <v>0</v>
      </c>
      <c r="I439">
        <f t="shared" si="6"/>
        <v>0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>
      <c r="A440">
        <v>438</v>
      </c>
      <c r="B440">
        <v>425</v>
      </c>
      <c r="C440">
        <v>427</v>
      </c>
      <c r="D440" t="s">
        <v>62</v>
      </c>
      <c r="E440" t="s">
        <v>62</v>
      </c>
      <c r="F440">
        <v>0</v>
      </c>
      <c r="G440">
        <v>0</v>
      </c>
      <c r="H440">
        <v>0</v>
      </c>
      <c r="I440">
        <f t="shared" si="6"/>
        <v>0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>
      <c r="A441">
        <v>439</v>
      </c>
      <c r="B441">
        <v>426</v>
      </c>
      <c r="C441">
        <v>428</v>
      </c>
      <c r="D441" t="s">
        <v>42</v>
      </c>
      <c r="E441" t="s">
        <v>42</v>
      </c>
      <c r="F441">
        <v>0</v>
      </c>
      <c r="G441">
        <v>0</v>
      </c>
      <c r="H441">
        <v>0</v>
      </c>
      <c r="I441">
        <f t="shared" si="6"/>
        <v>0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>
      <c r="A442">
        <v>440</v>
      </c>
      <c r="B442">
        <v>427</v>
      </c>
      <c r="C442">
        <v>429</v>
      </c>
      <c r="D442" t="s">
        <v>10</v>
      </c>
      <c r="E442" t="s">
        <v>8</v>
      </c>
      <c r="F442">
        <v>0</v>
      </c>
      <c r="G442">
        <v>0</v>
      </c>
      <c r="H442">
        <v>0</v>
      </c>
      <c r="I442">
        <f t="shared" si="6"/>
        <v>0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>
      <c r="A443">
        <v>441</v>
      </c>
      <c r="B443">
        <v>428</v>
      </c>
      <c r="C443">
        <v>430</v>
      </c>
      <c r="D443" t="s">
        <v>45</v>
      </c>
      <c r="E443" t="s">
        <v>45</v>
      </c>
      <c r="F443">
        <v>0</v>
      </c>
      <c r="G443">
        <v>0</v>
      </c>
      <c r="H443">
        <v>0</v>
      </c>
      <c r="I443">
        <f t="shared" si="6"/>
        <v>0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>
      <c r="A444">
        <v>442</v>
      </c>
      <c r="B444">
        <v>429</v>
      </c>
      <c r="C444">
        <v>431</v>
      </c>
      <c r="D444" t="s">
        <v>4</v>
      </c>
      <c r="E444" t="s">
        <v>4</v>
      </c>
      <c r="F444">
        <v>0</v>
      </c>
      <c r="G444">
        <v>0</v>
      </c>
      <c r="H444">
        <v>0</v>
      </c>
      <c r="I444">
        <f t="shared" si="6"/>
        <v>0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>
      <c r="A445">
        <v>443</v>
      </c>
      <c r="B445">
        <v>430</v>
      </c>
      <c r="C445">
        <v>432</v>
      </c>
      <c r="D445" t="s">
        <v>8</v>
      </c>
      <c r="E445" t="s">
        <v>8</v>
      </c>
      <c r="F445">
        <v>0</v>
      </c>
      <c r="G445">
        <v>0</v>
      </c>
      <c r="H445">
        <v>0</v>
      </c>
      <c r="I445">
        <f t="shared" si="6"/>
        <v>0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>
      <c r="A446">
        <v>444</v>
      </c>
      <c r="B446">
        <v>431</v>
      </c>
      <c r="C446">
        <v>433</v>
      </c>
      <c r="D446" t="s">
        <v>1</v>
      </c>
      <c r="E446" t="s">
        <v>1</v>
      </c>
      <c r="F446">
        <v>0</v>
      </c>
      <c r="G446">
        <v>0</v>
      </c>
      <c r="H446">
        <v>0</v>
      </c>
      <c r="I446">
        <f t="shared" si="6"/>
        <v>0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>
      <c r="A447">
        <v>445</v>
      </c>
      <c r="B447">
        <v>432</v>
      </c>
      <c r="C447">
        <v>434</v>
      </c>
      <c r="D447" t="s">
        <v>44</v>
      </c>
      <c r="E447" t="s">
        <v>41</v>
      </c>
      <c r="F447">
        <v>0</v>
      </c>
      <c r="G447">
        <v>0</v>
      </c>
      <c r="H447">
        <v>0</v>
      </c>
      <c r="I447">
        <f t="shared" si="6"/>
        <v>0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>
      <c r="A448">
        <v>446</v>
      </c>
      <c r="B448">
        <v>433</v>
      </c>
      <c r="C448">
        <v>435</v>
      </c>
      <c r="D448" t="s">
        <v>61</v>
      </c>
      <c r="E448" t="s">
        <v>61</v>
      </c>
      <c r="F448">
        <v>0</v>
      </c>
      <c r="G448">
        <v>0</v>
      </c>
      <c r="H448">
        <v>0</v>
      </c>
      <c r="I448">
        <f t="shared" si="6"/>
        <v>0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>
      <c r="A449">
        <v>447</v>
      </c>
      <c r="B449">
        <v>434</v>
      </c>
      <c r="C449">
        <v>436</v>
      </c>
      <c r="D449" t="s">
        <v>1</v>
      </c>
      <c r="E449" t="s">
        <v>1</v>
      </c>
      <c r="F449">
        <v>0</v>
      </c>
      <c r="G449">
        <v>0</v>
      </c>
      <c r="H449">
        <v>0</v>
      </c>
      <c r="I449">
        <f t="shared" si="6"/>
        <v>0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>
      <c r="A450">
        <v>448</v>
      </c>
      <c r="B450">
        <v>435</v>
      </c>
      <c r="C450">
        <v>437</v>
      </c>
      <c r="D450" t="s">
        <v>43</v>
      </c>
      <c r="E450" t="s">
        <v>43</v>
      </c>
      <c r="F450">
        <v>0</v>
      </c>
      <c r="G450">
        <v>0</v>
      </c>
      <c r="H450">
        <v>0</v>
      </c>
      <c r="I450">
        <f t="shared" si="6"/>
        <v>0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>
      <c r="A451">
        <v>449</v>
      </c>
      <c r="B451">
        <v>436</v>
      </c>
      <c r="C451">
        <v>438</v>
      </c>
      <c r="D451" t="s">
        <v>43</v>
      </c>
      <c r="E451" t="s">
        <v>43</v>
      </c>
      <c r="F451">
        <v>0</v>
      </c>
      <c r="G451">
        <v>0</v>
      </c>
      <c r="H451">
        <v>0</v>
      </c>
      <c r="I451">
        <f t="shared" ref="I451:I514" si="7">COUNTIF(G451:H451,"&gt;0.1")</f>
        <v>0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>
      <c r="A452">
        <v>450</v>
      </c>
      <c r="B452">
        <v>437</v>
      </c>
      <c r="C452">
        <v>439</v>
      </c>
      <c r="D452" t="s">
        <v>44</v>
      </c>
      <c r="E452" t="s">
        <v>44</v>
      </c>
      <c r="F452">
        <v>0</v>
      </c>
      <c r="G452">
        <v>0</v>
      </c>
      <c r="H452">
        <v>0</v>
      </c>
      <c r="I452">
        <f t="shared" si="7"/>
        <v>0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>
      <c r="A453">
        <v>451</v>
      </c>
      <c r="B453">
        <v>438</v>
      </c>
      <c r="C453">
        <v>440</v>
      </c>
      <c r="D453" t="s">
        <v>7</v>
      </c>
      <c r="E453" t="s">
        <v>7</v>
      </c>
      <c r="F453">
        <v>0</v>
      </c>
      <c r="G453">
        <v>0</v>
      </c>
      <c r="H453">
        <v>0</v>
      </c>
      <c r="I453">
        <f t="shared" si="7"/>
        <v>0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>
      <c r="A454">
        <v>452</v>
      </c>
      <c r="B454">
        <v>439</v>
      </c>
      <c r="C454">
        <v>441</v>
      </c>
      <c r="D454" t="s">
        <v>4</v>
      </c>
      <c r="E454" t="s">
        <v>4</v>
      </c>
      <c r="F454">
        <v>0</v>
      </c>
      <c r="G454">
        <v>0</v>
      </c>
      <c r="H454">
        <v>0</v>
      </c>
      <c r="I454">
        <f t="shared" si="7"/>
        <v>0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>
      <c r="A455">
        <v>453</v>
      </c>
      <c r="B455">
        <v>440</v>
      </c>
      <c r="C455">
        <v>442</v>
      </c>
      <c r="D455" t="s">
        <v>42</v>
      </c>
      <c r="E455" t="s">
        <v>42</v>
      </c>
      <c r="F455">
        <v>0</v>
      </c>
      <c r="G455">
        <v>0</v>
      </c>
      <c r="H455">
        <v>0</v>
      </c>
      <c r="I455">
        <f t="shared" si="7"/>
        <v>0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>
      <c r="A456">
        <v>454</v>
      </c>
      <c r="B456">
        <v>441</v>
      </c>
      <c r="C456">
        <v>443</v>
      </c>
      <c r="D456" t="s">
        <v>44</v>
      </c>
      <c r="E456" t="s">
        <v>44</v>
      </c>
      <c r="F456">
        <v>0</v>
      </c>
      <c r="G456">
        <v>0</v>
      </c>
      <c r="H456">
        <v>0</v>
      </c>
      <c r="I456">
        <f t="shared" si="7"/>
        <v>0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>
      <c r="A457">
        <v>455</v>
      </c>
      <c r="B457">
        <v>442</v>
      </c>
      <c r="C457">
        <v>444</v>
      </c>
      <c r="D457" t="s">
        <v>10</v>
      </c>
      <c r="E457" t="s">
        <v>10</v>
      </c>
      <c r="F457">
        <v>0</v>
      </c>
      <c r="G457">
        <v>0</v>
      </c>
      <c r="H457">
        <v>0</v>
      </c>
      <c r="I457">
        <f t="shared" si="7"/>
        <v>0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>
      <c r="A458">
        <v>456</v>
      </c>
      <c r="B458">
        <v>443</v>
      </c>
      <c r="C458">
        <v>445</v>
      </c>
      <c r="D458" t="s">
        <v>48</v>
      </c>
      <c r="E458" t="s">
        <v>48</v>
      </c>
      <c r="F458">
        <v>0</v>
      </c>
      <c r="G458">
        <v>0</v>
      </c>
      <c r="H458">
        <v>0</v>
      </c>
      <c r="I458">
        <f t="shared" si="7"/>
        <v>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>
      <c r="A459">
        <v>457</v>
      </c>
      <c r="B459">
        <v>444</v>
      </c>
      <c r="C459">
        <v>446</v>
      </c>
      <c r="D459" t="s">
        <v>40</v>
      </c>
      <c r="E459" t="s">
        <v>7</v>
      </c>
      <c r="F459">
        <v>0</v>
      </c>
      <c r="G459">
        <v>0</v>
      </c>
      <c r="H459">
        <v>0</v>
      </c>
      <c r="I459">
        <f t="shared" si="7"/>
        <v>0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>
      <c r="A460">
        <v>458</v>
      </c>
      <c r="B460">
        <v>445</v>
      </c>
      <c r="C460">
        <v>447</v>
      </c>
      <c r="D460" t="s">
        <v>7</v>
      </c>
      <c r="E460" t="s">
        <v>7</v>
      </c>
      <c r="F460">
        <v>0</v>
      </c>
      <c r="G460">
        <v>0</v>
      </c>
      <c r="H460">
        <v>0</v>
      </c>
      <c r="I460">
        <f t="shared" si="7"/>
        <v>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>
      <c r="A461">
        <v>459</v>
      </c>
      <c r="B461">
        <v>446</v>
      </c>
      <c r="C461">
        <v>448</v>
      </c>
      <c r="D461" t="s">
        <v>3</v>
      </c>
      <c r="E461" t="s">
        <v>3</v>
      </c>
      <c r="F461">
        <v>0</v>
      </c>
      <c r="G461">
        <v>0</v>
      </c>
      <c r="H461">
        <v>0</v>
      </c>
      <c r="I461">
        <f t="shared" si="7"/>
        <v>0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>
      <c r="A462">
        <v>460</v>
      </c>
      <c r="B462">
        <v>447</v>
      </c>
      <c r="C462">
        <v>449</v>
      </c>
      <c r="D462" t="s">
        <v>44</v>
      </c>
      <c r="E462" t="s">
        <v>44</v>
      </c>
      <c r="F462">
        <v>0</v>
      </c>
      <c r="G462">
        <v>0</v>
      </c>
      <c r="H462">
        <v>0</v>
      </c>
      <c r="I462">
        <f t="shared" si="7"/>
        <v>0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>
      <c r="A463">
        <v>461</v>
      </c>
      <c r="B463">
        <v>448</v>
      </c>
      <c r="C463">
        <v>450</v>
      </c>
      <c r="D463" t="s">
        <v>2</v>
      </c>
      <c r="E463" t="s">
        <v>2</v>
      </c>
      <c r="F463">
        <v>0</v>
      </c>
      <c r="G463">
        <v>0</v>
      </c>
      <c r="H463">
        <v>0</v>
      </c>
      <c r="I463">
        <f t="shared" si="7"/>
        <v>0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>
      <c r="A464">
        <v>462</v>
      </c>
      <c r="B464">
        <v>449</v>
      </c>
      <c r="C464">
        <v>451</v>
      </c>
      <c r="D464" t="s">
        <v>4</v>
      </c>
      <c r="E464" t="s">
        <v>4</v>
      </c>
      <c r="F464">
        <v>0</v>
      </c>
      <c r="G464">
        <v>0</v>
      </c>
      <c r="H464">
        <v>0</v>
      </c>
      <c r="I464">
        <f t="shared" si="7"/>
        <v>0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>
      <c r="A465">
        <v>463</v>
      </c>
      <c r="B465">
        <v>450</v>
      </c>
      <c r="C465">
        <v>452</v>
      </c>
      <c r="D465" t="s">
        <v>40</v>
      </c>
      <c r="E465" t="s">
        <v>40</v>
      </c>
      <c r="F465">
        <v>0</v>
      </c>
      <c r="G465">
        <v>0</v>
      </c>
      <c r="H465">
        <v>0</v>
      </c>
      <c r="I465">
        <f t="shared" si="7"/>
        <v>0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>
      <c r="A466">
        <v>464</v>
      </c>
      <c r="B466">
        <v>451</v>
      </c>
      <c r="C466">
        <v>453</v>
      </c>
      <c r="D466" t="s">
        <v>44</v>
      </c>
      <c r="E466" t="s">
        <v>40</v>
      </c>
      <c r="F466">
        <v>0</v>
      </c>
      <c r="G466">
        <v>0</v>
      </c>
      <c r="H466">
        <v>0</v>
      </c>
      <c r="I466">
        <f t="shared" si="7"/>
        <v>0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>
      <c r="A467">
        <v>465</v>
      </c>
      <c r="B467">
        <v>452</v>
      </c>
      <c r="C467">
        <v>454</v>
      </c>
      <c r="D467" t="s">
        <v>40</v>
      </c>
      <c r="E467" t="s">
        <v>40</v>
      </c>
      <c r="F467">
        <v>0</v>
      </c>
      <c r="G467">
        <v>0</v>
      </c>
      <c r="H467">
        <v>0</v>
      </c>
      <c r="I467">
        <f t="shared" si="7"/>
        <v>0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>
      <c r="A468">
        <v>466</v>
      </c>
      <c r="B468">
        <v>453</v>
      </c>
      <c r="C468">
        <v>455</v>
      </c>
      <c r="D468" t="s">
        <v>2</v>
      </c>
      <c r="E468" t="s">
        <v>2</v>
      </c>
      <c r="F468" t="s">
        <v>44</v>
      </c>
      <c r="G468">
        <v>0.996678371452975</v>
      </c>
      <c r="H468">
        <v>0</v>
      </c>
      <c r="I468">
        <f t="shared" si="7"/>
        <v>1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>
      <c r="A469">
        <v>467</v>
      </c>
      <c r="B469">
        <v>454</v>
      </c>
      <c r="C469">
        <v>456</v>
      </c>
      <c r="D469" t="s">
        <v>10</v>
      </c>
      <c r="E469" t="s">
        <v>10</v>
      </c>
      <c r="F469">
        <v>0</v>
      </c>
      <c r="G469">
        <v>0</v>
      </c>
      <c r="H469">
        <v>0</v>
      </c>
      <c r="I469">
        <f t="shared" si="7"/>
        <v>0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>
      <c r="A470">
        <v>468</v>
      </c>
      <c r="B470">
        <v>455</v>
      </c>
      <c r="C470">
        <v>457</v>
      </c>
      <c r="D470" t="s">
        <v>5</v>
      </c>
      <c r="E470" t="s">
        <v>5</v>
      </c>
      <c r="F470">
        <v>0</v>
      </c>
      <c r="G470">
        <v>0</v>
      </c>
      <c r="H470">
        <v>0</v>
      </c>
      <c r="I470">
        <f t="shared" si="7"/>
        <v>0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>
      <c r="A471">
        <v>469</v>
      </c>
      <c r="B471">
        <v>456</v>
      </c>
      <c r="C471">
        <v>458</v>
      </c>
      <c r="D471" t="s">
        <v>4</v>
      </c>
      <c r="E471" t="s">
        <v>4</v>
      </c>
      <c r="F471">
        <v>0</v>
      </c>
      <c r="G471">
        <v>0</v>
      </c>
      <c r="H471">
        <v>0</v>
      </c>
      <c r="I471">
        <f t="shared" si="7"/>
        <v>0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>
      <c r="A472">
        <v>470</v>
      </c>
      <c r="B472">
        <v>457</v>
      </c>
      <c r="C472">
        <v>459</v>
      </c>
      <c r="D472" t="s">
        <v>4</v>
      </c>
      <c r="E472" t="s">
        <v>4</v>
      </c>
      <c r="F472">
        <v>0</v>
      </c>
      <c r="G472">
        <v>0</v>
      </c>
      <c r="H472">
        <v>0</v>
      </c>
      <c r="I472">
        <f t="shared" si="7"/>
        <v>0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>
      <c r="A473">
        <v>471</v>
      </c>
      <c r="B473">
        <v>458</v>
      </c>
      <c r="C473">
        <v>460</v>
      </c>
      <c r="D473" t="s">
        <v>3</v>
      </c>
      <c r="E473" t="s">
        <v>3</v>
      </c>
      <c r="F473" t="s">
        <v>2</v>
      </c>
      <c r="G473">
        <v>0</v>
      </c>
      <c r="H473">
        <v>0.117641706851059</v>
      </c>
      <c r="I473">
        <f t="shared" si="7"/>
        <v>1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>
      <c r="A474">
        <v>472</v>
      </c>
      <c r="B474">
        <v>459</v>
      </c>
      <c r="C474">
        <v>461</v>
      </c>
      <c r="D474" t="s">
        <v>7</v>
      </c>
      <c r="E474" t="s">
        <v>7</v>
      </c>
      <c r="F474">
        <v>0</v>
      </c>
      <c r="G474">
        <v>0</v>
      </c>
      <c r="H474">
        <v>0</v>
      </c>
      <c r="I474">
        <f t="shared" si="7"/>
        <v>0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>
      <c r="A475">
        <v>473</v>
      </c>
      <c r="B475">
        <v>460</v>
      </c>
      <c r="C475">
        <v>462</v>
      </c>
      <c r="D475" t="s">
        <v>7</v>
      </c>
      <c r="E475" t="s">
        <v>3</v>
      </c>
      <c r="F475">
        <v>0</v>
      </c>
      <c r="G475">
        <v>0</v>
      </c>
      <c r="H475">
        <v>0</v>
      </c>
      <c r="I475">
        <f t="shared" si="7"/>
        <v>0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>
      <c r="A476">
        <v>474</v>
      </c>
      <c r="B476">
        <v>461</v>
      </c>
      <c r="C476">
        <v>463</v>
      </c>
      <c r="D476" t="s">
        <v>40</v>
      </c>
      <c r="E476" t="s">
        <v>3</v>
      </c>
      <c r="F476">
        <v>0</v>
      </c>
      <c r="G476">
        <v>0</v>
      </c>
      <c r="H476">
        <v>0</v>
      </c>
      <c r="I476">
        <f t="shared" si="7"/>
        <v>0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>
      <c r="A477">
        <v>475</v>
      </c>
      <c r="B477">
        <v>462</v>
      </c>
      <c r="C477">
        <v>464</v>
      </c>
      <c r="D477" t="s">
        <v>7</v>
      </c>
      <c r="E477" t="s">
        <v>6</v>
      </c>
      <c r="F477">
        <v>0</v>
      </c>
      <c r="G477">
        <v>0</v>
      </c>
      <c r="H477">
        <v>0</v>
      </c>
      <c r="I477">
        <f t="shared" si="7"/>
        <v>0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>
      <c r="A478">
        <v>476</v>
      </c>
      <c r="B478">
        <v>463</v>
      </c>
      <c r="C478" t="s">
        <v>356</v>
      </c>
      <c r="D478" t="s">
        <v>7</v>
      </c>
      <c r="E478" t="s">
        <v>58</v>
      </c>
      <c r="F478">
        <v>0</v>
      </c>
      <c r="G478">
        <v>0</v>
      </c>
      <c r="H478">
        <v>0</v>
      </c>
      <c r="I478">
        <f t="shared" si="7"/>
        <v>0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>
      <c r="A479">
        <v>477</v>
      </c>
      <c r="B479">
        <v>464</v>
      </c>
      <c r="C479">
        <v>465</v>
      </c>
      <c r="D479" t="s">
        <v>43</v>
      </c>
      <c r="E479" t="s">
        <v>7</v>
      </c>
      <c r="F479">
        <v>0</v>
      </c>
      <c r="G479">
        <v>0</v>
      </c>
      <c r="H479">
        <v>0</v>
      </c>
      <c r="I479">
        <f t="shared" si="7"/>
        <v>0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>
      <c r="A480">
        <v>478</v>
      </c>
      <c r="B480">
        <v>465</v>
      </c>
      <c r="C480">
        <v>466</v>
      </c>
      <c r="D480" t="s">
        <v>6</v>
      </c>
      <c r="E480" t="s">
        <v>6</v>
      </c>
      <c r="F480">
        <v>0</v>
      </c>
      <c r="G480">
        <v>0</v>
      </c>
      <c r="H480">
        <v>0</v>
      </c>
      <c r="I480">
        <f t="shared" si="7"/>
        <v>0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>
      <c r="A481">
        <v>479</v>
      </c>
      <c r="B481">
        <v>466</v>
      </c>
      <c r="C481">
        <v>467</v>
      </c>
      <c r="D481" t="s">
        <v>44</v>
      </c>
      <c r="E481" t="s">
        <v>44</v>
      </c>
      <c r="F481">
        <v>0</v>
      </c>
      <c r="G481">
        <v>0</v>
      </c>
      <c r="H481">
        <v>0</v>
      </c>
      <c r="I481">
        <f t="shared" si="7"/>
        <v>0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>
      <c r="A482">
        <v>480</v>
      </c>
      <c r="B482">
        <v>467</v>
      </c>
      <c r="C482">
        <v>468</v>
      </c>
      <c r="D482" t="s">
        <v>46</v>
      </c>
      <c r="E482" t="s">
        <v>46</v>
      </c>
      <c r="F482">
        <v>0</v>
      </c>
      <c r="G482">
        <v>0</v>
      </c>
      <c r="H482">
        <v>0</v>
      </c>
      <c r="I482">
        <f t="shared" si="7"/>
        <v>0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>
      <c r="A483">
        <v>481</v>
      </c>
      <c r="B483">
        <v>468</v>
      </c>
      <c r="C483">
        <v>469</v>
      </c>
      <c r="D483" t="s">
        <v>10</v>
      </c>
      <c r="E483" t="s">
        <v>10</v>
      </c>
      <c r="F483">
        <v>0</v>
      </c>
      <c r="G483">
        <v>0</v>
      </c>
      <c r="H483">
        <v>0</v>
      </c>
      <c r="I483">
        <f t="shared" si="7"/>
        <v>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>
      <c r="A484">
        <v>482</v>
      </c>
      <c r="B484">
        <v>469</v>
      </c>
      <c r="C484">
        <v>470</v>
      </c>
      <c r="D484" t="s">
        <v>43</v>
      </c>
      <c r="E484" t="s">
        <v>43</v>
      </c>
      <c r="F484">
        <v>0</v>
      </c>
      <c r="G484">
        <v>0</v>
      </c>
      <c r="H484">
        <v>0</v>
      </c>
      <c r="I484">
        <f t="shared" si="7"/>
        <v>0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>
      <c r="A485">
        <v>483</v>
      </c>
      <c r="B485">
        <v>470</v>
      </c>
      <c r="C485">
        <v>471</v>
      </c>
      <c r="D485" t="s">
        <v>4</v>
      </c>
      <c r="E485" t="s">
        <v>4</v>
      </c>
      <c r="F485">
        <v>0</v>
      </c>
      <c r="G485">
        <v>0</v>
      </c>
      <c r="H485">
        <v>0</v>
      </c>
      <c r="I485">
        <f t="shared" si="7"/>
        <v>0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>
      <c r="A486">
        <v>484</v>
      </c>
      <c r="B486">
        <v>471</v>
      </c>
      <c r="C486">
        <v>472</v>
      </c>
      <c r="D486" t="s">
        <v>4</v>
      </c>
      <c r="E486" t="s">
        <v>4</v>
      </c>
      <c r="F486">
        <v>0</v>
      </c>
      <c r="G486">
        <v>0</v>
      </c>
      <c r="H486">
        <v>0</v>
      </c>
      <c r="I486">
        <f t="shared" si="7"/>
        <v>0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>
      <c r="A487">
        <v>485</v>
      </c>
      <c r="B487">
        <v>472</v>
      </c>
      <c r="C487">
        <v>473</v>
      </c>
      <c r="D487" t="s">
        <v>4</v>
      </c>
      <c r="E487" t="s">
        <v>4</v>
      </c>
      <c r="F487">
        <v>0</v>
      </c>
      <c r="G487">
        <v>0</v>
      </c>
      <c r="H487">
        <v>0</v>
      </c>
      <c r="I487">
        <f t="shared" si="7"/>
        <v>0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>
      <c r="A488">
        <v>486</v>
      </c>
      <c r="B488">
        <v>473</v>
      </c>
      <c r="C488">
        <v>474</v>
      </c>
      <c r="D488" t="s">
        <v>5</v>
      </c>
      <c r="E488" t="s">
        <v>5</v>
      </c>
      <c r="F488" t="s">
        <v>5</v>
      </c>
      <c r="G488">
        <v>0.99636713324073001</v>
      </c>
      <c r="H488">
        <v>0</v>
      </c>
      <c r="I488">
        <f t="shared" si="7"/>
        <v>1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>
      <c r="A489">
        <v>487</v>
      </c>
      <c r="B489">
        <v>474</v>
      </c>
      <c r="C489">
        <v>475</v>
      </c>
      <c r="D489" t="s">
        <v>41</v>
      </c>
      <c r="E489" t="s">
        <v>41</v>
      </c>
      <c r="F489">
        <v>0</v>
      </c>
      <c r="G489">
        <v>0</v>
      </c>
      <c r="H489">
        <v>0</v>
      </c>
      <c r="I489">
        <f t="shared" si="7"/>
        <v>0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>
      <c r="A490">
        <v>488</v>
      </c>
      <c r="B490">
        <v>475</v>
      </c>
      <c r="C490">
        <v>476</v>
      </c>
      <c r="D490" t="s">
        <v>10</v>
      </c>
      <c r="E490" t="s">
        <v>10</v>
      </c>
      <c r="F490">
        <v>0</v>
      </c>
      <c r="G490">
        <v>0</v>
      </c>
      <c r="H490">
        <v>0</v>
      </c>
      <c r="I490">
        <f t="shared" si="7"/>
        <v>0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>
      <c r="A491">
        <v>489</v>
      </c>
      <c r="B491">
        <v>476</v>
      </c>
      <c r="C491">
        <v>477</v>
      </c>
      <c r="D491" t="s">
        <v>5</v>
      </c>
      <c r="E491" t="s">
        <v>5</v>
      </c>
      <c r="F491">
        <v>0</v>
      </c>
      <c r="G491">
        <v>0</v>
      </c>
      <c r="H491">
        <v>0</v>
      </c>
      <c r="I491">
        <f t="shared" si="7"/>
        <v>0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>
      <c r="A492">
        <v>490</v>
      </c>
      <c r="B492">
        <v>477</v>
      </c>
      <c r="C492">
        <v>478</v>
      </c>
      <c r="D492" t="s">
        <v>3</v>
      </c>
      <c r="E492" t="s">
        <v>3</v>
      </c>
      <c r="F492" t="s">
        <v>3</v>
      </c>
      <c r="G492">
        <v>0.99675570455282803</v>
      </c>
      <c r="H492">
        <v>0</v>
      </c>
      <c r="I492">
        <f t="shared" si="7"/>
        <v>1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>
      <c r="A493">
        <v>491</v>
      </c>
      <c r="B493">
        <v>478</v>
      </c>
      <c r="C493">
        <v>479</v>
      </c>
      <c r="D493" t="s">
        <v>62</v>
      </c>
      <c r="E493" t="s">
        <v>62</v>
      </c>
      <c r="F493">
        <v>0</v>
      </c>
      <c r="G493">
        <v>0</v>
      </c>
      <c r="H493">
        <v>0</v>
      </c>
      <c r="I493">
        <f t="shared" si="7"/>
        <v>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>
      <c r="A494">
        <v>492</v>
      </c>
      <c r="B494">
        <v>479</v>
      </c>
      <c r="C494">
        <v>480</v>
      </c>
      <c r="D494" t="s">
        <v>10</v>
      </c>
      <c r="E494" t="s">
        <v>10</v>
      </c>
      <c r="F494">
        <v>0</v>
      </c>
      <c r="G494">
        <v>0</v>
      </c>
      <c r="H494">
        <v>0</v>
      </c>
      <c r="I494">
        <f t="shared" si="7"/>
        <v>0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>
      <c r="A495">
        <v>493</v>
      </c>
      <c r="B495">
        <v>480</v>
      </c>
      <c r="C495">
        <v>481</v>
      </c>
      <c r="D495" t="s">
        <v>7</v>
      </c>
      <c r="E495" t="s">
        <v>7</v>
      </c>
      <c r="F495">
        <v>0</v>
      </c>
      <c r="G495">
        <v>0</v>
      </c>
      <c r="H495">
        <v>0</v>
      </c>
      <c r="I495">
        <f t="shared" si="7"/>
        <v>0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>
      <c r="A496">
        <v>494</v>
      </c>
      <c r="B496">
        <v>481</v>
      </c>
      <c r="C496">
        <v>482</v>
      </c>
      <c r="D496" t="s">
        <v>6</v>
      </c>
      <c r="E496" t="s">
        <v>6</v>
      </c>
      <c r="F496">
        <v>0</v>
      </c>
      <c r="G496">
        <v>0</v>
      </c>
      <c r="H496">
        <v>0</v>
      </c>
      <c r="I496">
        <f t="shared" si="7"/>
        <v>0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>
      <c r="A497">
        <v>495</v>
      </c>
      <c r="B497">
        <v>482</v>
      </c>
      <c r="C497">
        <v>483</v>
      </c>
      <c r="D497" t="s">
        <v>40</v>
      </c>
      <c r="E497" t="s">
        <v>40</v>
      </c>
      <c r="F497">
        <v>0</v>
      </c>
      <c r="G497">
        <v>0</v>
      </c>
      <c r="H497">
        <v>0</v>
      </c>
      <c r="I497">
        <f t="shared" si="7"/>
        <v>0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>
      <c r="A498">
        <v>496</v>
      </c>
      <c r="B498">
        <v>483</v>
      </c>
      <c r="C498">
        <v>484</v>
      </c>
      <c r="D498" t="s">
        <v>61</v>
      </c>
      <c r="E498" t="s">
        <v>61</v>
      </c>
      <c r="F498">
        <v>0</v>
      </c>
      <c r="G498">
        <v>0</v>
      </c>
      <c r="H498">
        <v>0</v>
      </c>
      <c r="I498">
        <f t="shared" si="7"/>
        <v>0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>
      <c r="A499">
        <v>497</v>
      </c>
      <c r="B499">
        <v>484</v>
      </c>
      <c r="C499">
        <v>485</v>
      </c>
      <c r="D499" t="s">
        <v>8</v>
      </c>
      <c r="E499" t="s">
        <v>8</v>
      </c>
      <c r="F499">
        <v>0</v>
      </c>
      <c r="G499">
        <v>0</v>
      </c>
      <c r="H499">
        <v>0</v>
      </c>
      <c r="I499">
        <f t="shared" si="7"/>
        <v>0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>
      <c r="A500">
        <v>498</v>
      </c>
      <c r="B500">
        <v>485</v>
      </c>
      <c r="C500">
        <v>486</v>
      </c>
      <c r="D500" t="s">
        <v>61</v>
      </c>
      <c r="E500" t="s">
        <v>61</v>
      </c>
      <c r="F500">
        <v>0</v>
      </c>
      <c r="G500">
        <v>0</v>
      </c>
      <c r="H500">
        <v>0</v>
      </c>
      <c r="I500">
        <f t="shared" si="7"/>
        <v>0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>
      <c r="A501">
        <v>499</v>
      </c>
      <c r="B501">
        <v>486</v>
      </c>
      <c r="C501">
        <v>487</v>
      </c>
      <c r="D501" t="s">
        <v>8</v>
      </c>
      <c r="E501" t="s">
        <v>8</v>
      </c>
      <c r="F501">
        <v>0</v>
      </c>
      <c r="G501">
        <v>0</v>
      </c>
      <c r="H501">
        <v>0</v>
      </c>
      <c r="I501">
        <f t="shared" si="7"/>
        <v>0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>
      <c r="A502">
        <v>500</v>
      </c>
      <c r="B502">
        <v>487</v>
      </c>
      <c r="C502">
        <v>488</v>
      </c>
      <c r="D502" t="s">
        <v>45</v>
      </c>
      <c r="E502" t="s">
        <v>45</v>
      </c>
      <c r="F502">
        <v>0</v>
      </c>
      <c r="G502">
        <v>0</v>
      </c>
      <c r="H502">
        <v>0</v>
      </c>
      <c r="I502">
        <f t="shared" si="7"/>
        <v>0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>
      <c r="A503">
        <v>501</v>
      </c>
      <c r="B503">
        <v>488</v>
      </c>
      <c r="C503">
        <v>489</v>
      </c>
      <c r="D503" t="s">
        <v>45</v>
      </c>
      <c r="E503" t="s">
        <v>45</v>
      </c>
      <c r="F503">
        <v>0</v>
      </c>
      <c r="G503">
        <v>0</v>
      </c>
      <c r="H503">
        <v>0</v>
      </c>
      <c r="I503">
        <f t="shared" si="7"/>
        <v>0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>
      <c r="A504">
        <v>502</v>
      </c>
      <c r="B504">
        <v>489</v>
      </c>
      <c r="C504">
        <v>490</v>
      </c>
      <c r="D504" t="s">
        <v>42</v>
      </c>
      <c r="E504" t="s">
        <v>8</v>
      </c>
      <c r="F504" t="s">
        <v>8</v>
      </c>
      <c r="G504">
        <v>0.93257318276504697</v>
      </c>
      <c r="H504">
        <v>0</v>
      </c>
      <c r="I504">
        <f t="shared" si="7"/>
        <v>1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>
      <c r="A505">
        <v>503</v>
      </c>
      <c r="B505">
        <v>490</v>
      </c>
      <c r="C505">
        <v>491</v>
      </c>
      <c r="D505" t="s">
        <v>44</v>
      </c>
      <c r="E505" t="s">
        <v>44</v>
      </c>
      <c r="F505">
        <v>0</v>
      </c>
      <c r="G505">
        <v>0</v>
      </c>
      <c r="H505">
        <v>0</v>
      </c>
      <c r="I505">
        <f t="shared" si="7"/>
        <v>0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>
      <c r="A506">
        <v>504</v>
      </c>
      <c r="B506">
        <v>491</v>
      </c>
      <c r="C506">
        <v>492</v>
      </c>
      <c r="D506" t="s">
        <v>6</v>
      </c>
      <c r="E506" t="s">
        <v>6</v>
      </c>
      <c r="F506">
        <v>0</v>
      </c>
      <c r="G506">
        <v>0</v>
      </c>
      <c r="H506">
        <v>0</v>
      </c>
      <c r="I506">
        <f t="shared" si="7"/>
        <v>0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>
      <c r="A507">
        <v>505</v>
      </c>
      <c r="B507">
        <v>492</v>
      </c>
      <c r="C507">
        <v>493</v>
      </c>
      <c r="D507" t="s">
        <v>43</v>
      </c>
      <c r="E507" t="s">
        <v>43</v>
      </c>
      <c r="F507">
        <v>0</v>
      </c>
      <c r="G507">
        <v>0</v>
      </c>
      <c r="H507">
        <v>0</v>
      </c>
      <c r="I507">
        <f t="shared" si="7"/>
        <v>0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>
      <c r="A508">
        <v>506</v>
      </c>
      <c r="B508">
        <v>493</v>
      </c>
      <c r="C508">
        <v>494</v>
      </c>
      <c r="D508" t="s">
        <v>40</v>
      </c>
      <c r="E508" t="s">
        <v>40</v>
      </c>
      <c r="F508">
        <v>0</v>
      </c>
      <c r="G508">
        <v>0</v>
      </c>
      <c r="H508">
        <v>0</v>
      </c>
      <c r="I508">
        <f t="shared" si="7"/>
        <v>0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>
      <c r="A509">
        <v>507</v>
      </c>
      <c r="B509">
        <v>494</v>
      </c>
      <c r="C509">
        <v>495</v>
      </c>
      <c r="D509" t="s">
        <v>4</v>
      </c>
      <c r="E509" t="s">
        <v>4</v>
      </c>
      <c r="F509">
        <v>0</v>
      </c>
      <c r="G509">
        <v>0</v>
      </c>
      <c r="H509">
        <v>0</v>
      </c>
      <c r="I509">
        <f t="shared" si="7"/>
        <v>0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>
      <c r="A510">
        <v>508</v>
      </c>
      <c r="B510">
        <v>495</v>
      </c>
      <c r="C510">
        <v>496</v>
      </c>
      <c r="D510" t="s">
        <v>44</v>
      </c>
      <c r="E510" t="s">
        <v>45</v>
      </c>
      <c r="F510">
        <v>0</v>
      </c>
      <c r="G510">
        <v>0</v>
      </c>
      <c r="H510">
        <v>0</v>
      </c>
      <c r="I510">
        <f t="shared" si="7"/>
        <v>0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>
      <c r="A511">
        <v>509</v>
      </c>
      <c r="B511">
        <v>496</v>
      </c>
      <c r="C511">
        <v>497</v>
      </c>
      <c r="D511" t="s">
        <v>1</v>
      </c>
      <c r="E511" t="s">
        <v>1</v>
      </c>
      <c r="F511">
        <v>0</v>
      </c>
      <c r="G511">
        <v>0</v>
      </c>
      <c r="H511">
        <v>0</v>
      </c>
      <c r="I511">
        <f t="shared" si="7"/>
        <v>0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>
      <c r="A512">
        <v>510</v>
      </c>
      <c r="B512">
        <v>497</v>
      </c>
      <c r="C512">
        <v>498</v>
      </c>
      <c r="D512" t="s">
        <v>43</v>
      </c>
      <c r="E512" t="s">
        <v>43</v>
      </c>
      <c r="F512">
        <v>0</v>
      </c>
      <c r="G512">
        <v>0</v>
      </c>
      <c r="H512">
        <v>0</v>
      </c>
      <c r="I512">
        <f t="shared" si="7"/>
        <v>0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>
      <c r="A513">
        <v>511</v>
      </c>
      <c r="B513">
        <v>498</v>
      </c>
      <c r="C513">
        <v>499</v>
      </c>
      <c r="D513" t="s">
        <v>2</v>
      </c>
      <c r="E513" t="s">
        <v>2</v>
      </c>
      <c r="F513">
        <v>0</v>
      </c>
      <c r="G513">
        <v>0</v>
      </c>
      <c r="H513">
        <v>0</v>
      </c>
      <c r="I513">
        <f t="shared" si="7"/>
        <v>0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>
      <c r="A514">
        <v>512</v>
      </c>
      <c r="B514">
        <v>499</v>
      </c>
      <c r="C514">
        <v>500</v>
      </c>
      <c r="D514" t="s">
        <v>10</v>
      </c>
      <c r="E514" t="s">
        <v>8</v>
      </c>
      <c r="F514">
        <v>0</v>
      </c>
      <c r="G514">
        <v>0</v>
      </c>
      <c r="H514">
        <v>0</v>
      </c>
      <c r="I514">
        <f t="shared" si="7"/>
        <v>0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>
      <c r="A515">
        <v>513</v>
      </c>
      <c r="B515">
        <v>500</v>
      </c>
      <c r="C515">
        <v>501</v>
      </c>
      <c r="D515" t="s">
        <v>1</v>
      </c>
      <c r="E515" t="s">
        <v>1</v>
      </c>
      <c r="F515">
        <v>0</v>
      </c>
      <c r="G515">
        <v>0</v>
      </c>
      <c r="H515">
        <v>0</v>
      </c>
      <c r="I515">
        <f t="shared" ref="I515:I578" si="8">COUNTIF(G515:H515,"&gt;0.1")</f>
        <v>0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>
      <c r="A516">
        <v>514</v>
      </c>
      <c r="B516">
        <v>501</v>
      </c>
      <c r="C516">
        <v>502</v>
      </c>
      <c r="D516" t="s">
        <v>8</v>
      </c>
      <c r="E516" t="s">
        <v>8</v>
      </c>
      <c r="F516">
        <v>0</v>
      </c>
      <c r="G516">
        <v>0</v>
      </c>
      <c r="H516">
        <v>0</v>
      </c>
      <c r="I516">
        <f t="shared" si="8"/>
        <v>0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>
      <c r="A517">
        <v>515</v>
      </c>
      <c r="B517">
        <v>502</v>
      </c>
      <c r="C517">
        <v>503</v>
      </c>
      <c r="D517" t="s">
        <v>10</v>
      </c>
      <c r="E517" t="s">
        <v>10</v>
      </c>
      <c r="F517" t="s">
        <v>8</v>
      </c>
      <c r="G517">
        <v>0</v>
      </c>
      <c r="H517">
        <v>0.34282835684191199</v>
      </c>
      <c r="I517">
        <f t="shared" si="8"/>
        <v>1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>
      <c r="A518">
        <v>516</v>
      </c>
      <c r="B518">
        <v>503</v>
      </c>
      <c r="C518">
        <v>504</v>
      </c>
      <c r="D518" t="s">
        <v>10</v>
      </c>
      <c r="E518" t="s">
        <v>10</v>
      </c>
      <c r="F518">
        <v>0</v>
      </c>
      <c r="G518">
        <v>0</v>
      </c>
      <c r="H518">
        <v>0</v>
      </c>
      <c r="I518">
        <f t="shared" si="8"/>
        <v>0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>
      <c r="A519">
        <v>517</v>
      </c>
      <c r="B519">
        <v>504</v>
      </c>
      <c r="C519">
        <v>505</v>
      </c>
      <c r="D519" t="s">
        <v>1</v>
      </c>
      <c r="E519" t="s">
        <v>45</v>
      </c>
      <c r="F519">
        <v>0</v>
      </c>
      <c r="G519">
        <v>0</v>
      </c>
      <c r="H519">
        <v>0</v>
      </c>
      <c r="I519">
        <f t="shared" si="8"/>
        <v>0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>
      <c r="A520">
        <v>518</v>
      </c>
      <c r="B520">
        <v>505</v>
      </c>
      <c r="C520">
        <v>506</v>
      </c>
      <c r="D520" t="s">
        <v>45</v>
      </c>
      <c r="E520" t="s">
        <v>45</v>
      </c>
      <c r="F520">
        <v>0</v>
      </c>
      <c r="G520">
        <v>0</v>
      </c>
      <c r="H520">
        <v>0</v>
      </c>
      <c r="I520">
        <f t="shared" si="8"/>
        <v>0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>
      <c r="A521">
        <v>519</v>
      </c>
      <c r="B521">
        <v>506</v>
      </c>
      <c r="C521">
        <v>507</v>
      </c>
      <c r="D521" t="s">
        <v>42</v>
      </c>
      <c r="E521" t="s">
        <v>42</v>
      </c>
      <c r="F521">
        <v>0</v>
      </c>
      <c r="G521">
        <v>0</v>
      </c>
      <c r="H521">
        <v>0</v>
      </c>
      <c r="I521">
        <f t="shared" si="8"/>
        <v>0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>
      <c r="A522">
        <v>520</v>
      </c>
      <c r="B522">
        <v>507</v>
      </c>
      <c r="C522">
        <v>508</v>
      </c>
      <c r="D522" t="s">
        <v>10</v>
      </c>
      <c r="E522" t="s">
        <v>10</v>
      </c>
      <c r="F522">
        <v>0</v>
      </c>
      <c r="G522">
        <v>0</v>
      </c>
      <c r="H522">
        <v>0</v>
      </c>
      <c r="I522">
        <f t="shared" si="8"/>
        <v>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>
      <c r="A523">
        <v>521</v>
      </c>
      <c r="B523">
        <v>508</v>
      </c>
      <c r="C523">
        <v>509</v>
      </c>
      <c r="D523" t="s">
        <v>6</v>
      </c>
      <c r="E523" t="s">
        <v>6</v>
      </c>
      <c r="F523">
        <v>0</v>
      </c>
      <c r="G523">
        <v>0</v>
      </c>
      <c r="H523">
        <v>0</v>
      </c>
      <c r="I523">
        <f t="shared" si="8"/>
        <v>0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>
      <c r="A524">
        <v>522</v>
      </c>
      <c r="B524">
        <v>509</v>
      </c>
      <c r="C524">
        <v>510</v>
      </c>
      <c r="D524" t="s">
        <v>8</v>
      </c>
      <c r="E524" t="s">
        <v>8</v>
      </c>
      <c r="F524">
        <v>0</v>
      </c>
      <c r="G524">
        <v>0</v>
      </c>
      <c r="H524">
        <v>0</v>
      </c>
      <c r="I524">
        <f t="shared" si="8"/>
        <v>0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>
      <c r="A525">
        <v>523</v>
      </c>
      <c r="B525">
        <v>510</v>
      </c>
      <c r="C525">
        <v>511</v>
      </c>
      <c r="D525" t="s">
        <v>10</v>
      </c>
      <c r="E525" t="s">
        <v>10</v>
      </c>
      <c r="F525">
        <v>0</v>
      </c>
      <c r="G525">
        <v>0</v>
      </c>
      <c r="H525">
        <v>0</v>
      </c>
      <c r="I525">
        <f t="shared" si="8"/>
        <v>0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>
      <c r="A526">
        <v>524</v>
      </c>
      <c r="B526">
        <v>511</v>
      </c>
      <c r="C526">
        <v>512</v>
      </c>
      <c r="D526" t="s">
        <v>1</v>
      </c>
      <c r="E526" t="s">
        <v>1</v>
      </c>
      <c r="F526">
        <v>0</v>
      </c>
      <c r="G526">
        <v>0</v>
      </c>
      <c r="H526">
        <v>0</v>
      </c>
      <c r="I526">
        <f t="shared" si="8"/>
        <v>0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>
      <c r="A527">
        <v>525</v>
      </c>
      <c r="B527">
        <v>512</v>
      </c>
      <c r="C527">
        <v>513</v>
      </c>
      <c r="D527" t="s">
        <v>45</v>
      </c>
      <c r="E527" t="s">
        <v>45</v>
      </c>
      <c r="F527">
        <v>0</v>
      </c>
      <c r="G527">
        <v>0</v>
      </c>
      <c r="H527">
        <v>0</v>
      </c>
      <c r="I527">
        <f t="shared" si="8"/>
        <v>0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>
      <c r="A528">
        <v>526</v>
      </c>
      <c r="B528">
        <v>513</v>
      </c>
      <c r="C528">
        <v>514</v>
      </c>
      <c r="D528" t="s">
        <v>4</v>
      </c>
      <c r="E528" t="s">
        <v>4</v>
      </c>
      <c r="F528">
        <v>0</v>
      </c>
      <c r="G528">
        <v>0</v>
      </c>
      <c r="H528">
        <v>0</v>
      </c>
      <c r="I528">
        <f t="shared" si="8"/>
        <v>0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>
      <c r="A529">
        <v>527</v>
      </c>
      <c r="B529">
        <v>514</v>
      </c>
      <c r="C529">
        <v>515</v>
      </c>
      <c r="D529" t="s">
        <v>44</v>
      </c>
      <c r="E529" t="s">
        <v>44</v>
      </c>
      <c r="F529">
        <v>0</v>
      </c>
      <c r="G529">
        <v>0</v>
      </c>
      <c r="H529">
        <v>0</v>
      </c>
      <c r="I529">
        <f t="shared" si="8"/>
        <v>0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>
      <c r="A530">
        <v>528</v>
      </c>
      <c r="B530">
        <v>515</v>
      </c>
      <c r="C530">
        <v>516</v>
      </c>
      <c r="D530" t="s">
        <v>4</v>
      </c>
      <c r="E530" t="s">
        <v>4</v>
      </c>
      <c r="F530">
        <v>0</v>
      </c>
      <c r="G530">
        <v>0</v>
      </c>
      <c r="H530">
        <v>0</v>
      </c>
      <c r="I530">
        <f t="shared" si="8"/>
        <v>0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>
      <c r="A531">
        <v>529</v>
      </c>
      <c r="B531">
        <v>516</v>
      </c>
      <c r="C531">
        <v>517</v>
      </c>
      <c r="D531" t="s">
        <v>1</v>
      </c>
      <c r="E531" t="s">
        <v>1</v>
      </c>
      <c r="F531">
        <v>0</v>
      </c>
      <c r="G531">
        <v>0</v>
      </c>
      <c r="H531">
        <v>0</v>
      </c>
      <c r="I531">
        <f t="shared" si="8"/>
        <v>0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>
      <c r="A532">
        <v>530</v>
      </c>
      <c r="B532">
        <v>517</v>
      </c>
      <c r="C532">
        <v>518</v>
      </c>
      <c r="D532" t="s">
        <v>40</v>
      </c>
      <c r="E532" t="s">
        <v>40</v>
      </c>
      <c r="F532">
        <v>0</v>
      </c>
      <c r="G532">
        <v>0</v>
      </c>
      <c r="H532">
        <v>0</v>
      </c>
      <c r="I532">
        <f t="shared" si="8"/>
        <v>0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>
      <c r="A533">
        <v>531</v>
      </c>
      <c r="B533">
        <v>518</v>
      </c>
      <c r="C533">
        <v>519</v>
      </c>
      <c r="D533" t="s">
        <v>46</v>
      </c>
      <c r="E533" t="s">
        <v>46</v>
      </c>
      <c r="F533">
        <v>0</v>
      </c>
      <c r="G533">
        <v>0</v>
      </c>
      <c r="H533">
        <v>0</v>
      </c>
      <c r="I533">
        <f t="shared" si="8"/>
        <v>0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>
      <c r="A534">
        <v>532</v>
      </c>
      <c r="B534">
        <v>519</v>
      </c>
      <c r="C534">
        <v>520</v>
      </c>
      <c r="D534" t="s">
        <v>40</v>
      </c>
      <c r="E534" t="s">
        <v>40</v>
      </c>
      <c r="F534">
        <v>0</v>
      </c>
      <c r="G534">
        <v>0</v>
      </c>
      <c r="H534">
        <v>0</v>
      </c>
      <c r="I534">
        <f t="shared" si="8"/>
        <v>0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>
      <c r="A535">
        <v>533</v>
      </c>
      <c r="B535">
        <v>520</v>
      </c>
      <c r="C535">
        <v>521</v>
      </c>
      <c r="D535" t="s">
        <v>4</v>
      </c>
      <c r="E535" t="s">
        <v>4</v>
      </c>
      <c r="F535">
        <v>0</v>
      </c>
      <c r="G535">
        <v>0</v>
      </c>
      <c r="H535">
        <v>0</v>
      </c>
      <c r="I535">
        <f t="shared" si="8"/>
        <v>0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>
      <c r="A536">
        <v>534</v>
      </c>
      <c r="B536">
        <v>521</v>
      </c>
      <c r="C536">
        <v>522</v>
      </c>
      <c r="D536" t="s">
        <v>46</v>
      </c>
      <c r="E536" t="s">
        <v>46</v>
      </c>
      <c r="F536">
        <v>0</v>
      </c>
      <c r="G536">
        <v>0</v>
      </c>
      <c r="H536">
        <v>0</v>
      </c>
      <c r="I536">
        <f t="shared" si="8"/>
        <v>0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>
      <c r="A537">
        <v>535</v>
      </c>
      <c r="B537">
        <v>522</v>
      </c>
      <c r="C537">
        <v>523</v>
      </c>
      <c r="D537" t="s">
        <v>40</v>
      </c>
      <c r="E537" t="s">
        <v>40</v>
      </c>
      <c r="F537">
        <v>0</v>
      </c>
      <c r="G537">
        <v>0</v>
      </c>
      <c r="H537">
        <v>0</v>
      </c>
      <c r="I537">
        <f t="shared" si="8"/>
        <v>0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>
      <c r="A538">
        <v>536</v>
      </c>
      <c r="B538">
        <v>523</v>
      </c>
      <c r="C538">
        <v>524</v>
      </c>
      <c r="D538" t="s">
        <v>4</v>
      </c>
      <c r="E538" t="s">
        <v>4</v>
      </c>
      <c r="F538">
        <v>0</v>
      </c>
      <c r="G538">
        <v>0</v>
      </c>
      <c r="H538">
        <v>0</v>
      </c>
      <c r="I538">
        <f t="shared" si="8"/>
        <v>0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>
      <c r="A539">
        <v>537</v>
      </c>
      <c r="B539">
        <v>524</v>
      </c>
      <c r="C539">
        <v>525</v>
      </c>
      <c r="D539" t="s">
        <v>1</v>
      </c>
      <c r="E539" t="s">
        <v>1</v>
      </c>
      <c r="F539">
        <v>0</v>
      </c>
      <c r="G539">
        <v>0</v>
      </c>
      <c r="H539">
        <v>0</v>
      </c>
      <c r="I539">
        <f t="shared" si="8"/>
        <v>0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>
      <c r="A540">
        <v>538</v>
      </c>
      <c r="B540">
        <v>525</v>
      </c>
      <c r="C540">
        <v>526</v>
      </c>
      <c r="D540" t="s">
        <v>1</v>
      </c>
      <c r="E540" t="s">
        <v>1</v>
      </c>
      <c r="F540">
        <v>0</v>
      </c>
      <c r="G540">
        <v>0</v>
      </c>
      <c r="H540">
        <v>0</v>
      </c>
      <c r="I540">
        <f t="shared" si="8"/>
        <v>0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>
      <c r="A541">
        <v>539</v>
      </c>
      <c r="B541">
        <v>526</v>
      </c>
      <c r="C541">
        <v>527</v>
      </c>
      <c r="D541" t="s">
        <v>4</v>
      </c>
      <c r="E541" t="s">
        <v>4</v>
      </c>
      <c r="F541">
        <v>0</v>
      </c>
      <c r="G541">
        <v>0</v>
      </c>
      <c r="H541">
        <v>0</v>
      </c>
      <c r="I541">
        <f t="shared" si="8"/>
        <v>0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>
      <c r="A542">
        <v>540</v>
      </c>
      <c r="B542">
        <v>527</v>
      </c>
      <c r="C542">
        <v>528</v>
      </c>
      <c r="D542" t="s">
        <v>7</v>
      </c>
      <c r="E542" t="s">
        <v>7</v>
      </c>
      <c r="F542">
        <v>0</v>
      </c>
      <c r="G542">
        <v>0</v>
      </c>
      <c r="H542">
        <v>0</v>
      </c>
      <c r="I542">
        <f t="shared" si="8"/>
        <v>0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>
      <c r="A543">
        <v>541</v>
      </c>
      <c r="B543">
        <v>528</v>
      </c>
      <c r="C543">
        <v>529</v>
      </c>
      <c r="D543" t="s">
        <v>2</v>
      </c>
      <c r="E543" t="s">
        <v>2</v>
      </c>
      <c r="F543">
        <v>0</v>
      </c>
      <c r="G543">
        <v>0</v>
      </c>
      <c r="H543">
        <v>0</v>
      </c>
      <c r="I543">
        <f t="shared" si="8"/>
        <v>0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>
      <c r="A544">
        <v>542</v>
      </c>
      <c r="B544">
        <v>529</v>
      </c>
      <c r="C544">
        <v>530</v>
      </c>
      <c r="D544" t="s">
        <v>41</v>
      </c>
      <c r="E544" t="s">
        <v>41</v>
      </c>
      <c r="F544">
        <v>0</v>
      </c>
      <c r="G544">
        <v>0</v>
      </c>
      <c r="H544">
        <v>0</v>
      </c>
      <c r="I544">
        <f t="shared" si="8"/>
        <v>0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>
      <c r="A545">
        <v>543</v>
      </c>
      <c r="B545">
        <v>530</v>
      </c>
      <c r="C545">
        <v>531</v>
      </c>
      <c r="D545" t="s">
        <v>4</v>
      </c>
      <c r="E545" t="s">
        <v>4</v>
      </c>
      <c r="F545">
        <v>0</v>
      </c>
      <c r="G545">
        <v>0</v>
      </c>
      <c r="H545">
        <v>0</v>
      </c>
      <c r="I545">
        <f t="shared" si="8"/>
        <v>0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>
      <c r="A546">
        <v>544</v>
      </c>
      <c r="B546">
        <v>531</v>
      </c>
      <c r="C546">
        <v>532</v>
      </c>
      <c r="D546" t="s">
        <v>1</v>
      </c>
      <c r="E546" t="s">
        <v>1</v>
      </c>
      <c r="F546">
        <v>0</v>
      </c>
      <c r="G546">
        <v>0</v>
      </c>
      <c r="H546">
        <v>0</v>
      </c>
      <c r="I546">
        <f t="shared" si="8"/>
        <v>0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>
      <c r="A547">
        <v>545</v>
      </c>
      <c r="B547">
        <v>532</v>
      </c>
      <c r="C547">
        <v>533</v>
      </c>
      <c r="D547" t="s">
        <v>1</v>
      </c>
      <c r="E547" t="s">
        <v>1</v>
      </c>
      <c r="F547">
        <v>0</v>
      </c>
      <c r="G547">
        <v>0</v>
      </c>
      <c r="H547">
        <v>0</v>
      </c>
      <c r="I547">
        <f t="shared" si="8"/>
        <v>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>
      <c r="A548">
        <v>546</v>
      </c>
      <c r="B548">
        <v>533</v>
      </c>
      <c r="C548">
        <v>534</v>
      </c>
      <c r="D548" t="s">
        <v>7</v>
      </c>
      <c r="E548" t="s">
        <v>7</v>
      </c>
      <c r="F548">
        <v>0</v>
      </c>
      <c r="G548">
        <v>0</v>
      </c>
      <c r="H548">
        <v>0</v>
      </c>
      <c r="I548">
        <f t="shared" si="8"/>
        <v>0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>
      <c r="A549">
        <v>547</v>
      </c>
      <c r="B549">
        <v>534</v>
      </c>
      <c r="C549">
        <v>535</v>
      </c>
      <c r="D549" t="s">
        <v>45</v>
      </c>
      <c r="E549" t="s">
        <v>41</v>
      </c>
      <c r="F549">
        <v>0</v>
      </c>
      <c r="G549">
        <v>0</v>
      </c>
      <c r="H549">
        <v>0</v>
      </c>
      <c r="I549">
        <f t="shared" si="8"/>
        <v>0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>
      <c r="A550">
        <v>548</v>
      </c>
      <c r="B550">
        <v>535</v>
      </c>
      <c r="C550">
        <v>536</v>
      </c>
      <c r="D550" t="s">
        <v>2</v>
      </c>
      <c r="E550" t="s">
        <v>2</v>
      </c>
      <c r="F550">
        <v>0</v>
      </c>
      <c r="G550">
        <v>0</v>
      </c>
      <c r="H550">
        <v>0</v>
      </c>
      <c r="I550">
        <f t="shared" si="8"/>
        <v>0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>
      <c r="A551">
        <v>549</v>
      </c>
      <c r="B551">
        <v>536</v>
      </c>
      <c r="C551">
        <v>537</v>
      </c>
      <c r="D551" t="s">
        <v>40</v>
      </c>
      <c r="E551" t="s">
        <v>40</v>
      </c>
      <c r="F551">
        <v>0</v>
      </c>
      <c r="G551">
        <v>0</v>
      </c>
      <c r="H551">
        <v>0</v>
      </c>
      <c r="I551">
        <f t="shared" si="8"/>
        <v>0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>
      <c r="A552">
        <v>550</v>
      </c>
      <c r="B552">
        <v>537</v>
      </c>
      <c r="C552">
        <v>538</v>
      </c>
      <c r="D552" t="s">
        <v>2</v>
      </c>
      <c r="E552" t="s">
        <v>2</v>
      </c>
      <c r="F552">
        <v>0</v>
      </c>
      <c r="G552">
        <v>0</v>
      </c>
      <c r="H552">
        <v>0</v>
      </c>
      <c r="I552">
        <f t="shared" si="8"/>
        <v>0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>
      <c r="A553">
        <v>551</v>
      </c>
      <c r="B553">
        <v>538</v>
      </c>
      <c r="C553">
        <v>539</v>
      </c>
      <c r="D553" t="s">
        <v>45</v>
      </c>
      <c r="E553" t="s">
        <v>45</v>
      </c>
      <c r="F553">
        <v>0</v>
      </c>
      <c r="G553">
        <v>0</v>
      </c>
      <c r="H553">
        <v>0</v>
      </c>
      <c r="I553">
        <f t="shared" si="8"/>
        <v>0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>
      <c r="A554">
        <v>552</v>
      </c>
      <c r="B554">
        <v>539</v>
      </c>
      <c r="C554">
        <v>540</v>
      </c>
      <c r="D554" t="s">
        <v>42</v>
      </c>
      <c r="E554" t="s">
        <v>42</v>
      </c>
      <c r="F554">
        <v>0</v>
      </c>
      <c r="G554">
        <v>0</v>
      </c>
      <c r="H554">
        <v>0</v>
      </c>
      <c r="I554">
        <f t="shared" si="8"/>
        <v>0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>
      <c r="A555">
        <v>553</v>
      </c>
      <c r="B555">
        <v>540</v>
      </c>
      <c r="C555">
        <v>541</v>
      </c>
      <c r="D555" t="s">
        <v>1</v>
      </c>
      <c r="E555" t="s">
        <v>1</v>
      </c>
      <c r="F555">
        <v>0</v>
      </c>
      <c r="G555">
        <v>0</v>
      </c>
      <c r="H555">
        <v>0</v>
      </c>
      <c r="I555">
        <f t="shared" si="8"/>
        <v>0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>
      <c r="A556">
        <v>554</v>
      </c>
      <c r="B556">
        <v>541</v>
      </c>
      <c r="C556">
        <v>542</v>
      </c>
      <c r="D556" t="s">
        <v>10</v>
      </c>
      <c r="E556" t="s">
        <v>10</v>
      </c>
      <c r="F556">
        <v>0</v>
      </c>
      <c r="G556">
        <v>0</v>
      </c>
      <c r="H556">
        <v>0</v>
      </c>
      <c r="I556">
        <f t="shared" si="8"/>
        <v>0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>
      <c r="A557">
        <v>555</v>
      </c>
      <c r="B557">
        <v>542</v>
      </c>
      <c r="C557">
        <v>543</v>
      </c>
      <c r="D557" t="s">
        <v>42</v>
      </c>
      <c r="E557" t="s">
        <v>42</v>
      </c>
      <c r="F557">
        <v>0</v>
      </c>
      <c r="G557">
        <v>0</v>
      </c>
      <c r="H557">
        <v>0</v>
      </c>
      <c r="I557">
        <f t="shared" si="8"/>
        <v>0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>
      <c r="A558">
        <v>556</v>
      </c>
      <c r="B558">
        <v>543</v>
      </c>
      <c r="C558">
        <v>544</v>
      </c>
      <c r="D558" t="s">
        <v>40</v>
      </c>
      <c r="E558" t="s">
        <v>40</v>
      </c>
      <c r="F558">
        <v>0</v>
      </c>
      <c r="G558">
        <v>0</v>
      </c>
      <c r="H558">
        <v>0</v>
      </c>
      <c r="I558">
        <f t="shared" si="8"/>
        <v>0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>
      <c r="A559">
        <v>557</v>
      </c>
      <c r="B559">
        <v>544</v>
      </c>
      <c r="C559">
        <v>545</v>
      </c>
      <c r="D559" t="s">
        <v>40</v>
      </c>
      <c r="E559" t="s">
        <v>40</v>
      </c>
      <c r="F559">
        <v>0</v>
      </c>
      <c r="G559">
        <v>0</v>
      </c>
      <c r="H559">
        <v>0</v>
      </c>
      <c r="I559">
        <f t="shared" si="8"/>
        <v>0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>
      <c r="A560">
        <v>558</v>
      </c>
      <c r="B560">
        <v>545</v>
      </c>
      <c r="C560">
        <v>546</v>
      </c>
      <c r="D560" t="s">
        <v>7</v>
      </c>
      <c r="E560" t="s">
        <v>7</v>
      </c>
      <c r="F560">
        <v>0</v>
      </c>
      <c r="G560">
        <v>0</v>
      </c>
      <c r="H560">
        <v>0</v>
      </c>
      <c r="I560">
        <f t="shared" si="8"/>
        <v>0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>
      <c r="A561">
        <v>559</v>
      </c>
      <c r="B561">
        <v>546</v>
      </c>
      <c r="C561">
        <v>547</v>
      </c>
      <c r="D561" t="s">
        <v>4</v>
      </c>
      <c r="E561" t="s">
        <v>4</v>
      </c>
      <c r="F561">
        <v>0</v>
      </c>
      <c r="G561">
        <v>0</v>
      </c>
      <c r="H561">
        <v>0</v>
      </c>
      <c r="I561">
        <f t="shared" si="8"/>
        <v>0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>
      <c r="A562">
        <v>560</v>
      </c>
      <c r="B562">
        <v>547</v>
      </c>
      <c r="C562">
        <v>548</v>
      </c>
      <c r="D562" t="s">
        <v>44</v>
      </c>
      <c r="E562" t="s">
        <v>44</v>
      </c>
      <c r="F562">
        <v>0</v>
      </c>
      <c r="G562">
        <v>0</v>
      </c>
      <c r="H562">
        <v>0</v>
      </c>
      <c r="I562">
        <f t="shared" si="8"/>
        <v>0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>
      <c r="A563">
        <v>561</v>
      </c>
      <c r="B563">
        <v>548</v>
      </c>
      <c r="C563">
        <v>549</v>
      </c>
      <c r="D563" t="s">
        <v>45</v>
      </c>
      <c r="E563" t="s">
        <v>45</v>
      </c>
      <c r="F563">
        <v>0</v>
      </c>
      <c r="G563">
        <v>0</v>
      </c>
      <c r="H563">
        <v>0</v>
      </c>
      <c r="I563">
        <f t="shared" si="8"/>
        <v>0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>
      <c r="A564">
        <v>562</v>
      </c>
      <c r="B564">
        <v>549</v>
      </c>
      <c r="C564">
        <v>550</v>
      </c>
      <c r="D564" t="s">
        <v>42</v>
      </c>
      <c r="E564" t="s">
        <v>42</v>
      </c>
      <c r="F564">
        <v>0</v>
      </c>
      <c r="G564">
        <v>0</v>
      </c>
      <c r="H564">
        <v>0</v>
      </c>
      <c r="I564">
        <f t="shared" si="8"/>
        <v>0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>
      <c r="A565">
        <v>563</v>
      </c>
      <c r="B565">
        <v>550</v>
      </c>
      <c r="C565">
        <v>551</v>
      </c>
      <c r="D565" t="s">
        <v>42</v>
      </c>
      <c r="E565" t="s">
        <v>42</v>
      </c>
      <c r="F565">
        <v>0</v>
      </c>
      <c r="G565">
        <v>0</v>
      </c>
      <c r="H565">
        <v>0</v>
      </c>
      <c r="I565">
        <f t="shared" si="8"/>
        <v>0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>
      <c r="A566">
        <v>564</v>
      </c>
      <c r="B566">
        <v>551</v>
      </c>
      <c r="C566">
        <v>552</v>
      </c>
      <c r="D566" t="s">
        <v>42</v>
      </c>
      <c r="E566" t="s">
        <v>42</v>
      </c>
      <c r="F566">
        <v>0</v>
      </c>
      <c r="G566">
        <v>0</v>
      </c>
      <c r="H566">
        <v>0</v>
      </c>
      <c r="I566">
        <f t="shared" si="8"/>
        <v>0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>
      <c r="A567">
        <v>565</v>
      </c>
      <c r="B567">
        <v>552</v>
      </c>
      <c r="C567">
        <v>553</v>
      </c>
      <c r="D567" t="s">
        <v>7</v>
      </c>
      <c r="E567" t="s">
        <v>3</v>
      </c>
      <c r="F567">
        <v>0</v>
      </c>
      <c r="G567">
        <v>0</v>
      </c>
      <c r="H567">
        <v>0</v>
      </c>
      <c r="I567">
        <f t="shared" si="8"/>
        <v>0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>
      <c r="A568">
        <v>566</v>
      </c>
      <c r="B568">
        <v>553</v>
      </c>
      <c r="C568">
        <v>554</v>
      </c>
      <c r="D568" t="s">
        <v>3</v>
      </c>
      <c r="E568" t="s">
        <v>3</v>
      </c>
      <c r="F568">
        <v>0</v>
      </c>
      <c r="G568">
        <v>0</v>
      </c>
      <c r="H568">
        <v>0</v>
      </c>
      <c r="I568">
        <f t="shared" si="8"/>
        <v>0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>
      <c r="A569">
        <v>567</v>
      </c>
      <c r="B569">
        <v>554</v>
      </c>
      <c r="C569">
        <v>555</v>
      </c>
      <c r="D569" t="s">
        <v>40</v>
      </c>
      <c r="E569" t="s">
        <v>40</v>
      </c>
      <c r="F569">
        <v>0</v>
      </c>
      <c r="G569">
        <v>0</v>
      </c>
      <c r="H569">
        <v>0</v>
      </c>
      <c r="I569">
        <f t="shared" si="8"/>
        <v>0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>
      <c r="A570">
        <v>568</v>
      </c>
      <c r="B570">
        <v>555</v>
      </c>
      <c r="C570">
        <v>556</v>
      </c>
      <c r="D570" t="s">
        <v>40</v>
      </c>
      <c r="E570" t="s">
        <v>40</v>
      </c>
      <c r="F570">
        <v>0</v>
      </c>
      <c r="G570">
        <v>0</v>
      </c>
      <c r="H570">
        <v>0</v>
      </c>
      <c r="I570">
        <f t="shared" si="8"/>
        <v>0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>
      <c r="A571">
        <v>569</v>
      </c>
      <c r="B571">
        <v>556</v>
      </c>
      <c r="C571">
        <v>557</v>
      </c>
      <c r="D571" t="s">
        <v>10</v>
      </c>
      <c r="E571" t="s">
        <v>10</v>
      </c>
      <c r="F571">
        <v>0</v>
      </c>
      <c r="G571">
        <v>0</v>
      </c>
      <c r="H571">
        <v>0</v>
      </c>
      <c r="I571">
        <f t="shared" si="8"/>
        <v>0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>
      <c r="A572">
        <v>570</v>
      </c>
      <c r="B572">
        <v>557</v>
      </c>
      <c r="C572">
        <v>558</v>
      </c>
      <c r="D572" t="s">
        <v>1</v>
      </c>
      <c r="E572" t="s">
        <v>1</v>
      </c>
      <c r="F572">
        <v>0</v>
      </c>
      <c r="G572">
        <v>0</v>
      </c>
      <c r="H572">
        <v>0</v>
      </c>
      <c r="I572">
        <f t="shared" si="8"/>
        <v>0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>
      <c r="A573">
        <v>571</v>
      </c>
      <c r="B573">
        <v>558</v>
      </c>
      <c r="C573">
        <v>559</v>
      </c>
      <c r="D573" t="s">
        <v>44</v>
      </c>
      <c r="E573" t="s">
        <v>44</v>
      </c>
      <c r="F573">
        <v>0</v>
      </c>
      <c r="G573">
        <v>0</v>
      </c>
      <c r="H573">
        <v>0</v>
      </c>
      <c r="I573">
        <f t="shared" si="8"/>
        <v>0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>
      <c r="A574">
        <v>572</v>
      </c>
      <c r="B574">
        <v>559</v>
      </c>
      <c r="C574">
        <v>560</v>
      </c>
      <c r="D574" t="s">
        <v>6</v>
      </c>
      <c r="E574" t="s">
        <v>6</v>
      </c>
      <c r="F574">
        <v>0</v>
      </c>
      <c r="G574">
        <v>0</v>
      </c>
      <c r="H574">
        <v>0</v>
      </c>
      <c r="I574">
        <f t="shared" si="8"/>
        <v>0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>
      <c r="A575">
        <v>573</v>
      </c>
      <c r="B575">
        <v>560</v>
      </c>
      <c r="C575">
        <v>561</v>
      </c>
      <c r="D575" t="s">
        <v>1</v>
      </c>
      <c r="E575" t="s">
        <v>1</v>
      </c>
      <c r="F575">
        <v>0</v>
      </c>
      <c r="G575">
        <v>0</v>
      </c>
      <c r="H575">
        <v>0</v>
      </c>
      <c r="I575">
        <f t="shared" si="8"/>
        <v>0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>
      <c r="A576">
        <v>574</v>
      </c>
      <c r="B576">
        <v>561</v>
      </c>
      <c r="C576">
        <v>562</v>
      </c>
      <c r="D576" t="s">
        <v>42</v>
      </c>
      <c r="E576" t="s">
        <v>42</v>
      </c>
      <c r="F576">
        <v>0</v>
      </c>
      <c r="G576">
        <v>0</v>
      </c>
      <c r="H576">
        <v>0</v>
      </c>
      <c r="I576">
        <f t="shared" si="8"/>
        <v>0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>
      <c r="A577">
        <v>575</v>
      </c>
      <c r="B577">
        <v>562</v>
      </c>
      <c r="C577">
        <v>563</v>
      </c>
      <c r="D577" t="s">
        <v>42</v>
      </c>
      <c r="E577" t="s">
        <v>42</v>
      </c>
      <c r="F577">
        <v>0</v>
      </c>
      <c r="G577">
        <v>0</v>
      </c>
      <c r="H577">
        <v>0</v>
      </c>
      <c r="I577">
        <f t="shared" si="8"/>
        <v>0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>
      <c r="A578">
        <v>576</v>
      </c>
      <c r="B578">
        <v>563</v>
      </c>
      <c r="C578">
        <v>564</v>
      </c>
      <c r="D578" t="s">
        <v>9</v>
      </c>
      <c r="E578" t="s">
        <v>9</v>
      </c>
      <c r="F578">
        <v>0</v>
      </c>
      <c r="G578">
        <v>0</v>
      </c>
      <c r="H578">
        <v>0</v>
      </c>
      <c r="I578">
        <f t="shared" si="8"/>
        <v>0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>
      <c r="A579">
        <v>577</v>
      </c>
      <c r="B579">
        <v>564</v>
      </c>
      <c r="C579">
        <v>565</v>
      </c>
      <c r="D579" t="s">
        <v>40</v>
      </c>
      <c r="E579" t="s">
        <v>40</v>
      </c>
      <c r="F579">
        <v>0</v>
      </c>
      <c r="G579">
        <v>0</v>
      </c>
      <c r="H579">
        <v>0</v>
      </c>
      <c r="I579">
        <f t="shared" ref="I579:I642" si="9">COUNTIF(G579:H579,"&gt;0.1")</f>
        <v>0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>
      <c r="A580">
        <v>578</v>
      </c>
      <c r="B580">
        <v>565</v>
      </c>
      <c r="C580">
        <v>566</v>
      </c>
      <c r="D580" t="s">
        <v>40</v>
      </c>
      <c r="E580" t="s">
        <v>40</v>
      </c>
      <c r="F580">
        <v>0</v>
      </c>
      <c r="G580">
        <v>0</v>
      </c>
      <c r="H580">
        <v>0</v>
      </c>
      <c r="I580">
        <f t="shared" si="9"/>
        <v>0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>
      <c r="A581">
        <v>579</v>
      </c>
      <c r="B581">
        <v>566</v>
      </c>
      <c r="C581">
        <v>567</v>
      </c>
      <c r="D581" t="s">
        <v>42</v>
      </c>
      <c r="E581" t="s">
        <v>42</v>
      </c>
      <c r="F581">
        <v>0</v>
      </c>
      <c r="G581">
        <v>0</v>
      </c>
      <c r="H581">
        <v>0</v>
      </c>
      <c r="I581">
        <f t="shared" si="9"/>
        <v>0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>
      <c r="A582">
        <v>580</v>
      </c>
      <c r="B582">
        <v>567</v>
      </c>
      <c r="C582">
        <v>568</v>
      </c>
      <c r="D582" t="s">
        <v>40</v>
      </c>
      <c r="E582" t="s">
        <v>40</v>
      </c>
      <c r="F582">
        <v>0</v>
      </c>
      <c r="G582">
        <v>0</v>
      </c>
      <c r="H582">
        <v>0</v>
      </c>
      <c r="I582">
        <f t="shared" si="9"/>
        <v>0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>
      <c r="A583">
        <v>581</v>
      </c>
      <c r="B583">
        <v>568</v>
      </c>
      <c r="C583">
        <v>569</v>
      </c>
      <c r="D583" t="s">
        <v>2</v>
      </c>
      <c r="E583" t="s">
        <v>2</v>
      </c>
      <c r="F583">
        <v>0</v>
      </c>
      <c r="G583">
        <v>0</v>
      </c>
      <c r="H583">
        <v>0</v>
      </c>
      <c r="I583">
        <f t="shared" si="9"/>
        <v>0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>
      <c r="A584">
        <v>582</v>
      </c>
      <c r="B584">
        <v>569</v>
      </c>
      <c r="C584">
        <v>570</v>
      </c>
      <c r="D584" t="s">
        <v>45</v>
      </c>
      <c r="E584" t="s">
        <v>45</v>
      </c>
      <c r="F584">
        <v>0</v>
      </c>
      <c r="G584">
        <v>0</v>
      </c>
      <c r="H584">
        <v>0</v>
      </c>
      <c r="I584">
        <f t="shared" si="9"/>
        <v>0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>
      <c r="A585">
        <v>583</v>
      </c>
      <c r="B585">
        <v>570</v>
      </c>
      <c r="C585">
        <v>571</v>
      </c>
      <c r="D585" t="s">
        <v>62</v>
      </c>
      <c r="E585" t="s">
        <v>62</v>
      </c>
      <c r="F585">
        <v>0</v>
      </c>
      <c r="G585">
        <v>0</v>
      </c>
      <c r="H585">
        <v>0</v>
      </c>
      <c r="I585">
        <f t="shared" si="9"/>
        <v>0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>
      <c r="A586">
        <v>584</v>
      </c>
      <c r="B586">
        <v>571</v>
      </c>
      <c r="C586">
        <v>572</v>
      </c>
      <c r="D586" t="s">
        <v>4</v>
      </c>
      <c r="E586" t="s">
        <v>4</v>
      </c>
      <c r="F586">
        <v>0</v>
      </c>
      <c r="G586">
        <v>0</v>
      </c>
      <c r="H586">
        <v>0</v>
      </c>
      <c r="I586">
        <f t="shared" si="9"/>
        <v>0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>
      <c r="A587">
        <v>585</v>
      </c>
      <c r="B587">
        <v>572</v>
      </c>
      <c r="C587">
        <v>573</v>
      </c>
      <c r="D587" t="s">
        <v>44</v>
      </c>
      <c r="E587" t="s">
        <v>44</v>
      </c>
      <c r="F587">
        <v>0</v>
      </c>
      <c r="G587">
        <v>0</v>
      </c>
      <c r="H587">
        <v>0</v>
      </c>
      <c r="I587">
        <f t="shared" si="9"/>
        <v>0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>
      <c r="A588">
        <v>586</v>
      </c>
      <c r="B588">
        <v>573</v>
      </c>
      <c r="C588">
        <v>574</v>
      </c>
      <c r="D588" t="s">
        <v>8</v>
      </c>
      <c r="E588" t="s">
        <v>8</v>
      </c>
      <c r="F588">
        <v>0</v>
      </c>
      <c r="G588">
        <v>0</v>
      </c>
      <c r="H588">
        <v>0</v>
      </c>
      <c r="I588">
        <f t="shared" si="9"/>
        <v>0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>
      <c r="A589">
        <v>587</v>
      </c>
      <c r="B589">
        <v>574</v>
      </c>
      <c r="C589">
        <v>575</v>
      </c>
      <c r="D589" t="s">
        <v>42</v>
      </c>
      <c r="E589" t="s">
        <v>42</v>
      </c>
      <c r="F589">
        <v>0</v>
      </c>
      <c r="G589">
        <v>0</v>
      </c>
      <c r="H589">
        <v>0</v>
      </c>
      <c r="I589">
        <f t="shared" si="9"/>
        <v>0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>
      <c r="A590">
        <v>588</v>
      </c>
      <c r="B590">
        <v>575</v>
      </c>
      <c r="C590">
        <v>576</v>
      </c>
      <c r="D590" t="s">
        <v>40</v>
      </c>
      <c r="E590" t="s">
        <v>40</v>
      </c>
      <c r="F590">
        <v>0</v>
      </c>
      <c r="G590">
        <v>0</v>
      </c>
      <c r="H590">
        <v>0</v>
      </c>
      <c r="I590">
        <f t="shared" si="9"/>
        <v>0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>
      <c r="A591">
        <v>589</v>
      </c>
      <c r="B591">
        <v>576</v>
      </c>
      <c r="C591">
        <v>577</v>
      </c>
      <c r="D591" t="s">
        <v>42</v>
      </c>
      <c r="E591" t="s">
        <v>42</v>
      </c>
      <c r="F591">
        <v>0</v>
      </c>
      <c r="G591">
        <v>0</v>
      </c>
      <c r="H591">
        <v>0</v>
      </c>
      <c r="I591">
        <f t="shared" si="9"/>
        <v>0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>
      <c r="A592">
        <v>590</v>
      </c>
      <c r="B592">
        <v>577</v>
      </c>
      <c r="C592">
        <v>578</v>
      </c>
      <c r="D592" t="s">
        <v>1</v>
      </c>
      <c r="E592" t="s">
        <v>1</v>
      </c>
      <c r="F592">
        <v>0</v>
      </c>
      <c r="G592">
        <v>0</v>
      </c>
      <c r="H592">
        <v>0</v>
      </c>
      <c r="I592">
        <f t="shared" si="9"/>
        <v>0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>
      <c r="A593">
        <v>591</v>
      </c>
      <c r="B593">
        <v>578</v>
      </c>
      <c r="C593">
        <v>579</v>
      </c>
      <c r="D593" t="s">
        <v>10</v>
      </c>
      <c r="E593" t="s">
        <v>10</v>
      </c>
      <c r="F593">
        <v>0</v>
      </c>
      <c r="G593">
        <v>0</v>
      </c>
      <c r="H593">
        <v>0</v>
      </c>
      <c r="I593">
        <f t="shared" si="9"/>
        <v>0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>
      <c r="A594">
        <v>592</v>
      </c>
      <c r="B594">
        <v>579</v>
      </c>
      <c r="C594">
        <v>580</v>
      </c>
      <c r="D594" t="s">
        <v>45</v>
      </c>
      <c r="E594" t="s">
        <v>44</v>
      </c>
      <c r="F594">
        <v>0</v>
      </c>
      <c r="G594">
        <v>0</v>
      </c>
      <c r="H594">
        <v>0</v>
      </c>
      <c r="I594">
        <f t="shared" si="9"/>
        <v>0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>
      <c r="A595">
        <v>593</v>
      </c>
      <c r="B595">
        <v>580</v>
      </c>
      <c r="C595">
        <v>581</v>
      </c>
      <c r="D595" t="s">
        <v>40</v>
      </c>
      <c r="E595" t="s">
        <v>40</v>
      </c>
      <c r="F595">
        <v>0</v>
      </c>
      <c r="G595">
        <v>0</v>
      </c>
      <c r="H595">
        <v>0</v>
      </c>
      <c r="I595">
        <f t="shared" si="9"/>
        <v>0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>
      <c r="A596">
        <v>594</v>
      </c>
      <c r="B596">
        <v>581</v>
      </c>
      <c r="C596">
        <v>582</v>
      </c>
      <c r="D596" t="s">
        <v>1</v>
      </c>
      <c r="E596" t="s">
        <v>1</v>
      </c>
      <c r="F596">
        <v>0</v>
      </c>
      <c r="G596">
        <v>0</v>
      </c>
      <c r="H596">
        <v>0</v>
      </c>
      <c r="I596">
        <f t="shared" si="9"/>
        <v>0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>
      <c r="A597">
        <v>595</v>
      </c>
      <c r="B597">
        <v>582</v>
      </c>
      <c r="C597">
        <v>583</v>
      </c>
      <c r="D597" t="s">
        <v>41</v>
      </c>
      <c r="E597" t="s">
        <v>45</v>
      </c>
      <c r="F597">
        <v>0</v>
      </c>
      <c r="G597">
        <v>0</v>
      </c>
      <c r="H597">
        <v>0</v>
      </c>
      <c r="I597">
        <f t="shared" si="9"/>
        <v>0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>
      <c r="A598">
        <v>596</v>
      </c>
      <c r="B598">
        <v>583</v>
      </c>
      <c r="C598">
        <v>584</v>
      </c>
      <c r="D598" t="s">
        <v>6</v>
      </c>
      <c r="E598" t="s">
        <v>6</v>
      </c>
      <c r="F598">
        <v>0</v>
      </c>
      <c r="G598">
        <v>0</v>
      </c>
      <c r="H598">
        <v>0</v>
      </c>
      <c r="I598">
        <f t="shared" si="9"/>
        <v>0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>
      <c r="A599">
        <v>597</v>
      </c>
      <c r="B599">
        <v>584</v>
      </c>
      <c r="C599">
        <v>585</v>
      </c>
      <c r="D599" t="s">
        <v>7</v>
      </c>
      <c r="E599" t="s">
        <v>10</v>
      </c>
      <c r="F599">
        <v>0</v>
      </c>
      <c r="G599">
        <v>0</v>
      </c>
      <c r="H599">
        <v>0</v>
      </c>
      <c r="I599">
        <f t="shared" si="9"/>
        <v>0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>
      <c r="A600">
        <v>598</v>
      </c>
      <c r="B600">
        <v>585</v>
      </c>
      <c r="C600">
        <v>586</v>
      </c>
      <c r="D600" t="s">
        <v>61</v>
      </c>
      <c r="E600" t="s">
        <v>61</v>
      </c>
      <c r="F600">
        <v>0</v>
      </c>
      <c r="G600">
        <v>0</v>
      </c>
      <c r="H600">
        <v>0</v>
      </c>
      <c r="I600">
        <f t="shared" si="9"/>
        <v>0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>
      <c r="A601">
        <v>599</v>
      </c>
      <c r="B601">
        <v>586</v>
      </c>
      <c r="C601">
        <v>587</v>
      </c>
      <c r="D601" t="s">
        <v>40</v>
      </c>
      <c r="E601" t="s">
        <v>40</v>
      </c>
      <c r="F601">
        <v>0</v>
      </c>
      <c r="G601">
        <v>0</v>
      </c>
      <c r="H601">
        <v>0</v>
      </c>
      <c r="I601">
        <f t="shared" si="9"/>
        <v>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>
      <c r="A602">
        <v>600</v>
      </c>
      <c r="B602">
        <v>587</v>
      </c>
      <c r="C602">
        <v>588</v>
      </c>
      <c r="D602" t="s">
        <v>8</v>
      </c>
      <c r="E602" t="s">
        <v>8</v>
      </c>
      <c r="F602">
        <v>0</v>
      </c>
      <c r="G602">
        <v>0</v>
      </c>
      <c r="H602">
        <v>0</v>
      </c>
      <c r="I602">
        <f t="shared" si="9"/>
        <v>0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>
      <c r="A603">
        <v>601</v>
      </c>
      <c r="B603">
        <v>588</v>
      </c>
      <c r="C603">
        <v>589</v>
      </c>
      <c r="D603" t="s">
        <v>5</v>
      </c>
      <c r="E603" t="s">
        <v>5</v>
      </c>
      <c r="F603">
        <v>0</v>
      </c>
      <c r="G603">
        <v>0</v>
      </c>
      <c r="H603">
        <v>0</v>
      </c>
      <c r="I603">
        <f t="shared" si="9"/>
        <v>0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>
      <c r="A604">
        <v>602</v>
      </c>
      <c r="B604">
        <v>589</v>
      </c>
      <c r="C604">
        <v>590</v>
      </c>
      <c r="D604" t="s">
        <v>42</v>
      </c>
      <c r="E604" t="s">
        <v>42</v>
      </c>
      <c r="F604">
        <v>0</v>
      </c>
      <c r="G604">
        <v>0</v>
      </c>
      <c r="H604">
        <v>0</v>
      </c>
      <c r="I604">
        <f t="shared" si="9"/>
        <v>0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>
      <c r="A605">
        <v>603</v>
      </c>
      <c r="B605">
        <v>590</v>
      </c>
      <c r="C605">
        <v>591</v>
      </c>
      <c r="D605" t="s">
        <v>42</v>
      </c>
      <c r="E605" t="s">
        <v>42</v>
      </c>
      <c r="F605">
        <v>0</v>
      </c>
      <c r="G605">
        <v>0</v>
      </c>
      <c r="H605">
        <v>0</v>
      </c>
      <c r="I605">
        <f t="shared" si="9"/>
        <v>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>
      <c r="A606">
        <v>604</v>
      </c>
      <c r="B606">
        <v>591</v>
      </c>
      <c r="C606">
        <v>592</v>
      </c>
      <c r="D606" t="s">
        <v>40</v>
      </c>
      <c r="E606" t="s">
        <v>40</v>
      </c>
      <c r="F606">
        <v>0</v>
      </c>
      <c r="G606">
        <v>0</v>
      </c>
      <c r="H606">
        <v>0</v>
      </c>
      <c r="I606">
        <f t="shared" si="9"/>
        <v>0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>
      <c r="A607">
        <v>605</v>
      </c>
      <c r="B607">
        <v>592</v>
      </c>
      <c r="C607">
        <v>593</v>
      </c>
      <c r="D607" t="s">
        <v>40</v>
      </c>
      <c r="E607" t="s">
        <v>40</v>
      </c>
      <c r="F607">
        <v>0</v>
      </c>
      <c r="G607">
        <v>0</v>
      </c>
      <c r="H607">
        <v>0</v>
      </c>
      <c r="I607">
        <f t="shared" si="9"/>
        <v>0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>
      <c r="A608">
        <v>606</v>
      </c>
      <c r="B608">
        <v>593</v>
      </c>
      <c r="C608">
        <v>594</v>
      </c>
      <c r="D608" t="s">
        <v>4</v>
      </c>
      <c r="E608" t="s">
        <v>4</v>
      </c>
      <c r="F608">
        <v>0</v>
      </c>
      <c r="G608">
        <v>0</v>
      </c>
      <c r="H608">
        <v>0</v>
      </c>
      <c r="I608">
        <f t="shared" si="9"/>
        <v>0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>
      <c r="A609">
        <v>607</v>
      </c>
      <c r="B609">
        <v>594</v>
      </c>
      <c r="C609">
        <v>595</v>
      </c>
      <c r="D609" t="s">
        <v>44</v>
      </c>
      <c r="E609" t="s">
        <v>44</v>
      </c>
      <c r="F609">
        <v>0</v>
      </c>
      <c r="G609">
        <v>0</v>
      </c>
      <c r="H609">
        <v>0</v>
      </c>
      <c r="I609">
        <f t="shared" si="9"/>
        <v>0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>
      <c r="A610">
        <v>608</v>
      </c>
      <c r="B610">
        <v>595</v>
      </c>
      <c r="C610">
        <v>596</v>
      </c>
      <c r="D610" t="s">
        <v>62</v>
      </c>
      <c r="E610" t="s">
        <v>62</v>
      </c>
      <c r="F610">
        <v>0</v>
      </c>
      <c r="G610">
        <v>0</v>
      </c>
      <c r="H610">
        <v>0</v>
      </c>
      <c r="I610">
        <f t="shared" si="9"/>
        <v>0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>
      <c r="A611">
        <v>609</v>
      </c>
      <c r="B611">
        <v>596</v>
      </c>
      <c r="C611">
        <v>597</v>
      </c>
      <c r="D611" t="s">
        <v>4</v>
      </c>
      <c r="E611" t="s">
        <v>4</v>
      </c>
      <c r="F611">
        <v>0</v>
      </c>
      <c r="G611">
        <v>0</v>
      </c>
      <c r="H611">
        <v>0</v>
      </c>
      <c r="I611">
        <f t="shared" si="9"/>
        <v>0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>
      <c r="A612">
        <v>610</v>
      </c>
      <c r="B612">
        <v>597</v>
      </c>
      <c r="C612">
        <v>598</v>
      </c>
      <c r="D612" t="s">
        <v>48</v>
      </c>
      <c r="E612" t="s">
        <v>48</v>
      </c>
      <c r="F612">
        <v>0</v>
      </c>
      <c r="G612">
        <v>0</v>
      </c>
      <c r="H612">
        <v>0</v>
      </c>
      <c r="I612">
        <f t="shared" si="9"/>
        <v>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>
      <c r="A613">
        <v>611</v>
      </c>
      <c r="B613">
        <v>598</v>
      </c>
      <c r="C613">
        <v>599</v>
      </c>
      <c r="D613" t="s">
        <v>7</v>
      </c>
      <c r="E613" t="s">
        <v>7</v>
      </c>
      <c r="F613">
        <v>0</v>
      </c>
      <c r="G613">
        <v>0</v>
      </c>
      <c r="H613">
        <v>0</v>
      </c>
      <c r="I613">
        <f t="shared" si="9"/>
        <v>0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>
      <c r="A614">
        <v>612</v>
      </c>
      <c r="B614">
        <v>599</v>
      </c>
      <c r="C614">
        <v>600</v>
      </c>
      <c r="D614" t="s">
        <v>4</v>
      </c>
      <c r="E614" t="s">
        <v>4</v>
      </c>
      <c r="F614">
        <v>0</v>
      </c>
      <c r="G614">
        <v>0</v>
      </c>
      <c r="H614">
        <v>0</v>
      </c>
      <c r="I614">
        <f t="shared" si="9"/>
        <v>0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>
      <c r="A615">
        <v>613</v>
      </c>
      <c r="B615">
        <v>600</v>
      </c>
      <c r="C615">
        <v>601</v>
      </c>
      <c r="D615" t="s">
        <v>8</v>
      </c>
      <c r="E615" t="s">
        <v>8</v>
      </c>
      <c r="F615">
        <v>0</v>
      </c>
      <c r="G615">
        <v>0</v>
      </c>
      <c r="H615">
        <v>0</v>
      </c>
      <c r="I615">
        <f t="shared" si="9"/>
        <v>0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>
      <c r="A616">
        <v>614</v>
      </c>
      <c r="B616">
        <v>601</v>
      </c>
      <c r="C616">
        <v>602</v>
      </c>
      <c r="D616" t="s">
        <v>40</v>
      </c>
      <c r="E616" t="s">
        <v>40</v>
      </c>
      <c r="F616">
        <v>0</v>
      </c>
      <c r="G616">
        <v>0</v>
      </c>
      <c r="H616">
        <v>0</v>
      </c>
      <c r="I616">
        <f t="shared" si="9"/>
        <v>0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>
      <c r="A617">
        <v>615</v>
      </c>
      <c r="B617">
        <v>602</v>
      </c>
      <c r="C617">
        <v>603</v>
      </c>
      <c r="D617" t="s">
        <v>44</v>
      </c>
      <c r="E617" t="s">
        <v>44</v>
      </c>
      <c r="F617">
        <v>0</v>
      </c>
      <c r="G617">
        <v>0</v>
      </c>
      <c r="H617">
        <v>0</v>
      </c>
      <c r="I617">
        <f t="shared" si="9"/>
        <v>0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>
      <c r="A618">
        <v>616</v>
      </c>
      <c r="B618">
        <v>603</v>
      </c>
      <c r="C618">
        <v>604</v>
      </c>
      <c r="D618" t="s">
        <v>48</v>
      </c>
      <c r="E618" t="s">
        <v>48</v>
      </c>
      <c r="F618">
        <v>0</v>
      </c>
      <c r="G618">
        <v>0</v>
      </c>
      <c r="H618">
        <v>0</v>
      </c>
      <c r="I618">
        <f t="shared" si="9"/>
        <v>0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>
      <c r="A619">
        <v>617</v>
      </c>
      <c r="B619">
        <v>604</v>
      </c>
      <c r="C619">
        <v>605</v>
      </c>
      <c r="D619" t="s">
        <v>2</v>
      </c>
      <c r="E619" t="s">
        <v>2</v>
      </c>
      <c r="F619">
        <v>0</v>
      </c>
      <c r="G619">
        <v>0</v>
      </c>
      <c r="H619">
        <v>0</v>
      </c>
      <c r="I619">
        <f t="shared" si="9"/>
        <v>0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>
      <c r="A620">
        <v>618</v>
      </c>
      <c r="B620">
        <v>605</v>
      </c>
      <c r="C620">
        <v>606</v>
      </c>
      <c r="D620" t="s">
        <v>2</v>
      </c>
      <c r="E620" t="s">
        <v>2</v>
      </c>
      <c r="F620">
        <v>0</v>
      </c>
      <c r="G620">
        <v>0</v>
      </c>
      <c r="H620">
        <v>0</v>
      </c>
      <c r="I620">
        <f t="shared" si="9"/>
        <v>0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>
      <c r="A621">
        <v>619</v>
      </c>
      <c r="B621">
        <v>606</v>
      </c>
      <c r="C621">
        <v>607</v>
      </c>
      <c r="D621" t="s">
        <v>2</v>
      </c>
      <c r="E621" t="s">
        <v>1</v>
      </c>
      <c r="F621">
        <v>0</v>
      </c>
      <c r="G621">
        <v>0</v>
      </c>
      <c r="H621">
        <v>0</v>
      </c>
      <c r="I621">
        <f t="shared" si="9"/>
        <v>0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>
      <c r="A622">
        <v>620</v>
      </c>
      <c r="B622">
        <v>607</v>
      </c>
      <c r="C622">
        <v>608</v>
      </c>
      <c r="D622" t="s">
        <v>45</v>
      </c>
      <c r="E622" t="s">
        <v>45</v>
      </c>
      <c r="F622">
        <v>0</v>
      </c>
      <c r="G622">
        <v>0</v>
      </c>
      <c r="H622">
        <v>0</v>
      </c>
      <c r="I622">
        <f t="shared" si="9"/>
        <v>0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>
      <c r="A623">
        <v>621</v>
      </c>
      <c r="B623">
        <v>608</v>
      </c>
      <c r="C623">
        <v>609</v>
      </c>
      <c r="D623" t="s">
        <v>43</v>
      </c>
      <c r="E623" t="s">
        <v>43</v>
      </c>
      <c r="F623">
        <v>0</v>
      </c>
      <c r="G623">
        <v>0</v>
      </c>
      <c r="H623">
        <v>0</v>
      </c>
      <c r="I623">
        <f t="shared" si="9"/>
        <v>0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>
      <c r="A624">
        <v>622</v>
      </c>
      <c r="B624">
        <v>609</v>
      </c>
      <c r="C624">
        <v>610</v>
      </c>
      <c r="D624" t="s">
        <v>62</v>
      </c>
      <c r="E624" t="s">
        <v>62</v>
      </c>
      <c r="F624">
        <v>0</v>
      </c>
      <c r="G624">
        <v>0</v>
      </c>
      <c r="H624">
        <v>0</v>
      </c>
      <c r="I624">
        <f t="shared" si="9"/>
        <v>0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>
      <c r="A625">
        <v>623</v>
      </c>
      <c r="B625">
        <v>610</v>
      </c>
      <c r="C625">
        <v>611</v>
      </c>
      <c r="D625" t="s">
        <v>3</v>
      </c>
      <c r="E625" t="s">
        <v>3</v>
      </c>
      <c r="F625">
        <v>0</v>
      </c>
      <c r="G625">
        <v>0</v>
      </c>
      <c r="H625">
        <v>0</v>
      </c>
      <c r="I625">
        <f t="shared" si="9"/>
        <v>0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>
      <c r="A626">
        <v>624</v>
      </c>
      <c r="B626">
        <v>611</v>
      </c>
      <c r="C626">
        <v>612</v>
      </c>
      <c r="D626" t="s">
        <v>2</v>
      </c>
      <c r="E626" t="s">
        <v>1</v>
      </c>
      <c r="F626">
        <v>0</v>
      </c>
      <c r="G626">
        <v>0</v>
      </c>
      <c r="H626">
        <v>0</v>
      </c>
      <c r="I626">
        <f t="shared" si="9"/>
        <v>0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>
      <c r="A627">
        <v>625</v>
      </c>
      <c r="B627">
        <v>612</v>
      </c>
      <c r="C627">
        <v>613</v>
      </c>
      <c r="D627" t="s">
        <v>7</v>
      </c>
      <c r="E627" t="s">
        <v>7</v>
      </c>
      <c r="F627">
        <v>0</v>
      </c>
      <c r="G627">
        <v>0</v>
      </c>
      <c r="H627">
        <v>0</v>
      </c>
      <c r="I627">
        <f t="shared" si="9"/>
        <v>0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>
      <c r="A628">
        <v>626</v>
      </c>
      <c r="B628">
        <v>613</v>
      </c>
      <c r="C628">
        <v>614</v>
      </c>
      <c r="D628" t="s">
        <v>62</v>
      </c>
      <c r="E628" t="s">
        <v>62</v>
      </c>
      <c r="F628">
        <v>0</v>
      </c>
      <c r="G628">
        <v>0</v>
      </c>
      <c r="H628">
        <v>0</v>
      </c>
      <c r="I628">
        <f t="shared" si="9"/>
        <v>0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>
      <c r="A629">
        <v>627</v>
      </c>
      <c r="B629">
        <v>614</v>
      </c>
      <c r="C629">
        <v>615</v>
      </c>
      <c r="D629" t="s">
        <v>7</v>
      </c>
      <c r="E629" t="s">
        <v>7</v>
      </c>
      <c r="F629">
        <v>0</v>
      </c>
      <c r="G629">
        <v>0</v>
      </c>
      <c r="H629">
        <v>0</v>
      </c>
      <c r="I629">
        <f t="shared" si="9"/>
        <v>0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>
      <c r="A630">
        <v>628</v>
      </c>
      <c r="B630">
        <v>615</v>
      </c>
      <c r="C630">
        <v>616</v>
      </c>
      <c r="D630" t="s">
        <v>3</v>
      </c>
      <c r="E630" t="s">
        <v>3</v>
      </c>
      <c r="F630">
        <v>0</v>
      </c>
      <c r="G630">
        <v>0</v>
      </c>
      <c r="H630">
        <v>0</v>
      </c>
      <c r="I630">
        <f t="shared" si="9"/>
        <v>0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>
      <c r="A631">
        <v>629</v>
      </c>
      <c r="B631">
        <v>616</v>
      </c>
      <c r="C631">
        <v>617</v>
      </c>
      <c r="D631" t="s">
        <v>8</v>
      </c>
      <c r="E631" t="s">
        <v>8</v>
      </c>
      <c r="F631">
        <v>0</v>
      </c>
      <c r="G631">
        <v>0</v>
      </c>
      <c r="H631">
        <v>0</v>
      </c>
      <c r="I631">
        <f t="shared" si="9"/>
        <v>0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>
      <c r="A632">
        <v>630</v>
      </c>
      <c r="B632">
        <v>617</v>
      </c>
      <c r="C632">
        <v>618</v>
      </c>
      <c r="D632" t="s">
        <v>7</v>
      </c>
      <c r="E632" t="s">
        <v>7</v>
      </c>
      <c r="F632">
        <v>0</v>
      </c>
      <c r="G632">
        <v>0</v>
      </c>
      <c r="H632">
        <v>0</v>
      </c>
      <c r="I632">
        <f t="shared" si="9"/>
        <v>0</v>
      </c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>
      <c r="A633">
        <v>631</v>
      </c>
      <c r="B633">
        <v>618</v>
      </c>
      <c r="C633">
        <v>619</v>
      </c>
      <c r="D633" t="s">
        <v>40</v>
      </c>
      <c r="E633" t="s">
        <v>40</v>
      </c>
      <c r="F633">
        <v>0</v>
      </c>
      <c r="G633">
        <v>0</v>
      </c>
      <c r="H633">
        <v>0</v>
      </c>
      <c r="I633">
        <f t="shared" si="9"/>
        <v>0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>
      <c r="A634">
        <v>632</v>
      </c>
      <c r="B634">
        <v>619</v>
      </c>
      <c r="C634">
        <v>620</v>
      </c>
      <c r="D634" t="s">
        <v>5</v>
      </c>
      <c r="E634" t="s">
        <v>6</v>
      </c>
      <c r="F634">
        <v>0</v>
      </c>
      <c r="G634">
        <v>0</v>
      </c>
      <c r="H634">
        <v>0</v>
      </c>
      <c r="I634">
        <f t="shared" si="9"/>
        <v>0</v>
      </c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>
      <c r="A635">
        <v>633</v>
      </c>
      <c r="B635">
        <v>620</v>
      </c>
      <c r="C635">
        <v>621</v>
      </c>
      <c r="D635" t="s">
        <v>42</v>
      </c>
      <c r="E635" t="s">
        <v>42</v>
      </c>
      <c r="F635">
        <v>0</v>
      </c>
      <c r="G635">
        <v>0</v>
      </c>
      <c r="H635">
        <v>0</v>
      </c>
      <c r="I635">
        <f t="shared" si="9"/>
        <v>0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>
      <c r="A636">
        <v>634</v>
      </c>
      <c r="B636">
        <v>621</v>
      </c>
      <c r="C636">
        <v>622</v>
      </c>
      <c r="D636" t="s">
        <v>44</v>
      </c>
      <c r="E636" t="s">
        <v>44</v>
      </c>
      <c r="F636">
        <v>0</v>
      </c>
      <c r="G636">
        <v>0</v>
      </c>
      <c r="H636">
        <v>0</v>
      </c>
      <c r="I636">
        <f t="shared" si="9"/>
        <v>0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>
      <c r="A637">
        <v>635</v>
      </c>
      <c r="B637">
        <v>622</v>
      </c>
      <c r="C637">
        <v>623</v>
      </c>
      <c r="D637" t="s">
        <v>62</v>
      </c>
      <c r="E637" t="s">
        <v>62</v>
      </c>
      <c r="F637">
        <v>0</v>
      </c>
      <c r="G637">
        <v>0</v>
      </c>
      <c r="H637">
        <v>0</v>
      </c>
      <c r="I637">
        <f t="shared" si="9"/>
        <v>0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>
      <c r="A638">
        <v>636</v>
      </c>
      <c r="B638">
        <v>623</v>
      </c>
      <c r="C638">
        <v>624</v>
      </c>
      <c r="D638" t="s">
        <v>3</v>
      </c>
      <c r="E638" t="s">
        <v>3</v>
      </c>
      <c r="F638">
        <v>0</v>
      </c>
      <c r="G638">
        <v>0</v>
      </c>
      <c r="H638">
        <v>0</v>
      </c>
      <c r="I638">
        <f t="shared" si="9"/>
        <v>0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>
      <c r="A639">
        <v>637</v>
      </c>
      <c r="B639">
        <v>624</v>
      </c>
      <c r="C639">
        <v>625</v>
      </c>
      <c r="D639" t="s">
        <v>3</v>
      </c>
      <c r="E639" t="s">
        <v>9</v>
      </c>
      <c r="F639">
        <v>0</v>
      </c>
      <c r="G639">
        <v>0</v>
      </c>
      <c r="H639">
        <v>0</v>
      </c>
      <c r="I639">
        <f t="shared" si="9"/>
        <v>0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>
      <c r="A640">
        <v>638</v>
      </c>
      <c r="B640">
        <v>625</v>
      </c>
      <c r="C640">
        <v>626</v>
      </c>
      <c r="D640" t="s">
        <v>41</v>
      </c>
      <c r="E640" t="s">
        <v>2</v>
      </c>
      <c r="F640">
        <v>0</v>
      </c>
      <c r="G640">
        <v>0</v>
      </c>
      <c r="H640">
        <v>0</v>
      </c>
      <c r="I640">
        <f t="shared" si="9"/>
        <v>0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>
      <c r="A641">
        <v>639</v>
      </c>
      <c r="B641">
        <v>626</v>
      </c>
      <c r="C641">
        <v>627</v>
      </c>
      <c r="D641" t="s">
        <v>2</v>
      </c>
      <c r="E641" t="s">
        <v>2</v>
      </c>
      <c r="F641">
        <v>0</v>
      </c>
      <c r="G641">
        <v>0</v>
      </c>
      <c r="H641">
        <v>0</v>
      </c>
      <c r="I641">
        <f t="shared" si="9"/>
        <v>0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>
      <c r="A642">
        <v>640</v>
      </c>
      <c r="B642">
        <v>627</v>
      </c>
      <c r="C642">
        <v>628</v>
      </c>
      <c r="D642" t="s">
        <v>62</v>
      </c>
      <c r="E642" t="s">
        <v>62</v>
      </c>
      <c r="F642">
        <v>0</v>
      </c>
      <c r="G642">
        <v>0</v>
      </c>
      <c r="H642">
        <v>0</v>
      </c>
      <c r="I642">
        <f t="shared" si="9"/>
        <v>0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>
      <c r="A643">
        <v>641</v>
      </c>
      <c r="B643">
        <v>628</v>
      </c>
      <c r="C643">
        <v>629</v>
      </c>
      <c r="D643" t="s">
        <v>10</v>
      </c>
      <c r="E643" t="s">
        <v>41</v>
      </c>
      <c r="F643">
        <v>0</v>
      </c>
      <c r="G643">
        <v>0</v>
      </c>
      <c r="H643">
        <v>0</v>
      </c>
      <c r="I643">
        <f t="shared" ref="I643:I706" si="10">COUNTIF(G643:H643,"&gt;0.1")</f>
        <v>0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>
      <c r="A644">
        <v>642</v>
      </c>
      <c r="B644">
        <v>629</v>
      </c>
      <c r="C644">
        <v>630</v>
      </c>
      <c r="D644" t="s">
        <v>6</v>
      </c>
      <c r="E644" t="s">
        <v>6</v>
      </c>
      <c r="F644">
        <v>0</v>
      </c>
      <c r="G644">
        <v>0</v>
      </c>
      <c r="H644">
        <v>0</v>
      </c>
      <c r="I644">
        <f t="shared" si="10"/>
        <v>0</v>
      </c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>
      <c r="A645">
        <v>643</v>
      </c>
      <c r="B645">
        <v>630</v>
      </c>
      <c r="C645">
        <v>631</v>
      </c>
      <c r="D645" t="s">
        <v>62</v>
      </c>
      <c r="E645" t="s">
        <v>62</v>
      </c>
      <c r="F645">
        <v>0</v>
      </c>
      <c r="G645">
        <v>0</v>
      </c>
      <c r="H645">
        <v>0</v>
      </c>
      <c r="I645">
        <f t="shared" si="10"/>
        <v>0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>
      <c r="A646">
        <v>644</v>
      </c>
      <c r="B646">
        <v>631</v>
      </c>
      <c r="C646">
        <v>632</v>
      </c>
      <c r="D646" t="s">
        <v>6</v>
      </c>
      <c r="E646" t="s">
        <v>5</v>
      </c>
      <c r="F646">
        <v>0</v>
      </c>
      <c r="G646">
        <v>0</v>
      </c>
      <c r="H646">
        <v>0</v>
      </c>
      <c r="I646">
        <f t="shared" si="10"/>
        <v>0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>
      <c r="A647">
        <v>645</v>
      </c>
      <c r="B647">
        <v>632</v>
      </c>
      <c r="C647">
        <v>633</v>
      </c>
      <c r="D647" t="s">
        <v>8</v>
      </c>
      <c r="E647" t="s">
        <v>10</v>
      </c>
      <c r="F647">
        <v>0</v>
      </c>
      <c r="G647">
        <v>0</v>
      </c>
      <c r="H647">
        <v>0</v>
      </c>
      <c r="I647">
        <f t="shared" si="10"/>
        <v>0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>
      <c r="A648">
        <v>646</v>
      </c>
      <c r="B648">
        <v>633</v>
      </c>
      <c r="C648">
        <v>634</v>
      </c>
      <c r="D648" t="s">
        <v>6</v>
      </c>
      <c r="E648" t="s">
        <v>6</v>
      </c>
      <c r="F648">
        <v>0</v>
      </c>
      <c r="G648">
        <v>0</v>
      </c>
      <c r="H648">
        <v>0</v>
      </c>
      <c r="I648">
        <f t="shared" si="10"/>
        <v>0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>
      <c r="A649">
        <v>647</v>
      </c>
      <c r="B649">
        <v>634</v>
      </c>
      <c r="C649">
        <v>635</v>
      </c>
      <c r="D649" t="s">
        <v>44</v>
      </c>
      <c r="E649" t="s">
        <v>44</v>
      </c>
      <c r="F649">
        <v>0</v>
      </c>
      <c r="G649">
        <v>0</v>
      </c>
      <c r="H649">
        <v>0</v>
      </c>
      <c r="I649">
        <f t="shared" si="10"/>
        <v>0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>
      <c r="A650">
        <v>648</v>
      </c>
      <c r="B650">
        <v>635</v>
      </c>
      <c r="C650">
        <v>636</v>
      </c>
      <c r="D650" t="s">
        <v>5</v>
      </c>
      <c r="E650" t="s">
        <v>3</v>
      </c>
      <c r="F650">
        <v>0</v>
      </c>
      <c r="G650">
        <v>0</v>
      </c>
      <c r="H650">
        <v>0</v>
      </c>
      <c r="I650">
        <f t="shared" si="10"/>
        <v>0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>
      <c r="A651">
        <v>649</v>
      </c>
      <c r="B651">
        <v>636</v>
      </c>
      <c r="C651">
        <v>637</v>
      </c>
      <c r="D651" t="s">
        <v>3</v>
      </c>
      <c r="E651" t="s">
        <v>3</v>
      </c>
      <c r="F651">
        <v>0</v>
      </c>
      <c r="G651">
        <v>0</v>
      </c>
      <c r="H651">
        <v>0</v>
      </c>
      <c r="I651">
        <f t="shared" si="10"/>
        <v>0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>
      <c r="A652">
        <v>650</v>
      </c>
      <c r="B652">
        <v>637</v>
      </c>
      <c r="C652">
        <v>638</v>
      </c>
      <c r="D652" t="s">
        <v>61</v>
      </c>
      <c r="E652" t="s">
        <v>61</v>
      </c>
      <c r="F652">
        <v>0</v>
      </c>
      <c r="G652">
        <v>0</v>
      </c>
      <c r="H652">
        <v>0</v>
      </c>
      <c r="I652">
        <f t="shared" si="10"/>
        <v>0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>
      <c r="A653">
        <v>651</v>
      </c>
      <c r="B653">
        <v>638</v>
      </c>
      <c r="C653">
        <v>639</v>
      </c>
      <c r="D653" t="s">
        <v>2</v>
      </c>
      <c r="E653" t="s">
        <v>2</v>
      </c>
      <c r="F653">
        <v>0</v>
      </c>
      <c r="G653">
        <v>0</v>
      </c>
      <c r="H653">
        <v>0</v>
      </c>
      <c r="I653">
        <f t="shared" si="10"/>
        <v>0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>
      <c r="A654">
        <v>652</v>
      </c>
      <c r="B654">
        <v>639</v>
      </c>
      <c r="C654">
        <v>640</v>
      </c>
      <c r="D654" t="s">
        <v>5</v>
      </c>
      <c r="E654" t="s">
        <v>7</v>
      </c>
      <c r="F654">
        <v>0</v>
      </c>
      <c r="G654">
        <v>0</v>
      </c>
      <c r="H654">
        <v>0</v>
      </c>
      <c r="I654">
        <f t="shared" si="10"/>
        <v>0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>
      <c r="A655">
        <v>653</v>
      </c>
      <c r="B655">
        <v>640</v>
      </c>
      <c r="C655">
        <v>641</v>
      </c>
      <c r="D655" t="s">
        <v>40</v>
      </c>
      <c r="E655" t="s">
        <v>40</v>
      </c>
      <c r="F655">
        <v>0</v>
      </c>
      <c r="G655">
        <v>0</v>
      </c>
      <c r="H655">
        <v>0</v>
      </c>
      <c r="I655">
        <f t="shared" si="10"/>
        <v>0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>
      <c r="A656">
        <v>654</v>
      </c>
      <c r="B656">
        <v>641</v>
      </c>
      <c r="C656">
        <v>642</v>
      </c>
      <c r="D656" t="s">
        <v>44</v>
      </c>
      <c r="E656" t="s">
        <v>44</v>
      </c>
      <c r="F656">
        <v>0</v>
      </c>
      <c r="G656">
        <v>0</v>
      </c>
      <c r="H656">
        <v>0</v>
      </c>
      <c r="I656">
        <f t="shared" si="10"/>
        <v>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>
      <c r="A657">
        <v>655</v>
      </c>
      <c r="B657">
        <v>642</v>
      </c>
      <c r="C657">
        <v>643</v>
      </c>
      <c r="D657" t="s">
        <v>61</v>
      </c>
      <c r="E657" t="s">
        <v>9</v>
      </c>
      <c r="F657">
        <v>0</v>
      </c>
      <c r="G657">
        <v>0</v>
      </c>
      <c r="H657">
        <v>0</v>
      </c>
      <c r="I657">
        <f t="shared" si="10"/>
        <v>0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>
      <c r="A658">
        <v>656</v>
      </c>
      <c r="B658">
        <v>643</v>
      </c>
      <c r="C658">
        <v>644</v>
      </c>
      <c r="D658" t="s">
        <v>2</v>
      </c>
      <c r="E658" t="s">
        <v>7</v>
      </c>
      <c r="F658">
        <v>0</v>
      </c>
      <c r="G658">
        <v>0</v>
      </c>
      <c r="H658">
        <v>0</v>
      </c>
      <c r="I658">
        <f t="shared" si="10"/>
        <v>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>
      <c r="A659">
        <v>657</v>
      </c>
      <c r="B659">
        <v>644</v>
      </c>
      <c r="C659">
        <v>645</v>
      </c>
      <c r="D659" t="s">
        <v>40</v>
      </c>
      <c r="E659" t="s">
        <v>40</v>
      </c>
      <c r="F659">
        <v>0</v>
      </c>
      <c r="G659">
        <v>0</v>
      </c>
      <c r="H659">
        <v>0</v>
      </c>
      <c r="I659">
        <f t="shared" si="10"/>
        <v>0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>
      <c r="A660">
        <v>658</v>
      </c>
      <c r="B660">
        <v>645</v>
      </c>
      <c r="C660">
        <v>646</v>
      </c>
      <c r="D660" t="s">
        <v>44</v>
      </c>
      <c r="E660" t="s">
        <v>44</v>
      </c>
      <c r="F660">
        <v>0</v>
      </c>
      <c r="G660">
        <v>0</v>
      </c>
      <c r="H660">
        <v>0</v>
      </c>
      <c r="I660">
        <f t="shared" si="10"/>
        <v>0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>
      <c r="A661">
        <v>659</v>
      </c>
      <c r="B661">
        <v>646</v>
      </c>
      <c r="C661">
        <v>647</v>
      </c>
      <c r="D661" t="s">
        <v>6</v>
      </c>
      <c r="E661" t="s">
        <v>6</v>
      </c>
      <c r="F661">
        <v>0</v>
      </c>
      <c r="G661">
        <v>0</v>
      </c>
      <c r="H661">
        <v>0</v>
      </c>
      <c r="I661">
        <f t="shared" si="10"/>
        <v>0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>
      <c r="A662">
        <v>660</v>
      </c>
      <c r="B662">
        <v>647</v>
      </c>
      <c r="C662">
        <v>648</v>
      </c>
      <c r="D662" t="s">
        <v>8</v>
      </c>
      <c r="E662" t="s">
        <v>6</v>
      </c>
      <c r="F662">
        <v>0</v>
      </c>
      <c r="G662">
        <v>0</v>
      </c>
      <c r="H662">
        <v>0</v>
      </c>
      <c r="I662">
        <f t="shared" si="10"/>
        <v>0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>
      <c r="A663">
        <v>661</v>
      </c>
      <c r="B663">
        <v>648</v>
      </c>
      <c r="C663">
        <v>649</v>
      </c>
      <c r="D663" t="s">
        <v>7</v>
      </c>
      <c r="E663" t="s">
        <v>7</v>
      </c>
      <c r="F663">
        <v>0</v>
      </c>
      <c r="G663">
        <v>0</v>
      </c>
      <c r="H663">
        <v>0</v>
      </c>
      <c r="I663">
        <f t="shared" si="10"/>
        <v>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>
      <c r="A664">
        <v>662</v>
      </c>
      <c r="B664">
        <v>649</v>
      </c>
      <c r="C664">
        <v>650</v>
      </c>
      <c r="D664" t="s">
        <v>42</v>
      </c>
      <c r="E664" t="s">
        <v>42</v>
      </c>
      <c r="F664">
        <v>0</v>
      </c>
      <c r="G664">
        <v>0</v>
      </c>
      <c r="H664">
        <v>0</v>
      </c>
      <c r="I664">
        <f t="shared" si="10"/>
        <v>0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>
      <c r="A665">
        <v>663</v>
      </c>
      <c r="B665">
        <v>650</v>
      </c>
      <c r="C665">
        <v>651</v>
      </c>
      <c r="D665" t="s">
        <v>3</v>
      </c>
      <c r="E665" t="s">
        <v>3</v>
      </c>
      <c r="F665" t="s">
        <v>7</v>
      </c>
      <c r="G665">
        <v>0</v>
      </c>
      <c r="H665">
        <v>0.46633593196314599</v>
      </c>
      <c r="I665">
        <f t="shared" si="10"/>
        <v>1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>
      <c r="A666">
        <v>664</v>
      </c>
      <c r="B666">
        <v>651</v>
      </c>
      <c r="C666">
        <v>652</v>
      </c>
      <c r="D666" t="s">
        <v>42</v>
      </c>
      <c r="E666" t="s">
        <v>42</v>
      </c>
      <c r="F666">
        <v>0</v>
      </c>
      <c r="G666">
        <v>0</v>
      </c>
      <c r="H666">
        <v>0</v>
      </c>
      <c r="I666">
        <f t="shared" si="10"/>
        <v>0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>
      <c r="A667">
        <v>665</v>
      </c>
      <c r="B667">
        <v>652</v>
      </c>
      <c r="C667">
        <v>653</v>
      </c>
      <c r="D667" t="s">
        <v>42</v>
      </c>
      <c r="E667" t="s">
        <v>42</v>
      </c>
      <c r="F667">
        <v>0</v>
      </c>
      <c r="G667">
        <v>0</v>
      </c>
      <c r="H667">
        <v>0</v>
      </c>
      <c r="I667">
        <f t="shared" si="10"/>
        <v>0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>
      <c r="A668">
        <v>666</v>
      </c>
      <c r="B668">
        <v>653</v>
      </c>
      <c r="C668">
        <v>654</v>
      </c>
      <c r="D668" t="s">
        <v>6</v>
      </c>
      <c r="E668" t="s">
        <v>6</v>
      </c>
      <c r="F668">
        <v>0</v>
      </c>
      <c r="G668">
        <v>0</v>
      </c>
      <c r="H668">
        <v>0</v>
      </c>
      <c r="I668">
        <f t="shared" si="10"/>
        <v>0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>
      <c r="A669">
        <v>667</v>
      </c>
      <c r="B669">
        <v>654</v>
      </c>
      <c r="C669">
        <v>655</v>
      </c>
      <c r="D669" t="s">
        <v>8</v>
      </c>
      <c r="E669" t="s">
        <v>8</v>
      </c>
      <c r="F669">
        <v>0</v>
      </c>
      <c r="G669">
        <v>0</v>
      </c>
      <c r="H669">
        <v>0</v>
      </c>
      <c r="I669">
        <f t="shared" si="10"/>
        <v>0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>
      <c r="A670">
        <v>668</v>
      </c>
      <c r="B670">
        <v>655</v>
      </c>
      <c r="C670">
        <v>656</v>
      </c>
      <c r="D670" t="s">
        <v>3</v>
      </c>
      <c r="E670" t="s">
        <v>3</v>
      </c>
      <c r="F670">
        <v>0</v>
      </c>
      <c r="G670">
        <v>0</v>
      </c>
      <c r="H670">
        <v>0</v>
      </c>
      <c r="I670">
        <f t="shared" si="10"/>
        <v>0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>
      <c r="A671">
        <v>669</v>
      </c>
      <c r="B671">
        <v>656</v>
      </c>
      <c r="C671">
        <v>657</v>
      </c>
      <c r="D671" t="s">
        <v>6</v>
      </c>
      <c r="E671" t="s">
        <v>6</v>
      </c>
      <c r="F671">
        <v>0</v>
      </c>
      <c r="G671">
        <v>0</v>
      </c>
      <c r="H671">
        <v>0</v>
      </c>
      <c r="I671">
        <f t="shared" si="10"/>
        <v>0</v>
      </c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>
      <c r="A672">
        <v>670</v>
      </c>
      <c r="B672">
        <v>657</v>
      </c>
      <c r="C672">
        <v>658</v>
      </c>
      <c r="D672" t="s">
        <v>42</v>
      </c>
      <c r="E672" t="s">
        <v>42</v>
      </c>
      <c r="F672">
        <v>0</v>
      </c>
      <c r="G672">
        <v>0</v>
      </c>
      <c r="H672">
        <v>0</v>
      </c>
      <c r="I672">
        <f t="shared" si="10"/>
        <v>0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>
      <c r="A673">
        <v>671</v>
      </c>
      <c r="B673">
        <v>658</v>
      </c>
      <c r="C673">
        <v>659</v>
      </c>
      <c r="D673" t="s">
        <v>6</v>
      </c>
      <c r="E673" t="s">
        <v>6</v>
      </c>
      <c r="F673">
        <v>0</v>
      </c>
      <c r="G673">
        <v>0</v>
      </c>
      <c r="H673">
        <v>0</v>
      </c>
      <c r="I673">
        <f t="shared" si="10"/>
        <v>0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>
      <c r="A674">
        <v>672</v>
      </c>
      <c r="B674">
        <v>659</v>
      </c>
      <c r="C674">
        <v>660</v>
      </c>
      <c r="D674" t="s">
        <v>40</v>
      </c>
      <c r="E674" t="s">
        <v>40</v>
      </c>
      <c r="F674">
        <v>0</v>
      </c>
      <c r="G674">
        <v>0</v>
      </c>
      <c r="H674">
        <v>0</v>
      </c>
      <c r="I674">
        <f t="shared" si="10"/>
        <v>0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>
      <c r="A675">
        <v>673</v>
      </c>
      <c r="B675">
        <v>660</v>
      </c>
      <c r="C675">
        <v>661</v>
      </c>
      <c r="D675" t="s">
        <v>40</v>
      </c>
      <c r="E675" t="s">
        <v>40</v>
      </c>
      <c r="F675">
        <v>0</v>
      </c>
      <c r="G675">
        <v>0</v>
      </c>
      <c r="H675">
        <v>0</v>
      </c>
      <c r="I675">
        <f t="shared" si="10"/>
        <v>0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>
      <c r="A676">
        <v>674</v>
      </c>
      <c r="B676">
        <v>661</v>
      </c>
      <c r="C676">
        <v>662</v>
      </c>
      <c r="D676" t="s">
        <v>6</v>
      </c>
      <c r="E676" t="s">
        <v>6</v>
      </c>
      <c r="F676">
        <v>0</v>
      </c>
      <c r="G676">
        <v>0</v>
      </c>
      <c r="H676">
        <v>0</v>
      </c>
      <c r="I676">
        <f t="shared" si="10"/>
        <v>0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>
      <c r="A677">
        <v>675</v>
      </c>
      <c r="B677">
        <v>662</v>
      </c>
      <c r="C677">
        <v>663</v>
      </c>
      <c r="D677" t="s">
        <v>40</v>
      </c>
      <c r="E677" t="s">
        <v>40</v>
      </c>
      <c r="F677">
        <v>0</v>
      </c>
      <c r="G677">
        <v>0</v>
      </c>
      <c r="H677">
        <v>0</v>
      </c>
      <c r="I677">
        <f t="shared" si="10"/>
        <v>0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>
      <c r="A678">
        <v>676</v>
      </c>
      <c r="B678">
        <v>663</v>
      </c>
      <c r="C678">
        <v>664</v>
      </c>
      <c r="D678" t="s">
        <v>5</v>
      </c>
      <c r="E678" t="s">
        <v>5</v>
      </c>
      <c r="F678">
        <v>0</v>
      </c>
      <c r="G678">
        <v>0</v>
      </c>
      <c r="H678">
        <v>0</v>
      </c>
      <c r="I678">
        <f t="shared" si="10"/>
        <v>0</v>
      </c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>
      <c r="A679">
        <v>677</v>
      </c>
      <c r="B679">
        <v>664</v>
      </c>
      <c r="C679">
        <v>665</v>
      </c>
      <c r="D679" t="s">
        <v>8</v>
      </c>
      <c r="E679" t="s">
        <v>8</v>
      </c>
      <c r="F679">
        <v>0</v>
      </c>
      <c r="G679">
        <v>0</v>
      </c>
      <c r="H679">
        <v>0</v>
      </c>
      <c r="I679">
        <f t="shared" si="10"/>
        <v>0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>
      <c r="A680">
        <v>678</v>
      </c>
      <c r="B680">
        <v>665</v>
      </c>
      <c r="C680">
        <v>666</v>
      </c>
      <c r="D680" t="s">
        <v>62</v>
      </c>
      <c r="E680" t="s">
        <v>62</v>
      </c>
      <c r="F680">
        <v>0</v>
      </c>
      <c r="G680">
        <v>0</v>
      </c>
      <c r="H680">
        <v>0</v>
      </c>
      <c r="I680">
        <f t="shared" si="10"/>
        <v>0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>
      <c r="A681">
        <v>679</v>
      </c>
      <c r="B681">
        <v>666</v>
      </c>
      <c r="C681">
        <v>667</v>
      </c>
      <c r="D681" t="s">
        <v>1</v>
      </c>
      <c r="E681" t="s">
        <v>1</v>
      </c>
      <c r="F681">
        <v>0</v>
      </c>
      <c r="G681">
        <v>0</v>
      </c>
      <c r="H681">
        <v>0</v>
      </c>
      <c r="I681">
        <f t="shared" si="10"/>
        <v>0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>
      <c r="A682">
        <v>680</v>
      </c>
      <c r="B682">
        <v>667</v>
      </c>
      <c r="C682">
        <v>668</v>
      </c>
      <c r="D682" t="s">
        <v>7</v>
      </c>
      <c r="E682" t="s">
        <v>7</v>
      </c>
      <c r="F682" t="s">
        <v>4</v>
      </c>
      <c r="G682">
        <v>0</v>
      </c>
      <c r="H682">
        <v>0.67981527804502495</v>
      </c>
      <c r="I682">
        <f t="shared" si="10"/>
        <v>1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>
      <c r="A683">
        <v>681</v>
      </c>
      <c r="B683">
        <v>668</v>
      </c>
      <c r="C683">
        <v>669</v>
      </c>
      <c r="D683" t="s">
        <v>40</v>
      </c>
      <c r="E683" t="s">
        <v>40</v>
      </c>
      <c r="F683">
        <v>0</v>
      </c>
      <c r="G683">
        <v>0</v>
      </c>
      <c r="H683">
        <v>0</v>
      </c>
      <c r="I683">
        <f t="shared" si="10"/>
        <v>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>
      <c r="A684">
        <v>682</v>
      </c>
      <c r="B684">
        <v>669</v>
      </c>
      <c r="C684">
        <v>670</v>
      </c>
      <c r="D684" t="s">
        <v>62</v>
      </c>
      <c r="E684" t="s">
        <v>62</v>
      </c>
      <c r="F684">
        <v>0</v>
      </c>
      <c r="G684">
        <v>0</v>
      </c>
      <c r="H684">
        <v>0</v>
      </c>
      <c r="I684">
        <f t="shared" si="10"/>
        <v>0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>
      <c r="A685">
        <v>683</v>
      </c>
      <c r="B685">
        <v>670</v>
      </c>
      <c r="C685">
        <v>671</v>
      </c>
      <c r="D685" t="s">
        <v>3</v>
      </c>
      <c r="E685" t="s">
        <v>3</v>
      </c>
      <c r="F685">
        <v>0</v>
      </c>
      <c r="G685">
        <v>0</v>
      </c>
      <c r="H685">
        <v>0</v>
      </c>
      <c r="I685">
        <f t="shared" si="10"/>
        <v>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>
      <c r="A686">
        <v>684</v>
      </c>
      <c r="B686">
        <v>671</v>
      </c>
      <c r="C686">
        <v>672</v>
      </c>
      <c r="D686" t="s">
        <v>62</v>
      </c>
      <c r="E686" t="s">
        <v>62</v>
      </c>
      <c r="F686">
        <v>0</v>
      </c>
      <c r="G686">
        <v>0</v>
      </c>
      <c r="H686">
        <v>0</v>
      </c>
      <c r="I686">
        <f t="shared" si="10"/>
        <v>0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>
      <c r="A687">
        <v>685</v>
      </c>
      <c r="B687">
        <v>672</v>
      </c>
      <c r="C687">
        <v>673</v>
      </c>
      <c r="D687" t="s">
        <v>46</v>
      </c>
      <c r="E687" t="s">
        <v>46</v>
      </c>
      <c r="F687">
        <v>0</v>
      </c>
      <c r="G687">
        <v>0</v>
      </c>
      <c r="H687">
        <v>0</v>
      </c>
      <c r="I687">
        <f t="shared" si="10"/>
        <v>0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>
      <c r="A688">
        <v>686</v>
      </c>
      <c r="B688">
        <v>673</v>
      </c>
      <c r="C688">
        <v>674</v>
      </c>
      <c r="D688" t="s">
        <v>5</v>
      </c>
      <c r="E688" t="s">
        <v>3</v>
      </c>
      <c r="F688">
        <v>0</v>
      </c>
      <c r="G688">
        <v>0</v>
      </c>
      <c r="H688">
        <v>0</v>
      </c>
      <c r="I688">
        <f t="shared" si="10"/>
        <v>0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>
      <c r="A689">
        <v>687</v>
      </c>
      <c r="B689">
        <v>674</v>
      </c>
      <c r="C689">
        <v>675</v>
      </c>
      <c r="D689" t="s">
        <v>44</v>
      </c>
      <c r="E689" t="s">
        <v>44</v>
      </c>
      <c r="F689">
        <v>0</v>
      </c>
      <c r="G689">
        <v>0</v>
      </c>
      <c r="H689">
        <v>0</v>
      </c>
      <c r="I689">
        <f t="shared" si="10"/>
        <v>0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>
      <c r="A690">
        <v>688</v>
      </c>
      <c r="B690">
        <v>675</v>
      </c>
      <c r="C690">
        <v>676</v>
      </c>
      <c r="D690" t="s">
        <v>2</v>
      </c>
      <c r="E690" t="s">
        <v>2</v>
      </c>
      <c r="F690">
        <v>0</v>
      </c>
      <c r="G690">
        <v>0</v>
      </c>
      <c r="H690">
        <v>0</v>
      </c>
      <c r="I690">
        <f t="shared" si="10"/>
        <v>0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>
      <c r="A691">
        <v>689</v>
      </c>
      <c r="B691">
        <v>676</v>
      </c>
      <c r="C691">
        <v>677</v>
      </c>
      <c r="D691" t="s">
        <v>3</v>
      </c>
      <c r="E691" t="s">
        <v>3</v>
      </c>
      <c r="F691">
        <v>0</v>
      </c>
      <c r="G691">
        <v>0</v>
      </c>
      <c r="H691">
        <v>0</v>
      </c>
      <c r="I691">
        <f t="shared" si="10"/>
        <v>0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>
      <c r="A692">
        <v>690</v>
      </c>
      <c r="B692">
        <v>677</v>
      </c>
      <c r="C692">
        <v>678</v>
      </c>
      <c r="D692" t="s">
        <v>62</v>
      </c>
      <c r="E692" t="s">
        <v>62</v>
      </c>
      <c r="F692">
        <v>0</v>
      </c>
      <c r="G692">
        <v>0</v>
      </c>
      <c r="H692">
        <v>0</v>
      </c>
      <c r="I692">
        <f t="shared" si="10"/>
        <v>0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>
      <c r="A693">
        <v>691</v>
      </c>
      <c r="B693">
        <v>678</v>
      </c>
      <c r="C693">
        <v>679</v>
      </c>
      <c r="D693" t="s">
        <v>40</v>
      </c>
      <c r="E693" t="s">
        <v>40</v>
      </c>
      <c r="F693">
        <v>0</v>
      </c>
      <c r="G693">
        <v>0</v>
      </c>
      <c r="H693">
        <v>0</v>
      </c>
      <c r="I693">
        <f t="shared" si="10"/>
        <v>0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>
      <c r="A694">
        <v>692</v>
      </c>
      <c r="B694">
        <v>679</v>
      </c>
      <c r="C694">
        <v>680</v>
      </c>
      <c r="D694" t="s">
        <v>62</v>
      </c>
      <c r="E694" t="s">
        <v>62</v>
      </c>
      <c r="F694">
        <v>0</v>
      </c>
      <c r="G694">
        <v>0</v>
      </c>
      <c r="H694">
        <v>0</v>
      </c>
      <c r="I694">
        <f t="shared" si="10"/>
        <v>0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>
      <c r="A695">
        <v>693</v>
      </c>
      <c r="B695">
        <v>680</v>
      </c>
      <c r="C695">
        <v>681</v>
      </c>
      <c r="D695" t="s">
        <v>61</v>
      </c>
      <c r="E695" t="s">
        <v>61</v>
      </c>
      <c r="F695">
        <v>0</v>
      </c>
      <c r="G695">
        <v>0</v>
      </c>
      <c r="H695">
        <v>0</v>
      </c>
      <c r="I695">
        <f t="shared" si="10"/>
        <v>0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>
      <c r="A696">
        <v>694</v>
      </c>
      <c r="B696">
        <v>681</v>
      </c>
      <c r="C696">
        <v>682</v>
      </c>
      <c r="D696" t="s">
        <v>44</v>
      </c>
      <c r="E696" t="s">
        <v>44</v>
      </c>
      <c r="F696">
        <v>0</v>
      </c>
      <c r="G696">
        <v>0</v>
      </c>
      <c r="H696">
        <v>0</v>
      </c>
      <c r="I696">
        <f t="shared" si="10"/>
        <v>0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>
      <c r="A697">
        <v>695</v>
      </c>
      <c r="B697">
        <v>682</v>
      </c>
      <c r="C697">
        <v>683</v>
      </c>
      <c r="D697" t="s">
        <v>8</v>
      </c>
      <c r="E697" t="s">
        <v>8</v>
      </c>
      <c r="F697">
        <v>0</v>
      </c>
      <c r="G697">
        <v>0</v>
      </c>
      <c r="H697">
        <v>0</v>
      </c>
      <c r="I697">
        <f t="shared" si="10"/>
        <v>0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>
      <c r="A698">
        <v>696</v>
      </c>
      <c r="B698">
        <v>683</v>
      </c>
      <c r="C698">
        <v>684</v>
      </c>
      <c r="D698" t="s">
        <v>44</v>
      </c>
      <c r="E698" t="s">
        <v>40</v>
      </c>
      <c r="F698">
        <v>0</v>
      </c>
      <c r="G698">
        <v>0</v>
      </c>
      <c r="H698">
        <v>0</v>
      </c>
      <c r="I698">
        <f t="shared" si="10"/>
        <v>0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>
      <c r="A699">
        <v>697</v>
      </c>
      <c r="B699">
        <v>684</v>
      </c>
      <c r="C699">
        <v>685</v>
      </c>
      <c r="D699" t="s">
        <v>46</v>
      </c>
      <c r="E699" t="s">
        <v>46</v>
      </c>
      <c r="F699">
        <v>0</v>
      </c>
      <c r="G699">
        <v>0</v>
      </c>
      <c r="H699">
        <v>0</v>
      </c>
      <c r="I699">
        <f t="shared" si="10"/>
        <v>0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>
      <c r="A700">
        <v>698</v>
      </c>
      <c r="B700">
        <v>685</v>
      </c>
      <c r="C700">
        <v>686</v>
      </c>
      <c r="D700" t="s">
        <v>44</v>
      </c>
      <c r="E700" t="s">
        <v>44</v>
      </c>
      <c r="F700">
        <v>0</v>
      </c>
      <c r="G700">
        <v>0</v>
      </c>
      <c r="H700">
        <v>0</v>
      </c>
      <c r="I700">
        <f t="shared" si="10"/>
        <v>0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>
      <c r="A701">
        <v>699</v>
      </c>
      <c r="B701">
        <v>686</v>
      </c>
      <c r="C701">
        <v>687</v>
      </c>
      <c r="D701" t="s">
        <v>41</v>
      </c>
      <c r="E701" t="s">
        <v>41</v>
      </c>
      <c r="F701">
        <v>0</v>
      </c>
      <c r="G701">
        <v>0</v>
      </c>
      <c r="H701">
        <v>0</v>
      </c>
      <c r="I701">
        <f t="shared" si="10"/>
        <v>0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>
      <c r="A702">
        <v>700</v>
      </c>
      <c r="B702">
        <v>687</v>
      </c>
      <c r="C702">
        <v>688</v>
      </c>
      <c r="D702" t="s">
        <v>45</v>
      </c>
      <c r="E702" t="s">
        <v>44</v>
      </c>
      <c r="F702">
        <v>0</v>
      </c>
      <c r="G702">
        <v>0</v>
      </c>
      <c r="H702">
        <v>0</v>
      </c>
      <c r="I702">
        <f t="shared" si="10"/>
        <v>0</v>
      </c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>
      <c r="A703">
        <v>701</v>
      </c>
      <c r="B703">
        <v>688</v>
      </c>
      <c r="C703">
        <v>689</v>
      </c>
      <c r="D703" t="s">
        <v>45</v>
      </c>
      <c r="E703" t="s">
        <v>45</v>
      </c>
      <c r="F703">
        <v>0</v>
      </c>
      <c r="G703">
        <v>0</v>
      </c>
      <c r="H703">
        <v>0</v>
      </c>
      <c r="I703">
        <f t="shared" si="10"/>
        <v>0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>
      <c r="A704">
        <v>702</v>
      </c>
      <c r="B704">
        <v>689</v>
      </c>
      <c r="C704">
        <v>690</v>
      </c>
      <c r="D704" t="s">
        <v>4</v>
      </c>
      <c r="E704" t="s">
        <v>4</v>
      </c>
      <c r="F704">
        <v>0</v>
      </c>
      <c r="G704">
        <v>0</v>
      </c>
      <c r="H704">
        <v>0</v>
      </c>
      <c r="I704">
        <f t="shared" si="10"/>
        <v>0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>
      <c r="A705">
        <v>703</v>
      </c>
      <c r="B705">
        <v>690</v>
      </c>
      <c r="C705">
        <v>691</v>
      </c>
      <c r="D705" t="s">
        <v>4</v>
      </c>
      <c r="E705" t="s">
        <v>4</v>
      </c>
      <c r="F705">
        <v>0</v>
      </c>
      <c r="G705">
        <v>0</v>
      </c>
      <c r="H705">
        <v>0</v>
      </c>
      <c r="I705">
        <f t="shared" si="10"/>
        <v>0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>
      <c r="A706">
        <v>704</v>
      </c>
      <c r="B706">
        <v>691</v>
      </c>
      <c r="C706">
        <v>692</v>
      </c>
      <c r="D706" t="s">
        <v>40</v>
      </c>
      <c r="E706" t="s">
        <v>40</v>
      </c>
      <c r="F706">
        <v>0</v>
      </c>
      <c r="G706">
        <v>0</v>
      </c>
      <c r="H706">
        <v>0</v>
      </c>
      <c r="I706">
        <f t="shared" si="10"/>
        <v>0</v>
      </c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>
      <c r="A707">
        <v>705</v>
      </c>
      <c r="B707">
        <v>692</v>
      </c>
      <c r="C707">
        <v>693</v>
      </c>
      <c r="D707" t="s">
        <v>45</v>
      </c>
      <c r="E707" t="s">
        <v>45</v>
      </c>
      <c r="F707">
        <v>0</v>
      </c>
      <c r="G707">
        <v>0</v>
      </c>
      <c r="H707">
        <v>0</v>
      </c>
      <c r="I707">
        <f t="shared" ref="I707:I770" si="11">COUNTIF(G707:H707,"&gt;0.1")</f>
        <v>0</v>
      </c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>
      <c r="A708">
        <v>706</v>
      </c>
      <c r="B708">
        <v>693</v>
      </c>
      <c r="C708">
        <v>694</v>
      </c>
      <c r="D708" t="s">
        <v>4</v>
      </c>
      <c r="E708" t="s">
        <v>4</v>
      </c>
      <c r="F708">
        <v>0</v>
      </c>
      <c r="G708">
        <v>0</v>
      </c>
      <c r="H708">
        <v>0</v>
      </c>
      <c r="I708">
        <f t="shared" si="11"/>
        <v>0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>
      <c r="A709">
        <v>707</v>
      </c>
      <c r="B709">
        <v>694</v>
      </c>
      <c r="C709">
        <v>695</v>
      </c>
      <c r="D709" t="s">
        <v>40</v>
      </c>
      <c r="E709" t="s">
        <v>40</v>
      </c>
      <c r="F709">
        <v>0</v>
      </c>
      <c r="G709">
        <v>0</v>
      </c>
      <c r="H709">
        <v>0</v>
      </c>
      <c r="I709">
        <f t="shared" si="11"/>
        <v>0</v>
      </c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>
      <c r="A710">
        <v>708</v>
      </c>
      <c r="B710">
        <v>695</v>
      </c>
      <c r="C710">
        <v>696</v>
      </c>
      <c r="D710" t="s">
        <v>10</v>
      </c>
      <c r="E710" t="s">
        <v>10</v>
      </c>
      <c r="F710">
        <v>0</v>
      </c>
      <c r="G710">
        <v>0</v>
      </c>
      <c r="H710">
        <v>0</v>
      </c>
      <c r="I710">
        <f t="shared" si="11"/>
        <v>0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>
      <c r="A711">
        <v>709</v>
      </c>
      <c r="B711">
        <v>696</v>
      </c>
      <c r="C711">
        <v>697</v>
      </c>
      <c r="D711" t="s">
        <v>44</v>
      </c>
      <c r="E711" t="s">
        <v>44</v>
      </c>
      <c r="F711">
        <v>0</v>
      </c>
      <c r="G711">
        <v>0</v>
      </c>
      <c r="H711">
        <v>0</v>
      </c>
      <c r="I711">
        <f t="shared" si="11"/>
        <v>0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>
      <c r="A712">
        <v>710</v>
      </c>
      <c r="B712">
        <v>697</v>
      </c>
      <c r="C712">
        <v>698</v>
      </c>
      <c r="D712" t="s">
        <v>45</v>
      </c>
      <c r="E712" t="s">
        <v>45</v>
      </c>
      <c r="F712">
        <v>0</v>
      </c>
      <c r="G712">
        <v>0</v>
      </c>
      <c r="H712">
        <v>0</v>
      </c>
      <c r="I712">
        <f t="shared" si="11"/>
        <v>0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>
      <c r="A713">
        <v>711</v>
      </c>
      <c r="B713">
        <v>698</v>
      </c>
      <c r="C713">
        <v>699</v>
      </c>
      <c r="D713" t="s">
        <v>46</v>
      </c>
      <c r="E713" t="s">
        <v>46</v>
      </c>
      <c r="F713">
        <v>0</v>
      </c>
      <c r="G713">
        <v>0</v>
      </c>
      <c r="H713">
        <v>0</v>
      </c>
      <c r="I713">
        <f t="shared" si="11"/>
        <v>0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>
      <c r="A714">
        <v>712</v>
      </c>
      <c r="B714">
        <v>699</v>
      </c>
      <c r="C714">
        <v>700</v>
      </c>
      <c r="D714" t="s">
        <v>1</v>
      </c>
      <c r="E714" t="s">
        <v>1</v>
      </c>
      <c r="F714">
        <v>0</v>
      </c>
      <c r="G714">
        <v>0</v>
      </c>
      <c r="H714">
        <v>0</v>
      </c>
      <c r="I714">
        <f t="shared" si="11"/>
        <v>0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>
      <c r="A715">
        <v>713</v>
      </c>
      <c r="B715">
        <v>700</v>
      </c>
      <c r="C715">
        <v>701</v>
      </c>
      <c r="D715" t="s">
        <v>45</v>
      </c>
      <c r="E715" t="s">
        <v>45</v>
      </c>
      <c r="F715">
        <v>0</v>
      </c>
      <c r="G715">
        <v>0</v>
      </c>
      <c r="H715">
        <v>0</v>
      </c>
      <c r="I715">
        <f t="shared" si="11"/>
        <v>0</v>
      </c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>
      <c r="A716">
        <v>714</v>
      </c>
      <c r="B716">
        <v>701</v>
      </c>
      <c r="C716">
        <v>702</v>
      </c>
      <c r="D716" t="s">
        <v>40</v>
      </c>
      <c r="E716" t="s">
        <v>40</v>
      </c>
      <c r="F716">
        <v>0</v>
      </c>
      <c r="G716">
        <v>0</v>
      </c>
      <c r="H716">
        <v>0</v>
      </c>
      <c r="I716">
        <f t="shared" si="11"/>
        <v>0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>
      <c r="A717">
        <v>715</v>
      </c>
      <c r="B717">
        <v>702</v>
      </c>
      <c r="C717">
        <v>703</v>
      </c>
      <c r="D717" t="s">
        <v>7</v>
      </c>
      <c r="E717" t="s">
        <v>7</v>
      </c>
      <c r="F717">
        <v>0</v>
      </c>
      <c r="G717">
        <v>0</v>
      </c>
      <c r="H717">
        <v>0</v>
      </c>
      <c r="I717">
        <f t="shared" si="11"/>
        <v>0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>
      <c r="A718">
        <v>716</v>
      </c>
      <c r="B718">
        <v>703</v>
      </c>
      <c r="C718">
        <v>704</v>
      </c>
      <c r="D718" t="s">
        <v>44</v>
      </c>
      <c r="E718" t="s">
        <v>44</v>
      </c>
      <c r="F718">
        <v>0</v>
      </c>
      <c r="G718">
        <v>0</v>
      </c>
      <c r="H718">
        <v>0</v>
      </c>
      <c r="I718">
        <f t="shared" si="11"/>
        <v>0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>
      <c r="A719">
        <v>717</v>
      </c>
      <c r="B719">
        <v>704</v>
      </c>
      <c r="C719">
        <v>705</v>
      </c>
      <c r="D719" t="s">
        <v>44</v>
      </c>
      <c r="E719" t="s">
        <v>45</v>
      </c>
      <c r="F719">
        <v>0</v>
      </c>
      <c r="G719">
        <v>0</v>
      </c>
      <c r="H719">
        <v>0</v>
      </c>
      <c r="I719">
        <f t="shared" si="11"/>
        <v>0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>
      <c r="A720">
        <v>718</v>
      </c>
      <c r="B720">
        <v>705</v>
      </c>
      <c r="C720">
        <v>706</v>
      </c>
      <c r="D720" t="s">
        <v>3</v>
      </c>
      <c r="E720" t="s">
        <v>3</v>
      </c>
      <c r="F720">
        <v>0</v>
      </c>
      <c r="G720">
        <v>0</v>
      </c>
      <c r="H720">
        <v>0</v>
      </c>
      <c r="I720">
        <f t="shared" si="11"/>
        <v>0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>
      <c r="A721">
        <v>719</v>
      </c>
      <c r="B721">
        <v>706</v>
      </c>
      <c r="C721">
        <v>707</v>
      </c>
      <c r="D721" t="s">
        <v>10</v>
      </c>
      <c r="E721" t="s">
        <v>10</v>
      </c>
      <c r="F721">
        <v>0</v>
      </c>
      <c r="G721">
        <v>0</v>
      </c>
      <c r="H721">
        <v>0</v>
      </c>
      <c r="I721">
        <f t="shared" si="11"/>
        <v>0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>
      <c r="A722">
        <v>720</v>
      </c>
      <c r="B722">
        <v>707</v>
      </c>
      <c r="C722">
        <v>708</v>
      </c>
      <c r="D722" t="s">
        <v>45</v>
      </c>
      <c r="E722" t="s">
        <v>45</v>
      </c>
      <c r="F722">
        <v>0</v>
      </c>
      <c r="G722">
        <v>0</v>
      </c>
      <c r="H722">
        <v>0</v>
      </c>
      <c r="I722">
        <f t="shared" si="11"/>
        <v>0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>
      <c r="A723">
        <v>721</v>
      </c>
      <c r="B723">
        <v>708</v>
      </c>
      <c r="C723">
        <v>709</v>
      </c>
      <c r="D723" t="s">
        <v>10</v>
      </c>
      <c r="E723" t="s">
        <v>10</v>
      </c>
      <c r="F723">
        <v>0</v>
      </c>
      <c r="G723">
        <v>0</v>
      </c>
      <c r="H723">
        <v>0</v>
      </c>
      <c r="I723">
        <f t="shared" si="11"/>
        <v>0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>
      <c r="A724">
        <v>722</v>
      </c>
      <c r="B724">
        <v>709</v>
      </c>
      <c r="C724">
        <v>710</v>
      </c>
      <c r="D724" t="s">
        <v>42</v>
      </c>
      <c r="E724" t="s">
        <v>42</v>
      </c>
      <c r="F724">
        <v>0</v>
      </c>
      <c r="G724">
        <v>0</v>
      </c>
      <c r="H724">
        <v>0</v>
      </c>
      <c r="I724">
        <f t="shared" si="11"/>
        <v>0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>
      <c r="A725">
        <v>723</v>
      </c>
      <c r="B725">
        <v>710</v>
      </c>
      <c r="C725">
        <v>711</v>
      </c>
      <c r="D725" t="s">
        <v>4</v>
      </c>
      <c r="E725" t="s">
        <v>4</v>
      </c>
      <c r="F725">
        <v>0</v>
      </c>
      <c r="G725">
        <v>0</v>
      </c>
      <c r="H725">
        <v>0</v>
      </c>
      <c r="I725">
        <f t="shared" si="11"/>
        <v>0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>
      <c r="A726">
        <v>724</v>
      </c>
      <c r="B726">
        <v>711</v>
      </c>
      <c r="C726">
        <v>712</v>
      </c>
      <c r="D726" t="s">
        <v>61</v>
      </c>
      <c r="E726" t="s">
        <v>61</v>
      </c>
      <c r="F726">
        <v>0</v>
      </c>
      <c r="G726">
        <v>0</v>
      </c>
      <c r="H726">
        <v>0</v>
      </c>
      <c r="I726">
        <f t="shared" si="11"/>
        <v>0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>
      <c r="A727">
        <v>725</v>
      </c>
      <c r="B727">
        <v>712</v>
      </c>
      <c r="C727">
        <v>713</v>
      </c>
      <c r="D727" t="s">
        <v>7</v>
      </c>
      <c r="E727" t="s">
        <v>7</v>
      </c>
      <c r="F727">
        <v>0</v>
      </c>
      <c r="G727">
        <v>0</v>
      </c>
      <c r="H727">
        <v>0</v>
      </c>
      <c r="I727">
        <f t="shared" si="11"/>
        <v>0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>
      <c r="A728">
        <v>726</v>
      </c>
      <c r="B728">
        <v>713</v>
      </c>
      <c r="C728">
        <v>714</v>
      </c>
      <c r="D728" t="s">
        <v>43</v>
      </c>
      <c r="E728" t="s">
        <v>43</v>
      </c>
      <c r="F728">
        <v>0</v>
      </c>
      <c r="G728">
        <v>0</v>
      </c>
      <c r="H728">
        <v>0</v>
      </c>
      <c r="I728">
        <f t="shared" si="11"/>
        <v>0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>
      <c r="A729">
        <v>727</v>
      </c>
      <c r="B729">
        <v>714</v>
      </c>
      <c r="C729">
        <v>715</v>
      </c>
      <c r="D729" t="s">
        <v>40</v>
      </c>
      <c r="E729" t="s">
        <v>40</v>
      </c>
      <c r="F729">
        <v>0</v>
      </c>
      <c r="G729">
        <v>0</v>
      </c>
      <c r="H729">
        <v>0</v>
      </c>
      <c r="I729">
        <f t="shared" si="11"/>
        <v>0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>
      <c r="A730">
        <v>728</v>
      </c>
      <c r="B730">
        <v>715</v>
      </c>
      <c r="C730">
        <v>716</v>
      </c>
      <c r="D730" t="s">
        <v>7</v>
      </c>
      <c r="E730" t="s">
        <v>7</v>
      </c>
      <c r="F730">
        <v>0</v>
      </c>
      <c r="G730">
        <v>0</v>
      </c>
      <c r="H730">
        <v>0</v>
      </c>
      <c r="I730">
        <f t="shared" si="11"/>
        <v>0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>
      <c r="A731">
        <v>729</v>
      </c>
      <c r="B731">
        <v>716</v>
      </c>
      <c r="C731">
        <v>717</v>
      </c>
      <c r="D731" t="s">
        <v>46</v>
      </c>
      <c r="E731" t="s">
        <v>46</v>
      </c>
      <c r="F731">
        <v>0</v>
      </c>
      <c r="G731">
        <v>0</v>
      </c>
      <c r="H731">
        <v>0</v>
      </c>
      <c r="I731">
        <f t="shared" si="11"/>
        <v>0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>
      <c r="A732">
        <v>730</v>
      </c>
      <c r="B732">
        <v>717</v>
      </c>
      <c r="C732">
        <v>718</v>
      </c>
      <c r="D732" t="s">
        <v>42</v>
      </c>
      <c r="E732" t="s">
        <v>42</v>
      </c>
      <c r="F732">
        <v>0</v>
      </c>
      <c r="G732">
        <v>0</v>
      </c>
      <c r="H732">
        <v>0</v>
      </c>
      <c r="I732">
        <f t="shared" si="11"/>
        <v>0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>
      <c r="A733">
        <v>731</v>
      </c>
      <c r="B733">
        <v>718</v>
      </c>
      <c r="C733">
        <v>719</v>
      </c>
      <c r="D733" t="s">
        <v>2</v>
      </c>
      <c r="E733" t="s">
        <v>2</v>
      </c>
      <c r="F733">
        <v>0</v>
      </c>
      <c r="G733">
        <v>0</v>
      </c>
      <c r="H733">
        <v>0</v>
      </c>
      <c r="I733">
        <f t="shared" si="11"/>
        <v>0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>
      <c r="A734">
        <v>732</v>
      </c>
      <c r="B734">
        <v>719</v>
      </c>
      <c r="C734">
        <v>720</v>
      </c>
      <c r="D734" t="s">
        <v>9</v>
      </c>
      <c r="E734" t="s">
        <v>9</v>
      </c>
      <c r="F734">
        <v>0</v>
      </c>
      <c r="G734">
        <v>0</v>
      </c>
      <c r="H734">
        <v>0</v>
      </c>
      <c r="I734">
        <f t="shared" si="11"/>
        <v>0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>
      <c r="A735">
        <v>733</v>
      </c>
      <c r="B735">
        <v>720</v>
      </c>
      <c r="C735">
        <v>721</v>
      </c>
      <c r="D735" t="s">
        <v>40</v>
      </c>
      <c r="E735" t="s">
        <v>40</v>
      </c>
      <c r="F735">
        <v>0</v>
      </c>
      <c r="G735">
        <v>0</v>
      </c>
      <c r="H735">
        <v>0</v>
      </c>
      <c r="I735">
        <f t="shared" si="11"/>
        <v>0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>
      <c r="A736">
        <v>734</v>
      </c>
      <c r="B736">
        <v>721</v>
      </c>
      <c r="C736">
        <v>722</v>
      </c>
      <c r="D736" t="s">
        <v>43</v>
      </c>
      <c r="E736" t="s">
        <v>43</v>
      </c>
      <c r="F736">
        <v>0</v>
      </c>
      <c r="G736">
        <v>0</v>
      </c>
      <c r="H736">
        <v>0</v>
      </c>
      <c r="I736">
        <f t="shared" si="11"/>
        <v>0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>
      <c r="A737">
        <v>735</v>
      </c>
      <c r="B737">
        <v>722</v>
      </c>
      <c r="C737">
        <v>723</v>
      </c>
      <c r="D737" t="s">
        <v>1</v>
      </c>
      <c r="E737" t="s">
        <v>2</v>
      </c>
      <c r="F737">
        <v>0</v>
      </c>
      <c r="G737">
        <v>0</v>
      </c>
      <c r="H737">
        <v>0</v>
      </c>
      <c r="I737">
        <f t="shared" si="11"/>
        <v>0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>
      <c r="A738">
        <v>736</v>
      </c>
      <c r="B738">
        <v>723</v>
      </c>
      <c r="C738">
        <v>724</v>
      </c>
      <c r="D738" t="s">
        <v>43</v>
      </c>
      <c r="E738" t="s">
        <v>43</v>
      </c>
      <c r="F738">
        <v>0</v>
      </c>
      <c r="G738">
        <v>0</v>
      </c>
      <c r="H738">
        <v>0</v>
      </c>
      <c r="I738">
        <f t="shared" si="11"/>
        <v>0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>
      <c r="A739">
        <v>737</v>
      </c>
      <c r="B739">
        <v>724</v>
      </c>
      <c r="C739">
        <v>725</v>
      </c>
      <c r="D739" t="s">
        <v>10</v>
      </c>
      <c r="E739" t="s">
        <v>10</v>
      </c>
      <c r="F739">
        <v>0</v>
      </c>
      <c r="G739">
        <v>0</v>
      </c>
      <c r="H739">
        <v>0</v>
      </c>
      <c r="I739">
        <f t="shared" si="11"/>
        <v>0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>
      <c r="A740">
        <v>738</v>
      </c>
      <c r="B740">
        <v>725</v>
      </c>
      <c r="C740">
        <v>726</v>
      </c>
      <c r="D740" t="s">
        <v>4</v>
      </c>
      <c r="E740" t="s">
        <v>4</v>
      </c>
      <c r="F740">
        <v>0</v>
      </c>
      <c r="G740">
        <v>0</v>
      </c>
      <c r="H740">
        <v>0</v>
      </c>
      <c r="I740">
        <f t="shared" si="11"/>
        <v>0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>
      <c r="A741">
        <v>739</v>
      </c>
      <c r="B741">
        <v>726</v>
      </c>
      <c r="C741">
        <v>727</v>
      </c>
      <c r="D741" t="s">
        <v>43</v>
      </c>
      <c r="E741" t="s">
        <v>43</v>
      </c>
      <c r="F741">
        <v>0</v>
      </c>
      <c r="G741">
        <v>0</v>
      </c>
      <c r="H741">
        <v>0</v>
      </c>
      <c r="I741">
        <f t="shared" si="11"/>
        <v>0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>
      <c r="A742">
        <v>740</v>
      </c>
      <c r="B742">
        <v>727</v>
      </c>
      <c r="C742">
        <v>728</v>
      </c>
      <c r="D742" t="s">
        <v>5</v>
      </c>
      <c r="E742" t="s">
        <v>5</v>
      </c>
      <c r="F742">
        <v>0</v>
      </c>
      <c r="G742">
        <v>0</v>
      </c>
      <c r="H742">
        <v>0</v>
      </c>
      <c r="I742">
        <f t="shared" si="11"/>
        <v>0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>
      <c r="A743">
        <v>741</v>
      </c>
      <c r="B743">
        <v>728</v>
      </c>
      <c r="C743">
        <v>729</v>
      </c>
      <c r="D743" t="s">
        <v>10</v>
      </c>
      <c r="E743" t="s">
        <v>10</v>
      </c>
      <c r="F743">
        <v>0</v>
      </c>
      <c r="G743">
        <v>0</v>
      </c>
      <c r="H743">
        <v>0</v>
      </c>
      <c r="I743">
        <f t="shared" si="11"/>
        <v>0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>
      <c r="A744">
        <v>742</v>
      </c>
      <c r="B744">
        <v>729</v>
      </c>
      <c r="C744">
        <v>730</v>
      </c>
      <c r="D744" t="s">
        <v>43</v>
      </c>
      <c r="E744" t="s">
        <v>43</v>
      </c>
      <c r="F744">
        <v>0</v>
      </c>
      <c r="G744">
        <v>0</v>
      </c>
      <c r="H744">
        <v>0</v>
      </c>
      <c r="I744">
        <f t="shared" si="11"/>
        <v>0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>
      <c r="A745">
        <v>743</v>
      </c>
      <c r="B745">
        <v>730</v>
      </c>
      <c r="C745">
        <v>731</v>
      </c>
      <c r="D745" t="s">
        <v>6</v>
      </c>
      <c r="E745" t="s">
        <v>6</v>
      </c>
      <c r="F745">
        <v>0</v>
      </c>
      <c r="G745">
        <v>0</v>
      </c>
      <c r="H745">
        <v>0</v>
      </c>
      <c r="I745">
        <f t="shared" si="11"/>
        <v>0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>
      <c r="A746">
        <v>744</v>
      </c>
      <c r="B746">
        <v>731</v>
      </c>
      <c r="C746">
        <v>732</v>
      </c>
      <c r="D746" t="s">
        <v>4</v>
      </c>
      <c r="E746" t="s">
        <v>4</v>
      </c>
      <c r="F746">
        <v>0</v>
      </c>
      <c r="G746">
        <v>0</v>
      </c>
      <c r="H746">
        <v>0</v>
      </c>
      <c r="I746">
        <f t="shared" si="11"/>
        <v>0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>
      <c r="A747">
        <v>745</v>
      </c>
      <c r="B747">
        <v>732</v>
      </c>
      <c r="C747">
        <v>733</v>
      </c>
      <c r="D747" t="s">
        <v>44</v>
      </c>
      <c r="E747" t="s">
        <v>44</v>
      </c>
      <c r="F747" t="s">
        <v>44</v>
      </c>
      <c r="G747">
        <v>0.100103734439833</v>
      </c>
      <c r="H747">
        <v>0</v>
      </c>
      <c r="I747">
        <f t="shared" si="11"/>
        <v>1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>
      <c r="A748">
        <v>746</v>
      </c>
      <c r="B748">
        <v>733</v>
      </c>
      <c r="C748">
        <v>734</v>
      </c>
      <c r="D748" t="s">
        <v>4</v>
      </c>
      <c r="E748" t="s">
        <v>6</v>
      </c>
      <c r="F748">
        <v>0</v>
      </c>
      <c r="G748">
        <v>0</v>
      </c>
      <c r="H748">
        <v>0</v>
      </c>
      <c r="I748">
        <f t="shared" si="11"/>
        <v>0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>
      <c r="A749">
        <v>747</v>
      </c>
      <c r="B749">
        <v>734</v>
      </c>
      <c r="C749">
        <v>735</v>
      </c>
      <c r="D749" t="s">
        <v>6</v>
      </c>
      <c r="E749" t="s">
        <v>6</v>
      </c>
      <c r="F749">
        <v>0</v>
      </c>
      <c r="G749">
        <v>0</v>
      </c>
      <c r="H749">
        <v>0</v>
      </c>
      <c r="I749">
        <f t="shared" si="11"/>
        <v>0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>
      <c r="A750">
        <v>748</v>
      </c>
      <c r="B750">
        <v>735</v>
      </c>
      <c r="C750">
        <v>736</v>
      </c>
      <c r="D750" t="s">
        <v>6</v>
      </c>
      <c r="E750" t="s">
        <v>6</v>
      </c>
      <c r="F750">
        <v>0</v>
      </c>
      <c r="G750">
        <v>0</v>
      </c>
      <c r="H750">
        <v>0</v>
      </c>
      <c r="I750">
        <f t="shared" si="11"/>
        <v>0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>
      <c r="A751">
        <v>749</v>
      </c>
      <c r="B751">
        <v>736</v>
      </c>
      <c r="C751">
        <v>737</v>
      </c>
      <c r="D751" t="s">
        <v>4</v>
      </c>
      <c r="E751" t="s">
        <v>4</v>
      </c>
      <c r="F751">
        <v>0</v>
      </c>
      <c r="G751">
        <v>0</v>
      </c>
      <c r="H751">
        <v>0</v>
      </c>
      <c r="I751">
        <f t="shared" si="11"/>
        <v>0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>
      <c r="A752">
        <v>750</v>
      </c>
      <c r="B752">
        <v>737</v>
      </c>
      <c r="C752">
        <v>738</v>
      </c>
      <c r="D752" t="s">
        <v>4</v>
      </c>
      <c r="E752" t="s">
        <v>4</v>
      </c>
      <c r="F752">
        <v>0</v>
      </c>
      <c r="G752">
        <v>0</v>
      </c>
      <c r="H752">
        <v>0</v>
      </c>
      <c r="I752">
        <f t="shared" si="11"/>
        <v>0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>
      <c r="A753">
        <v>751</v>
      </c>
      <c r="B753">
        <v>738</v>
      </c>
      <c r="C753">
        <v>739</v>
      </c>
      <c r="D753" t="s">
        <v>6</v>
      </c>
      <c r="E753" t="s">
        <v>6</v>
      </c>
      <c r="F753">
        <v>0</v>
      </c>
      <c r="G753">
        <v>0</v>
      </c>
      <c r="H753">
        <v>0</v>
      </c>
      <c r="I753">
        <f t="shared" si="11"/>
        <v>0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>
      <c r="A754">
        <v>752</v>
      </c>
      <c r="B754">
        <v>739</v>
      </c>
      <c r="C754">
        <v>740</v>
      </c>
      <c r="D754" t="s">
        <v>10</v>
      </c>
      <c r="E754" t="s">
        <v>10</v>
      </c>
      <c r="F754">
        <v>0</v>
      </c>
      <c r="G754">
        <v>0</v>
      </c>
      <c r="H754">
        <v>0</v>
      </c>
      <c r="I754">
        <f t="shared" si="11"/>
        <v>0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>
      <c r="A755">
        <v>753</v>
      </c>
      <c r="B755">
        <v>740</v>
      </c>
      <c r="C755">
        <v>741</v>
      </c>
      <c r="D755" t="s">
        <v>5</v>
      </c>
      <c r="E755" t="s">
        <v>5</v>
      </c>
      <c r="F755">
        <v>0</v>
      </c>
      <c r="G755">
        <v>0</v>
      </c>
      <c r="H755">
        <v>0</v>
      </c>
      <c r="I755">
        <f t="shared" si="11"/>
        <v>0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>
      <c r="A756">
        <v>754</v>
      </c>
      <c r="B756">
        <v>741</v>
      </c>
      <c r="C756">
        <v>742</v>
      </c>
      <c r="D756" t="s">
        <v>7</v>
      </c>
      <c r="E756" t="s">
        <v>10</v>
      </c>
      <c r="F756">
        <v>0</v>
      </c>
      <c r="G756">
        <v>0</v>
      </c>
      <c r="H756">
        <v>0</v>
      </c>
      <c r="I756">
        <f t="shared" si="11"/>
        <v>0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>
      <c r="A757">
        <v>755</v>
      </c>
      <c r="B757">
        <v>742</v>
      </c>
      <c r="C757">
        <v>743</v>
      </c>
      <c r="D757" t="s">
        <v>5</v>
      </c>
      <c r="E757" t="s">
        <v>5</v>
      </c>
      <c r="F757">
        <v>0</v>
      </c>
      <c r="G757">
        <v>0</v>
      </c>
      <c r="H757">
        <v>0</v>
      </c>
      <c r="I757">
        <f t="shared" si="11"/>
        <v>0</v>
      </c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>
      <c r="A758">
        <v>756</v>
      </c>
      <c r="B758">
        <v>743</v>
      </c>
      <c r="C758">
        <v>744</v>
      </c>
      <c r="D758" t="s">
        <v>10</v>
      </c>
      <c r="E758" t="s">
        <v>10</v>
      </c>
      <c r="F758">
        <v>0</v>
      </c>
      <c r="G758">
        <v>0</v>
      </c>
      <c r="H758">
        <v>0</v>
      </c>
      <c r="I758">
        <f t="shared" si="11"/>
        <v>0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>
      <c r="A759">
        <v>757</v>
      </c>
      <c r="B759">
        <v>744</v>
      </c>
      <c r="C759">
        <v>745</v>
      </c>
      <c r="D759" t="s">
        <v>7</v>
      </c>
      <c r="E759" t="s">
        <v>7</v>
      </c>
      <c r="F759">
        <v>0</v>
      </c>
      <c r="G759">
        <v>0</v>
      </c>
      <c r="H759">
        <v>0</v>
      </c>
      <c r="I759">
        <f t="shared" si="11"/>
        <v>0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>
      <c r="A760">
        <v>758</v>
      </c>
      <c r="B760">
        <v>745</v>
      </c>
      <c r="C760">
        <v>746</v>
      </c>
      <c r="D760" t="s">
        <v>4</v>
      </c>
      <c r="E760" t="s">
        <v>44</v>
      </c>
      <c r="F760">
        <v>0</v>
      </c>
      <c r="G760">
        <v>0</v>
      </c>
      <c r="H760">
        <v>0</v>
      </c>
      <c r="I760">
        <f t="shared" si="11"/>
        <v>0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>
      <c r="A761">
        <v>759</v>
      </c>
      <c r="B761">
        <v>746</v>
      </c>
      <c r="C761">
        <v>747</v>
      </c>
      <c r="D761" t="s">
        <v>10</v>
      </c>
      <c r="E761" t="s">
        <v>10</v>
      </c>
      <c r="F761">
        <v>0</v>
      </c>
      <c r="G761">
        <v>0</v>
      </c>
      <c r="H761">
        <v>0</v>
      </c>
      <c r="I761">
        <f t="shared" si="11"/>
        <v>0</v>
      </c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>
      <c r="A762">
        <v>760</v>
      </c>
      <c r="B762">
        <v>747</v>
      </c>
      <c r="C762">
        <v>748</v>
      </c>
      <c r="D762" t="s">
        <v>7</v>
      </c>
      <c r="E762" t="s">
        <v>40</v>
      </c>
      <c r="F762">
        <v>0</v>
      </c>
      <c r="G762">
        <v>0</v>
      </c>
      <c r="H762">
        <v>0</v>
      </c>
      <c r="I762">
        <f t="shared" si="11"/>
        <v>0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>
      <c r="A763">
        <v>761</v>
      </c>
      <c r="B763">
        <v>748</v>
      </c>
      <c r="C763">
        <v>749</v>
      </c>
      <c r="D763" t="s">
        <v>45</v>
      </c>
      <c r="E763" t="s">
        <v>45</v>
      </c>
      <c r="F763">
        <v>0</v>
      </c>
      <c r="G763">
        <v>0</v>
      </c>
      <c r="H763">
        <v>0</v>
      </c>
      <c r="I763">
        <f t="shared" si="11"/>
        <v>0</v>
      </c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>
      <c r="A764">
        <v>762</v>
      </c>
      <c r="B764">
        <v>749</v>
      </c>
      <c r="C764">
        <v>750</v>
      </c>
      <c r="D764" t="s">
        <v>5</v>
      </c>
      <c r="E764" t="s">
        <v>3</v>
      </c>
      <c r="F764">
        <v>0</v>
      </c>
      <c r="G764">
        <v>0</v>
      </c>
      <c r="H764">
        <v>0</v>
      </c>
      <c r="I764">
        <f t="shared" si="11"/>
        <v>0</v>
      </c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>
      <c r="A765">
        <v>763</v>
      </c>
      <c r="B765">
        <v>750</v>
      </c>
      <c r="C765">
        <v>751</v>
      </c>
      <c r="D765" t="s">
        <v>4</v>
      </c>
      <c r="E765" t="s">
        <v>4</v>
      </c>
      <c r="F765">
        <v>0</v>
      </c>
      <c r="G765">
        <v>0</v>
      </c>
      <c r="H765">
        <v>0</v>
      </c>
      <c r="I765">
        <f t="shared" si="11"/>
        <v>0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>
      <c r="A766">
        <v>764</v>
      </c>
      <c r="B766">
        <v>751</v>
      </c>
      <c r="C766">
        <v>752</v>
      </c>
      <c r="D766" t="s">
        <v>46</v>
      </c>
      <c r="E766" t="s">
        <v>7</v>
      </c>
      <c r="F766">
        <v>0</v>
      </c>
      <c r="G766">
        <v>0</v>
      </c>
      <c r="H766">
        <v>0</v>
      </c>
      <c r="I766">
        <f t="shared" si="11"/>
        <v>0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>
      <c r="A767">
        <v>765</v>
      </c>
      <c r="B767">
        <v>752</v>
      </c>
      <c r="C767">
        <v>753</v>
      </c>
      <c r="D767" t="s">
        <v>40</v>
      </c>
      <c r="E767" t="s">
        <v>40</v>
      </c>
      <c r="F767">
        <v>0</v>
      </c>
      <c r="G767">
        <v>0</v>
      </c>
      <c r="H767">
        <v>0</v>
      </c>
      <c r="I767">
        <f t="shared" si="11"/>
        <v>0</v>
      </c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>
      <c r="A768">
        <v>766</v>
      </c>
      <c r="B768">
        <v>753</v>
      </c>
      <c r="C768">
        <v>754</v>
      </c>
      <c r="D768" t="s">
        <v>43</v>
      </c>
      <c r="E768" t="s">
        <v>1</v>
      </c>
      <c r="F768">
        <v>0</v>
      </c>
      <c r="G768">
        <v>0</v>
      </c>
      <c r="H768">
        <v>0</v>
      </c>
      <c r="I768">
        <f t="shared" si="11"/>
        <v>0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>
      <c r="A769">
        <v>767</v>
      </c>
      <c r="B769">
        <v>754</v>
      </c>
      <c r="C769">
        <v>755</v>
      </c>
      <c r="D769" t="s">
        <v>40</v>
      </c>
      <c r="E769" t="s">
        <v>40</v>
      </c>
      <c r="F769">
        <v>0</v>
      </c>
      <c r="G769">
        <v>0</v>
      </c>
      <c r="H769">
        <v>0</v>
      </c>
      <c r="I769">
        <f t="shared" si="11"/>
        <v>0</v>
      </c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>
      <c r="A770">
        <v>768</v>
      </c>
      <c r="B770">
        <v>755</v>
      </c>
      <c r="C770">
        <v>756</v>
      </c>
      <c r="D770" t="s">
        <v>44</v>
      </c>
      <c r="E770" t="s">
        <v>44</v>
      </c>
      <c r="F770">
        <v>0</v>
      </c>
      <c r="G770">
        <v>0</v>
      </c>
      <c r="H770">
        <v>0</v>
      </c>
      <c r="I770">
        <f t="shared" si="11"/>
        <v>0</v>
      </c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>
      <c r="A771">
        <v>769</v>
      </c>
      <c r="B771">
        <v>756</v>
      </c>
      <c r="C771">
        <v>757</v>
      </c>
      <c r="D771" t="s">
        <v>62</v>
      </c>
      <c r="E771" t="s">
        <v>62</v>
      </c>
      <c r="F771">
        <v>0</v>
      </c>
      <c r="G771">
        <v>0</v>
      </c>
      <c r="H771">
        <v>0</v>
      </c>
      <c r="I771">
        <f t="shared" ref="I771:I834" si="12">COUNTIF(G771:H771,"&gt;0.1")</f>
        <v>0</v>
      </c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>
      <c r="A772">
        <v>770</v>
      </c>
      <c r="B772">
        <v>757</v>
      </c>
      <c r="C772">
        <v>758</v>
      </c>
      <c r="D772" t="s">
        <v>45</v>
      </c>
      <c r="E772" t="s">
        <v>5</v>
      </c>
      <c r="F772">
        <v>0</v>
      </c>
      <c r="G772">
        <v>0</v>
      </c>
      <c r="H772">
        <v>0</v>
      </c>
      <c r="I772">
        <f t="shared" si="12"/>
        <v>0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>
      <c r="A773">
        <v>771</v>
      </c>
      <c r="B773">
        <v>758</v>
      </c>
      <c r="C773">
        <v>759</v>
      </c>
      <c r="D773" t="s">
        <v>5</v>
      </c>
      <c r="E773" t="s">
        <v>5</v>
      </c>
      <c r="F773">
        <v>0</v>
      </c>
      <c r="G773">
        <v>0</v>
      </c>
      <c r="H773">
        <v>0</v>
      </c>
      <c r="I773">
        <f t="shared" si="12"/>
        <v>0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>
      <c r="A774">
        <v>772</v>
      </c>
      <c r="B774">
        <v>759</v>
      </c>
      <c r="C774">
        <v>760</v>
      </c>
      <c r="D774" t="s">
        <v>40</v>
      </c>
      <c r="E774" t="s">
        <v>40</v>
      </c>
      <c r="F774">
        <v>0</v>
      </c>
      <c r="G774">
        <v>0</v>
      </c>
      <c r="H774">
        <v>0</v>
      </c>
      <c r="I774">
        <f t="shared" si="12"/>
        <v>0</v>
      </c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>
      <c r="A775">
        <v>773</v>
      </c>
      <c r="B775">
        <v>760</v>
      </c>
      <c r="C775">
        <v>761</v>
      </c>
      <c r="D775" t="s">
        <v>10</v>
      </c>
      <c r="E775" t="s">
        <v>10</v>
      </c>
      <c r="F775">
        <v>0</v>
      </c>
      <c r="G775">
        <v>0</v>
      </c>
      <c r="H775">
        <v>0</v>
      </c>
      <c r="I775">
        <f t="shared" si="12"/>
        <v>0</v>
      </c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>
      <c r="A776">
        <v>774</v>
      </c>
      <c r="B776">
        <v>761</v>
      </c>
      <c r="C776">
        <v>762</v>
      </c>
      <c r="D776" t="s">
        <v>7</v>
      </c>
      <c r="E776" t="s">
        <v>7</v>
      </c>
      <c r="F776" t="s">
        <v>3</v>
      </c>
      <c r="G776">
        <v>0</v>
      </c>
      <c r="H776">
        <v>0.359567901234567</v>
      </c>
      <c r="I776">
        <f t="shared" si="12"/>
        <v>1</v>
      </c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>
      <c r="A777">
        <v>775</v>
      </c>
      <c r="B777">
        <v>762</v>
      </c>
      <c r="C777">
        <v>763</v>
      </c>
      <c r="D777" t="s">
        <v>40</v>
      </c>
      <c r="E777" t="s">
        <v>40</v>
      </c>
      <c r="F777">
        <v>0</v>
      </c>
      <c r="G777">
        <v>0</v>
      </c>
      <c r="H777">
        <v>0</v>
      </c>
      <c r="I777">
        <f t="shared" si="12"/>
        <v>0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>
      <c r="A778">
        <v>776</v>
      </c>
      <c r="B778">
        <v>763</v>
      </c>
      <c r="C778">
        <v>764</v>
      </c>
      <c r="D778" t="s">
        <v>46</v>
      </c>
      <c r="E778" t="s">
        <v>48</v>
      </c>
      <c r="F778">
        <v>0</v>
      </c>
      <c r="G778">
        <v>0</v>
      </c>
      <c r="H778">
        <v>0</v>
      </c>
      <c r="I778">
        <f t="shared" si="12"/>
        <v>0</v>
      </c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>
      <c r="A779">
        <v>777</v>
      </c>
      <c r="B779">
        <v>764</v>
      </c>
      <c r="C779">
        <v>765</v>
      </c>
      <c r="D779" t="s">
        <v>40</v>
      </c>
      <c r="E779" t="s">
        <v>40</v>
      </c>
      <c r="F779">
        <v>0</v>
      </c>
      <c r="G779">
        <v>0</v>
      </c>
      <c r="H779">
        <v>0</v>
      </c>
      <c r="I779">
        <f t="shared" si="12"/>
        <v>0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>
      <c r="A780">
        <v>778</v>
      </c>
      <c r="B780">
        <v>765</v>
      </c>
      <c r="C780">
        <v>766</v>
      </c>
      <c r="D780" t="s">
        <v>46</v>
      </c>
      <c r="E780" t="s">
        <v>46</v>
      </c>
      <c r="F780">
        <v>0</v>
      </c>
      <c r="G780">
        <v>0</v>
      </c>
      <c r="H780">
        <v>0</v>
      </c>
      <c r="I780">
        <f t="shared" si="12"/>
        <v>0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>
      <c r="A781">
        <v>779</v>
      </c>
      <c r="B781">
        <v>766</v>
      </c>
      <c r="C781">
        <v>767</v>
      </c>
      <c r="D781" t="s">
        <v>7</v>
      </c>
      <c r="E781" t="s">
        <v>7</v>
      </c>
      <c r="F781">
        <v>0</v>
      </c>
      <c r="G781">
        <v>0</v>
      </c>
      <c r="H781">
        <v>0</v>
      </c>
      <c r="I781">
        <f t="shared" si="12"/>
        <v>0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>
      <c r="A782">
        <v>780</v>
      </c>
      <c r="B782">
        <v>767</v>
      </c>
      <c r="C782">
        <v>768</v>
      </c>
      <c r="D782" t="s">
        <v>61</v>
      </c>
      <c r="E782" t="s">
        <v>61</v>
      </c>
      <c r="F782">
        <v>0</v>
      </c>
      <c r="G782">
        <v>0</v>
      </c>
      <c r="H782">
        <v>0</v>
      </c>
      <c r="I782">
        <f t="shared" si="12"/>
        <v>0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>
      <c r="A783">
        <v>781</v>
      </c>
      <c r="B783">
        <v>768</v>
      </c>
      <c r="C783">
        <v>769</v>
      </c>
      <c r="D783" t="s">
        <v>9</v>
      </c>
      <c r="E783" t="s">
        <v>9</v>
      </c>
      <c r="F783">
        <v>0</v>
      </c>
      <c r="G783">
        <v>0</v>
      </c>
      <c r="H783">
        <v>0</v>
      </c>
      <c r="I783">
        <f t="shared" si="12"/>
        <v>0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>
      <c r="A784">
        <v>782</v>
      </c>
      <c r="B784">
        <v>769</v>
      </c>
      <c r="C784">
        <v>770</v>
      </c>
      <c r="D784" t="s">
        <v>10</v>
      </c>
      <c r="E784" t="s">
        <v>10</v>
      </c>
      <c r="F784">
        <v>0</v>
      </c>
      <c r="G784">
        <v>0</v>
      </c>
      <c r="H784">
        <v>0</v>
      </c>
      <c r="I784">
        <f t="shared" si="12"/>
        <v>0</v>
      </c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>
      <c r="A785">
        <v>783</v>
      </c>
      <c r="B785">
        <v>770</v>
      </c>
      <c r="C785">
        <v>771</v>
      </c>
      <c r="D785" t="s">
        <v>40</v>
      </c>
      <c r="E785" t="s">
        <v>40</v>
      </c>
      <c r="F785">
        <v>0</v>
      </c>
      <c r="G785">
        <v>0</v>
      </c>
      <c r="H785">
        <v>0</v>
      </c>
      <c r="I785">
        <f t="shared" si="12"/>
        <v>0</v>
      </c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>
      <c r="A786">
        <v>784</v>
      </c>
      <c r="B786">
        <v>771</v>
      </c>
      <c r="C786">
        <v>772</v>
      </c>
      <c r="D786" t="s">
        <v>2</v>
      </c>
      <c r="E786" t="s">
        <v>10</v>
      </c>
      <c r="F786">
        <v>0</v>
      </c>
      <c r="G786">
        <v>0</v>
      </c>
      <c r="H786">
        <v>0</v>
      </c>
      <c r="I786">
        <f t="shared" si="12"/>
        <v>0</v>
      </c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>
      <c r="A787">
        <v>785</v>
      </c>
      <c r="B787">
        <v>772</v>
      </c>
      <c r="C787">
        <v>773</v>
      </c>
      <c r="D787" t="s">
        <v>5</v>
      </c>
      <c r="E787" t="s">
        <v>5</v>
      </c>
      <c r="F787">
        <v>0</v>
      </c>
      <c r="G787">
        <v>0</v>
      </c>
      <c r="H787">
        <v>0</v>
      </c>
      <c r="I787">
        <f t="shared" si="12"/>
        <v>0</v>
      </c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>
      <c r="A788">
        <v>786</v>
      </c>
      <c r="B788">
        <v>773</v>
      </c>
      <c r="C788">
        <v>774</v>
      </c>
      <c r="D788" t="s">
        <v>40</v>
      </c>
      <c r="E788" t="s">
        <v>40</v>
      </c>
      <c r="F788">
        <v>0</v>
      </c>
      <c r="G788">
        <v>0</v>
      </c>
      <c r="H788">
        <v>0</v>
      </c>
      <c r="I788">
        <f t="shared" si="12"/>
        <v>0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>
      <c r="A789">
        <v>787</v>
      </c>
      <c r="B789">
        <v>774</v>
      </c>
      <c r="C789">
        <v>775</v>
      </c>
      <c r="D789" t="s">
        <v>40</v>
      </c>
      <c r="E789" t="s">
        <v>40</v>
      </c>
      <c r="F789">
        <v>0</v>
      </c>
      <c r="G789">
        <v>0</v>
      </c>
      <c r="H789">
        <v>0</v>
      </c>
      <c r="I789">
        <f t="shared" si="12"/>
        <v>0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>
      <c r="A790">
        <v>788</v>
      </c>
      <c r="B790">
        <v>775</v>
      </c>
      <c r="C790">
        <v>776</v>
      </c>
      <c r="D790" t="s">
        <v>40</v>
      </c>
      <c r="E790" t="s">
        <v>40</v>
      </c>
      <c r="F790">
        <v>0</v>
      </c>
      <c r="G790">
        <v>0</v>
      </c>
      <c r="H790">
        <v>0</v>
      </c>
      <c r="I790">
        <f t="shared" si="12"/>
        <v>0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>
      <c r="A791">
        <v>789</v>
      </c>
      <c r="B791">
        <v>776</v>
      </c>
      <c r="C791">
        <v>777</v>
      </c>
      <c r="D791" t="s">
        <v>44</v>
      </c>
      <c r="E791" t="s">
        <v>44</v>
      </c>
      <c r="F791">
        <v>0</v>
      </c>
      <c r="G791">
        <v>0</v>
      </c>
      <c r="H791">
        <v>0</v>
      </c>
      <c r="I791">
        <f t="shared" si="12"/>
        <v>0</v>
      </c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>
      <c r="A792">
        <v>790</v>
      </c>
      <c r="B792">
        <v>777</v>
      </c>
      <c r="C792">
        <v>778</v>
      </c>
      <c r="D792" t="s">
        <v>45</v>
      </c>
      <c r="E792" t="s">
        <v>45</v>
      </c>
      <c r="F792">
        <v>0</v>
      </c>
      <c r="G792">
        <v>0</v>
      </c>
      <c r="H792">
        <v>0</v>
      </c>
      <c r="I792">
        <f t="shared" si="12"/>
        <v>0</v>
      </c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>
      <c r="A793">
        <v>791</v>
      </c>
      <c r="B793">
        <v>778</v>
      </c>
      <c r="C793">
        <v>779</v>
      </c>
      <c r="D793" t="s">
        <v>2</v>
      </c>
      <c r="E793" t="s">
        <v>2</v>
      </c>
      <c r="F793">
        <v>0</v>
      </c>
      <c r="G793">
        <v>0</v>
      </c>
      <c r="H793">
        <v>0</v>
      </c>
      <c r="I793">
        <f t="shared" si="12"/>
        <v>0</v>
      </c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>
      <c r="A794">
        <v>792</v>
      </c>
      <c r="B794">
        <v>779</v>
      </c>
      <c r="C794">
        <v>780</v>
      </c>
      <c r="D794" t="s">
        <v>10</v>
      </c>
      <c r="E794" t="s">
        <v>10</v>
      </c>
      <c r="F794">
        <v>0</v>
      </c>
      <c r="G794">
        <v>0</v>
      </c>
      <c r="H794">
        <v>0</v>
      </c>
      <c r="I794">
        <f t="shared" si="12"/>
        <v>0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>
      <c r="A795">
        <v>793</v>
      </c>
      <c r="B795">
        <v>780</v>
      </c>
      <c r="C795">
        <v>781</v>
      </c>
      <c r="D795" t="s">
        <v>44</v>
      </c>
      <c r="E795" t="s">
        <v>44</v>
      </c>
      <c r="F795">
        <v>0</v>
      </c>
      <c r="G795">
        <v>0</v>
      </c>
      <c r="H795">
        <v>0</v>
      </c>
      <c r="I795">
        <f t="shared" si="12"/>
        <v>0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>
      <c r="A796">
        <v>794</v>
      </c>
      <c r="B796">
        <v>781</v>
      </c>
      <c r="C796">
        <v>782</v>
      </c>
      <c r="D796" t="s">
        <v>45</v>
      </c>
      <c r="E796" t="s">
        <v>45</v>
      </c>
      <c r="F796" t="s">
        <v>45</v>
      </c>
      <c r="G796">
        <v>0.109080708503646</v>
      </c>
      <c r="H796">
        <v>0</v>
      </c>
      <c r="I796">
        <f t="shared" si="12"/>
        <v>1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>
      <c r="A797">
        <v>795</v>
      </c>
      <c r="B797">
        <v>782</v>
      </c>
      <c r="C797">
        <v>783</v>
      </c>
      <c r="D797" t="s">
        <v>6</v>
      </c>
      <c r="E797" t="s">
        <v>6</v>
      </c>
      <c r="F797">
        <v>0</v>
      </c>
      <c r="G797">
        <v>0</v>
      </c>
      <c r="H797">
        <v>0</v>
      </c>
      <c r="I797">
        <f t="shared" si="12"/>
        <v>0</v>
      </c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>
      <c r="A798">
        <v>796</v>
      </c>
      <c r="B798">
        <v>783</v>
      </c>
      <c r="C798">
        <v>784</v>
      </c>
      <c r="D798" t="s">
        <v>40</v>
      </c>
      <c r="E798" t="s">
        <v>40</v>
      </c>
      <c r="F798">
        <v>0</v>
      </c>
      <c r="G798">
        <v>0</v>
      </c>
      <c r="H798">
        <v>0</v>
      </c>
      <c r="I798">
        <f t="shared" si="12"/>
        <v>0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>
      <c r="A799">
        <v>797</v>
      </c>
      <c r="B799">
        <v>784</v>
      </c>
      <c r="C799">
        <v>785</v>
      </c>
      <c r="D799" t="s">
        <v>40</v>
      </c>
      <c r="E799" t="s">
        <v>40</v>
      </c>
      <c r="F799">
        <v>0</v>
      </c>
      <c r="G799">
        <v>0</v>
      </c>
      <c r="H799">
        <v>0</v>
      </c>
      <c r="I799">
        <f t="shared" si="12"/>
        <v>0</v>
      </c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>
      <c r="A800">
        <v>798</v>
      </c>
      <c r="B800">
        <v>785</v>
      </c>
      <c r="C800">
        <v>786</v>
      </c>
      <c r="D800" t="s">
        <v>4</v>
      </c>
      <c r="E800" t="s">
        <v>4</v>
      </c>
      <c r="F800">
        <v>0</v>
      </c>
      <c r="G800">
        <v>0</v>
      </c>
      <c r="H800">
        <v>0</v>
      </c>
      <c r="I800">
        <f t="shared" si="12"/>
        <v>0</v>
      </c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>
      <c r="A801">
        <v>799</v>
      </c>
      <c r="B801">
        <v>786</v>
      </c>
      <c r="C801">
        <v>787</v>
      </c>
      <c r="D801" t="s">
        <v>10</v>
      </c>
      <c r="E801" t="s">
        <v>10</v>
      </c>
      <c r="F801">
        <v>0</v>
      </c>
      <c r="G801">
        <v>0</v>
      </c>
      <c r="H801">
        <v>0</v>
      </c>
      <c r="I801">
        <f t="shared" si="12"/>
        <v>0</v>
      </c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>
      <c r="A802">
        <v>800</v>
      </c>
      <c r="B802">
        <v>787</v>
      </c>
      <c r="C802">
        <v>788</v>
      </c>
      <c r="D802" t="s">
        <v>10</v>
      </c>
      <c r="E802" t="s">
        <v>10</v>
      </c>
      <c r="F802">
        <v>0</v>
      </c>
      <c r="G802">
        <v>0</v>
      </c>
      <c r="H802">
        <v>0</v>
      </c>
      <c r="I802">
        <f t="shared" si="12"/>
        <v>0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>
      <c r="A803">
        <v>801</v>
      </c>
      <c r="B803">
        <v>788</v>
      </c>
      <c r="C803">
        <v>789</v>
      </c>
      <c r="D803" t="s">
        <v>4</v>
      </c>
      <c r="E803" t="s">
        <v>4</v>
      </c>
      <c r="F803">
        <v>0</v>
      </c>
      <c r="G803">
        <v>0</v>
      </c>
      <c r="H803">
        <v>0</v>
      </c>
      <c r="I803">
        <f t="shared" si="12"/>
        <v>0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>
      <c r="A804">
        <v>802</v>
      </c>
      <c r="B804">
        <v>789</v>
      </c>
      <c r="C804">
        <v>790</v>
      </c>
      <c r="D804" t="s">
        <v>62</v>
      </c>
      <c r="E804" t="s">
        <v>62</v>
      </c>
      <c r="F804">
        <v>0</v>
      </c>
      <c r="G804">
        <v>0</v>
      </c>
      <c r="H804">
        <v>0</v>
      </c>
      <c r="I804">
        <f t="shared" si="12"/>
        <v>0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>
      <c r="A805">
        <v>803</v>
      </c>
      <c r="B805">
        <v>790</v>
      </c>
      <c r="C805">
        <v>791</v>
      </c>
      <c r="D805" t="s">
        <v>4</v>
      </c>
      <c r="E805" t="s">
        <v>6</v>
      </c>
      <c r="F805">
        <v>0</v>
      </c>
      <c r="G805">
        <v>0</v>
      </c>
      <c r="H805">
        <v>0</v>
      </c>
      <c r="I805">
        <f t="shared" si="12"/>
        <v>0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>
      <c r="A806">
        <v>804</v>
      </c>
      <c r="B806">
        <v>791</v>
      </c>
      <c r="C806">
        <v>792</v>
      </c>
      <c r="D806" t="s">
        <v>44</v>
      </c>
      <c r="E806" t="s">
        <v>1</v>
      </c>
      <c r="F806">
        <v>0</v>
      </c>
      <c r="G806">
        <v>0</v>
      </c>
      <c r="H806">
        <v>0</v>
      </c>
      <c r="I806">
        <f t="shared" si="12"/>
        <v>0</v>
      </c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>
      <c r="A807">
        <v>805</v>
      </c>
      <c r="B807">
        <v>792</v>
      </c>
      <c r="C807">
        <v>793</v>
      </c>
      <c r="D807" t="s">
        <v>40</v>
      </c>
      <c r="E807" t="s">
        <v>40</v>
      </c>
      <c r="F807">
        <v>0</v>
      </c>
      <c r="G807">
        <v>0</v>
      </c>
      <c r="H807">
        <v>0</v>
      </c>
      <c r="I807">
        <f t="shared" si="12"/>
        <v>0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>
      <c r="A808">
        <v>806</v>
      </c>
      <c r="B808">
        <v>793</v>
      </c>
      <c r="C808">
        <v>794</v>
      </c>
      <c r="D808" t="s">
        <v>8</v>
      </c>
      <c r="E808" t="s">
        <v>8</v>
      </c>
      <c r="F808">
        <v>0</v>
      </c>
      <c r="G808">
        <v>0</v>
      </c>
      <c r="H808">
        <v>0</v>
      </c>
      <c r="I808">
        <f t="shared" si="12"/>
        <v>0</v>
      </c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>
      <c r="A809">
        <v>807</v>
      </c>
      <c r="B809">
        <v>794</v>
      </c>
      <c r="C809">
        <v>795</v>
      </c>
      <c r="D809" t="s">
        <v>61</v>
      </c>
      <c r="E809" t="s">
        <v>61</v>
      </c>
      <c r="F809">
        <v>0</v>
      </c>
      <c r="G809">
        <v>0</v>
      </c>
      <c r="H809">
        <v>0</v>
      </c>
      <c r="I809">
        <f t="shared" si="12"/>
        <v>0</v>
      </c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>
      <c r="A810">
        <v>808</v>
      </c>
      <c r="B810">
        <v>795</v>
      </c>
      <c r="C810">
        <v>796</v>
      </c>
      <c r="D810" t="s">
        <v>62</v>
      </c>
      <c r="E810" t="s">
        <v>62</v>
      </c>
      <c r="F810">
        <v>0</v>
      </c>
      <c r="G810">
        <v>0</v>
      </c>
      <c r="H810">
        <v>0</v>
      </c>
      <c r="I810">
        <f t="shared" si="12"/>
        <v>0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>
      <c r="A811">
        <v>809</v>
      </c>
      <c r="B811">
        <v>796</v>
      </c>
      <c r="C811">
        <v>797</v>
      </c>
      <c r="D811" t="s">
        <v>62</v>
      </c>
      <c r="E811" t="s">
        <v>62</v>
      </c>
      <c r="F811">
        <v>0</v>
      </c>
      <c r="G811">
        <v>0</v>
      </c>
      <c r="H811">
        <v>0</v>
      </c>
      <c r="I811">
        <f t="shared" si="12"/>
        <v>0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>
      <c r="A812">
        <v>810</v>
      </c>
      <c r="B812">
        <v>797</v>
      </c>
      <c r="C812">
        <v>798</v>
      </c>
      <c r="D812" t="s">
        <v>7</v>
      </c>
      <c r="E812" t="s">
        <v>3</v>
      </c>
      <c r="F812">
        <v>0</v>
      </c>
      <c r="G812">
        <v>0</v>
      </c>
      <c r="H812">
        <v>0</v>
      </c>
      <c r="I812">
        <f t="shared" si="12"/>
        <v>0</v>
      </c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>
      <c r="A813">
        <v>811</v>
      </c>
      <c r="B813">
        <v>798</v>
      </c>
      <c r="C813">
        <v>799</v>
      </c>
      <c r="D813" t="s">
        <v>40</v>
      </c>
      <c r="E813" t="s">
        <v>40</v>
      </c>
      <c r="F813">
        <v>0</v>
      </c>
      <c r="G813">
        <v>0</v>
      </c>
      <c r="H813">
        <v>0</v>
      </c>
      <c r="I813">
        <f t="shared" si="12"/>
        <v>0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>
      <c r="A814">
        <v>812</v>
      </c>
      <c r="B814">
        <v>799</v>
      </c>
      <c r="C814">
        <v>800</v>
      </c>
      <c r="D814" t="s">
        <v>40</v>
      </c>
      <c r="E814" t="s">
        <v>40</v>
      </c>
      <c r="F814">
        <v>0</v>
      </c>
      <c r="G814">
        <v>0</v>
      </c>
      <c r="H814">
        <v>0</v>
      </c>
      <c r="I814">
        <f t="shared" si="12"/>
        <v>0</v>
      </c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>
      <c r="A815">
        <v>813</v>
      </c>
      <c r="B815">
        <v>800</v>
      </c>
      <c r="C815">
        <v>801</v>
      </c>
      <c r="D815" t="s">
        <v>42</v>
      </c>
      <c r="E815" t="s">
        <v>42</v>
      </c>
      <c r="F815">
        <v>0</v>
      </c>
      <c r="G815">
        <v>0</v>
      </c>
      <c r="H815">
        <v>0</v>
      </c>
      <c r="I815">
        <f t="shared" si="12"/>
        <v>0</v>
      </c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>
      <c r="A816">
        <v>814</v>
      </c>
      <c r="B816">
        <v>801</v>
      </c>
      <c r="C816">
        <v>802</v>
      </c>
      <c r="D816" t="s">
        <v>61</v>
      </c>
      <c r="E816" t="s">
        <v>61</v>
      </c>
      <c r="F816">
        <v>0</v>
      </c>
      <c r="G816">
        <v>0</v>
      </c>
      <c r="H816">
        <v>0</v>
      </c>
      <c r="I816">
        <f t="shared" si="12"/>
        <v>0</v>
      </c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>
      <c r="A817">
        <v>815</v>
      </c>
      <c r="B817">
        <v>802</v>
      </c>
      <c r="C817">
        <v>803</v>
      </c>
      <c r="D817" t="s">
        <v>62</v>
      </c>
      <c r="E817" t="s">
        <v>62</v>
      </c>
      <c r="F817">
        <v>0</v>
      </c>
      <c r="G817">
        <v>0</v>
      </c>
      <c r="H817">
        <v>0</v>
      </c>
      <c r="I817">
        <f t="shared" si="12"/>
        <v>0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>
      <c r="A818">
        <v>816</v>
      </c>
      <c r="B818">
        <v>803</v>
      </c>
      <c r="C818">
        <v>804</v>
      </c>
      <c r="D818" t="s">
        <v>7</v>
      </c>
      <c r="E818" t="s">
        <v>7</v>
      </c>
      <c r="F818">
        <v>0</v>
      </c>
      <c r="G818">
        <v>0</v>
      </c>
      <c r="H818">
        <v>0</v>
      </c>
      <c r="I818">
        <f t="shared" si="12"/>
        <v>0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>
      <c r="A819">
        <v>817</v>
      </c>
      <c r="B819">
        <v>804</v>
      </c>
      <c r="C819">
        <v>805</v>
      </c>
      <c r="D819" t="s">
        <v>42</v>
      </c>
      <c r="E819" t="s">
        <v>42</v>
      </c>
      <c r="F819">
        <v>0</v>
      </c>
      <c r="G819">
        <v>0</v>
      </c>
      <c r="H819">
        <v>0</v>
      </c>
      <c r="I819">
        <f t="shared" si="12"/>
        <v>0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>
      <c r="A820">
        <v>818</v>
      </c>
      <c r="B820">
        <v>805</v>
      </c>
      <c r="C820">
        <v>806</v>
      </c>
      <c r="D820" t="s">
        <v>6</v>
      </c>
      <c r="E820" t="s">
        <v>6</v>
      </c>
      <c r="F820">
        <v>0</v>
      </c>
      <c r="G820">
        <v>0</v>
      </c>
      <c r="H820">
        <v>0</v>
      </c>
      <c r="I820">
        <f t="shared" si="12"/>
        <v>0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>
      <c r="A821">
        <v>819</v>
      </c>
      <c r="B821">
        <v>806</v>
      </c>
      <c r="C821">
        <v>807</v>
      </c>
      <c r="D821" t="s">
        <v>40</v>
      </c>
      <c r="E821" t="s">
        <v>40</v>
      </c>
      <c r="F821">
        <v>0</v>
      </c>
      <c r="G821">
        <v>0</v>
      </c>
      <c r="H821">
        <v>0</v>
      </c>
      <c r="I821">
        <f t="shared" si="12"/>
        <v>0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>
      <c r="A822">
        <v>820</v>
      </c>
      <c r="B822">
        <v>807</v>
      </c>
      <c r="C822">
        <v>808</v>
      </c>
      <c r="D822" t="s">
        <v>8</v>
      </c>
      <c r="E822" t="s">
        <v>8</v>
      </c>
      <c r="F822">
        <v>0</v>
      </c>
      <c r="G822">
        <v>0</v>
      </c>
      <c r="H822">
        <v>0</v>
      </c>
      <c r="I822">
        <f t="shared" si="12"/>
        <v>0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>
      <c r="A823">
        <v>821</v>
      </c>
      <c r="B823">
        <v>808</v>
      </c>
      <c r="C823">
        <v>809</v>
      </c>
      <c r="D823" t="s">
        <v>3</v>
      </c>
      <c r="E823" t="s">
        <v>3</v>
      </c>
      <c r="F823">
        <v>0</v>
      </c>
      <c r="G823">
        <v>0</v>
      </c>
      <c r="H823">
        <v>0</v>
      </c>
      <c r="I823">
        <f t="shared" si="12"/>
        <v>0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>
      <c r="A824">
        <v>822</v>
      </c>
      <c r="B824">
        <v>809</v>
      </c>
      <c r="C824">
        <v>810</v>
      </c>
      <c r="D824" t="s">
        <v>7</v>
      </c>
      <c r="E824" t="s">
        <v>7</v>
      </c>
      <c r="F824">
        <v>0</v>
      </c>
      <c r="G824">
        <v>0</v>
      </c>
      <c r="H824">
        <v>0</v>
      </c>
      <c r="I824">
        <f t="shared" si="12"/>
        <v>0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>
      <c r="A825">
        <v>823</v>
      </c>
      <c r="B825">
        <v>810</v>
      </c>
      <c r="C825">
        <v>811</v>
      </c>
      <c r="D825" t="s">
        <v>1</v>
      </c>
      <c r="E825" t="s">
        <v>1</v>
      </c>
      <c r="F825">
        <v>0</v>
      </c>
      <c r="G825">
        <v>0</v>
      </c>
      <c r="H825">
        <v>0</v>
      </c>
      <c r="I825">
        <f t="shared" si="12"/>
        <v>0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>
      <c r="A826">
        <v>824</v>
      </c>
      <c r="B826">
        <v>811</v>
      </c>
      <c r="C826">
        <v>812</v>
      </c>
      <c r="D826" t="s">
        <v>45</v>
      </c>
      <c r="E826" t="s">
        <v>45</v>
      </c>
      <c r="F826">
        <v>0</v>
      </c>
      <c r="G826">
        <v>0</v>
      </c>
      <c r="H826">
        <v>0</v>
      </c>
      <c r="I826">
        <f t="shared" si="12"/>
        <v>0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>
      <c r="A827">
        <v>825</v>
      </c>
      <c r="B827">
        <v>812</v>
      </c>
      <c r="C827">
        <v>813</v>
      </c>
      <c r="D827" t="s">
        <v>7</v>
      </c>
      <c r="E827" t="s">
        <v>7</v>
      </c>
      <c r="F827">
        <v>0</v>
      </c>
      <c r="G827">
        <v>0</v>
      </c>
      <c r="H827">
        <v>0</v>
      </c>
      <c r="I827">
        <f t="shared" si="12"/>
        <v>0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>
      <c r="A828">
        <v>826</v>
      </c>
      <c r="B828">
        <v>813</v>
      </c>
      <c r="C828">
        <v>814</v>
      </c>
      <c r="D828" t="s">
        <v>40</v>
      </c>
      <c r="E828" t="s">
        <v>40</v>
      </c>
      <c r="F828">
        <v>0</v>
      </c>
      <c r="G828">
        <v>0</v>
      </c>
      <c r="H828">
        <v>0</v>
      </c>
      <c r="I828">
        <f t="shared" si="12"/>
        <v>0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>
      <c r="A829">
        <v>827</v>
      </c>
      <c r="B829">
        <v>814</v>
      </c>
      <c r="C829">
        <v>815</v>
      </c>
      <c r="D829" t="s">
        <v>40</v>
      </c>
      <c r="E829" t="s">
        <v>40</v>
      </c>
      <c r="F829">
        <v>0</v>
      </c>
      <c r="G829">
        <v>0</v>
      </c>
      <c r="H829">
        <v>0</v>
      </c>
      <c r="I829">
        <f t="shared" si="12"/>
        <v>0</v>
      </c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>
      <c r="A830">
        <v>828</v>
      </c>
      <c r="B830">
        <v>815</v>
      </c>
      <c r="C830">
        <v>816</v>
      </c>
      <c r="D830" t="s">
        <v>3</v>
      </c>
      <c r="E830" t="s">
        <v>3</v>
      </c>
      <c r="F830">
        <v>0</v>
      </c>
      <c r="G830">
        <v>0</v>
      </c>
      <c r="H830">
        <v>0</v>
      </c>
      <c r="I830">
        <f t="shared" si="12"/>
        <v>0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>
      <c r="A831">
        <v>829</v>
      </c>
      <c r="B831">
        <v>816</v>
      </c>
      <c r="C831">
        <v>817</v>
      </c>
      <c r="D831" t="s">
        <v>1</v>
      </c>
      <c r="E831" t="s">
        <v>1</v>
      </c>
      <c r="F831">
        <v>0</v>
      </c>
      <c r="G831">
        <v>0</v>
      </c>
      <c r="H831">
        <v>0</v>
      </c>
      <c r="I831">
        <f t="shared" si="12"/>
        <v>0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>
      <c r="A832">
        <v>830</v>
      </c>
      <c r="B832">
        <v>817</v>
      </c>
      <c r="C832">
        <v>818</v>
      </c>
      <c r="D832" t="s">
        <v>2</v>
      </c>
      <c r="E832" t="s">
        <v>2</v>
      </c>
      <c r="F832">
        <v>0</v>
      </c>
      <c r="G832">
        <v>0</v>
      </c>
      <c r="H832">
        <v>0</v>
      </c>
      <c r="I832">
        <f t="shared" si="12"/>
        <v>0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>
      <c r="A833">
        <v>831</v>
      </c>
      <c r="B833">
        <v>818</v>
      </c>
      <c r="C833">
        <v>819</v>
      </c>
      <c r="D833" t="s">
        <v>1</v>
      </c>
      <c r="E833" t="s">
        <v>1</v>
      </c>
      <c r="F833">
        <v>0</v>
      </c>
      <c r="G833">
        <v>0</v>
      </c>
      <c r="H833">
        <v>0</v>
      </c>
      <c r="I833">
        <f t="shared" si="12"/>
        <v>0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>
      <c r="A834">
        <v>832</v>
      </c>
      <c r="B834">
        <v>819</v>
      </c>
      <c r="C834">
        <v>820</v>
      </c>
      <c r="D834" t="s">
        <v>44</v>
      </c>
      <c r="E834" t="s">
        <v>44</v>
      </c>
      <c r="F834">
        <v>0</v>
      </c>
      <c r="G834">
        <v>0</v>
      </c>
      <c r="H834">
        <v>0</v>
      </c>
      <c r="I834">
        <f t="shared" si="12"/>
        <v>0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>
      <c r="A835">
        <v>833</v>
      </c>
      <c r="B835">
        <v>820</v>
      </c>
      <c r="C835">
        <v>821</v>
      </c>
      <c r="D835" t="s">
        <v>1</v>
      </c>
      <c r="E835" t="s">
        <v>1</v>
      </c>
      <c r="F835">
        <v>0</v>
      </c>
      <c r="G835">
        <v>0</v>
      </c>
      <c r="H835">
        <v>0</v>
      </c>
      <c r="I835">
        <f t="shared" ref="I835:I870" si="13">COUNTIF(G835:H835,"&gt;0.1")</f>
        <v>0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>
      <c r="A836">
        <v>834</v>
      </c>
      <c r="B836">
        <v>821</v>
      </c>
      <c r="C836">
        <v>822</v>
      </c>
      <c r="D836" t="s">
        <v>45</v>
      </c>
      <c r="E836" t="s">
        <v>45</v>
      </c>
      <c r="F836">
        <v>0</v>
      </c>
      <c r="G836">
        <v>0</v>
      </c>
      <c r="H836">
        <v>0</v>
      </c>
      <c r="I836">
        <f t="shared" si="13"/>
        <v>0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>
      <c r="A837">
        <v>835</v>
      </c>
      <c r="B837">
        <v>822</v>
      </c>
      <c r="C837">
        <v>823</v>
      </c>
      <c r="D837" t="s">
        <v>1</v>
      </c>
      <c r="E837" t="s">
        <v>1</v>
      </c>
      <c r="F837">
        <v>0</v>
      </c>
      <c r="G837">
        <v>0</v>
      </c>
      <c r="H837">
        <v>0</v>
      </c>
      <c r="I837">
        <f t="shared" si="13"/>
        <v>0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>
      <c r="A838">
        <v>836</v>
      </c>
      <c r="B838">
        <v>823</v>
      </c>
      <c r="C838">
        <v>824</v>
      </c>
      <c r="D838" t="s">
        <v>6</v>
      </c>
      <c r="E838" t="s">
        <v>6</v>
      </c>
      <c r="F838">
        <v>0</v>
      </c>
      <c r="G838">
        <v>0</v>
      </c>
      <c r="H838">
        <v>0</v>
      </c>
      <c r="I838">
        <f t="shared" si="13"/>
        <v>0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>
      <c r="A839">
        <v>837</v>
      </c>
      <c r="B839">
        <v>824</v>
      </c>
      <c r="C839">
        <v>825</v>
      </c>
      <c r="D839" t="s">
        <v>10</v>
      </c>
      <c r="E839" t="s">
        <v>4</v>
      </c>
      <c r="F839">
        <v>0</v>
      </c>
      <c r="G839">
        <v>0</v>
      </c>
      <c r="H839">
        <v>0</v>
      </c>
      <c r="I839">
        <f t="shared" si="13"/>
        <v>0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>
      <c r="A840">
        <v>838</v>
      </c>
      <c r="B840">
        <v>825</v>
      </c>
      <c r="C840">
        <v>826</v>
      </c>
      <c r="D840" t="s">
        <v>2</v>
      </c>
      <c r="E840" t="s">
        <v>2</v>
      </c>
      <c r="F840">
        <v>0</v>
      </c>
      <c r="G840">
        <v>0</v>
      </c>
      <c r="H840">
        <v>0</v>
      </c>
      <c r="I840">
        <f t="shared" si="13"/>
        <v>0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>
      <c r="A841">
        <v>839</v>
      </c>
      <c r="B841">
        <v>826</v>
      </c>
      <c r="C841">
        <v>827</v>
      </c>
      <c r="D841" t="s">
        <v>5</v>
      </c>
      <c r="E841" t="s">
        <v>5</v>
      </c>
      <c r="F841">
        <v>0</v>
      </c>
      <c r="G841">
        <v>0</v>
      </c>
      <c r="H841">
        <v>0</v>
      </c>
      <c r="I841">
        <f t="shared" si="13"/>
        <v>0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>
      <c r="A842">
        <v>840</v>
      </c>
      <c r="B842">
        <v>827</v>
      </c>
      <c r="C842">
        <v>828</v>
      </c>
      <c r="D842" t="s">
        <v>10</v>
      </c>
      <c r="E842" t="s">
        <v>10</v>
      </c>
      <c r="F842">
        <v>0</v>
      </c>
      <c r="G842">
        <v>0</v>
      </c>
      <c r="H842">
        <v>0</v>
      </c>
      <c r="I842">
        <f t="shared" si="13"/>
        <v>0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>
      <c r="A843">
        <v>841</v>
      </c>
      <c r="B843">
        <v>828</v>
      </c>
      <c r="C843">
        <v>829</v>
      </c>
      <c r="D843" t="s">
        <v>44</v>
      </c>
      <c r="E843" t="s">
        <v>45</v>
      </c>
      <c r="F843">
        <v>0</v>
      </c>
      <c r="G843">
        <v>0</v>
      </c>
      <c r="H843">
        <v>0</v>
      </c>
      <c r="I843">
        <f t="shared" si="13"/>
        <v>0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>
      <c r="A844">
        <v>842</v>
      </c>
      <c r="B844">
        <v>829</v>
      </c>
      <c r="C844">
        <v>830</v>
      </c>
      <c r="D844" t="s">
        <v>44</v>
      </c>
      <c r="E844" t="s">
        <v>44</v>
      </c>
      <c r="F844">
        <v>0</v>
      </c>
      <c r="G844">
        <v>0</v>
      </c>
      <c r="H844">
        <v>0</v>
      </c>
      <c r="I844">
        <f t="shared" si="13"/>
        <v>0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>
      <c r="A845">
        <v>843</v>
      </c>
      <c r="B845">
        <v>830</v>
      </c>
      <c r="C845">
        <v>831</v>
      </c>
      <c r="D845" t="s">
        <v>6</v>
      </c>
      <c r="E845" t="s">
        <v>6</v>
      </c>
      <c r="F845">
        <v>0</v>
      </c>
      <c r="G845">
        <v>0</v>
      </c>
      <c r="H845">
        <v>0</v>
      </c>
      <c r="I845">
        <f t="shared" si="13"/>
        <v>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>
      <c r="A846">
        <v>844</v>
      </c>
      <c r="B846">
        <v>831</v>
      </c>
      <c r="C846">
        <v>832</v>
      </c>
      <c r="D846" t="s">
        <v>44</v>
      </c>
      <c r="E846" t="s">
        <v>45</v>
      </c>
      <c r="F846">
        <v>0</v>
      </c>
      <c r="G846">
        <v>0</v>
      </c>
      <c r="H846">
        <v>0</v>
      </c>
      <c r="I846">
        <f t="shared" si="13"/>
        <v>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>
      <c r="A847">
        <v>845</v>
      </c>
      <c r="B847">
        <v>832</v>
      </c>
      <c r="C847">
        <v>833</v>
      </c>
      <c r="D847" t="s">
        <v>45</v>
      </c>
      <c r="E847" t="s">
        <v>45</v>
      </c>
      <c r="F847">
        <v>0</v>
      </c>
      <c r="G847">
        <v>0</v>
      </c>
      <c r="H847">
        <v>0</v>
      </c>
      <c r="I847">
        <f t="shared" si="13"/>
        <v>0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>
      <c r="A848">
        <v>846</v>
      </c>
      <c r="B848">
        <v>833</v>
      </c>
      <c r="C848">
        <v>834</v>
      </c>
      <c r="D848" t="s">
        <v>42</v>
      </c>
      <c r="E848" t="s">
        <v>42</v>
      </c>
      <c r="F848">
        <v>0</v>
      </c>
      <c r="G848">
        <v>0</v>
      </c>
      <c r="H848">
        <v>0</v>
      </c>
      <c r="I848">
        <f t="shared" si="13"/>
        <v>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>
      <c r="A849">
        <v>847</v>
      </c>
      <c r="B849">
        <v>834</v>
      </c>
      <c r="C849">
        <v>835</v>
      </c>
      <c r="D849" t="s">
        <v>10</v>
      </c>
      <c r="E849" t="s">
        <v>4</v>
      </c>
      <c r="F849">
        <v>0</v>
      </c>
      <c r="G849">
        <v>0</v>
      </c>
      <c r="H849">
        <v>0</v>
      </c>
      <c r="I849">
        <f t="shared" si="13"/>
        <v>0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>
      <c r="A850">
        <v>848</v>
      </c>
      <c r="B850">
        <v>835</v>
      </c>
      <c r="C850">
        <v>836</v>
      </c>
      <c r="D850" t="s">
        <v>45</v>
      </c>
      <c r="E850" t="s">
        <v>1</v>
      </c>
      <c r="F850">
        <v>0</v>
      </c>
      <c r="G850">
        <v>0</v>
      </c>
      <c r="H850">
        <v>0</v>
      </c>
      <c r="I850">
        <f t="shared" si="13"/>
        <v>0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>
      <c r="A851">
        <v>849</v>
      </c>
      <c r="B851">
        <v>836</v>
      </c>
      <c r="C851">
        <v>837</v>
      </c>
      <c r="D851" t="s">
        <v>46</v>
      </c>
      <c r="E851" t="s">
        <v>48</v>
      </c>
      <c r="F851">
        <v>0</v>
      </c>
      <c r="G851">
        <v>0</v>
      </c>
      <c r="H851">
        <v>0</v>
      </c>
      <c r="I851">
        <f t="shared" si="13"/>
        <v>0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>
      <c r="A852">
        <v>850</v>
      </c>
      <c r="B852">
        <v>837</v>
      </c>
      <c r="C852">
        <v>838</v>
      </c>
      <c r="D852" t="s">
        <v>10</v>
      </c>
      <c r="E852" t="s">
        <v>10</v>
      </c>
      <c r="F852">
        <v>0</v>
      </c>
      <c r="G852">
        <v>0</v>
      </c>
      <c r="H852">
        <v>0</v>
      </c>
      <c r="I852">
        <f t="shared" si="13"/>
        <v>0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>
      <c r="A853">
        <v>851</v>
      </c>
      <c r="B853">
        <v>838</v>
      </c>
      <c r="C853">
        <v>839</v>
      </c>
      <c r="D853" t="s">
        <v>1</v>
      </c>
      <c r="E853" t="s">
        <v>1</v>
      </c>
      <c r="F853">
        <v>0</v>
      </c>
      <c r="G853">
        <v>0</v>
      </c>
      <c r="H853">
        <v>0</v>
      </c>
      <c r="I853">
        <f t="shared" si="13"/>
        <v>0</v>
      </c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>
      <c r="A854">
        <v>852</v>
      </c>
      <c r="B854">
        <v>839</v>
      </c>
      <c r="C854">
        <v>840</v>
      </c>
      <c r="D854" t="s">
        <v>40</v>
      </c>
      <c r="E854" t="s">
        <v>44</v>
      </c>
      <c r="F854">
        <v>0</v>
      </c>
      <c r="G854">
        <v>0</v>
      </c>
      <c r="H854">
        <v>0</v>
      </c>
      <c r="I854">
        <f t="shared" si="13"/>
        <v>0</v>
      </c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>
      <c r="A855">
        <v>853</v>
      </c>
      <c r="B855">
        <v>840</v>
      </c>
      <c r="C855">
        <v>841</v>
      </c>
      <c r="D855" t="s">
        <v>40</v>
      </c>
      <c r="E855" t="s">
        <v>10</v>
      </c>
      <c r="F855">
        <v>0</v>
      </c>
      <c r="G855">
        <v>0</v>
      </c>
      <c r="H855">
        <v>0</v>
      </c>
      <c r="I855">
        <f t="shared" si="13"/>
        <v>0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>
      <c r="A856">
        <v>854</v>
      </c>
      <c r="B856">
        <v>841</v>
      </c>
      <c r="C856">
        <v>842</v>
      </c>
      <c r="D856" t="s">
        <v>9</v>
      </c>
      <c r="E856" t="s">
        <v>9</v>
      </c>
      <c r="F856">
        <v>0</v>
      </c>
      <c r="G856">
        <v>0</v>
      </c>
      <c r="H856">
        <v>0</v>
      </c>
      <c r="I856">
        <f t="shared" si="13"/>
        <v>0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>
      <c r="A857">
        <v>855</v>
      </c>
      <c r="B857">
        <v>842</v>
      </c>
      <c r="C857">
        <v>843</v>
      </c>
      <c r="D857" t="s">
        <v>44</v>
      </c>
      <c r="E857" t="s">
        <v>44</v>
      </c>
      <c r="F857">
        <v>0</v>
      </c>
      <c r="G857">
        <v>0</v>
      </c>
      <c r="H857">
        <v>0</v>
      </c>
      <c r="I857">
        <f t="shared" si="13"/>
        <v>0</v>
      </c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>
      <c r="A858">
        <v>856</v>
      </c>
      <c r="B858">
        <v>843</v>
      </c>
      <c r="C858">
        <v>844</v>
      </c>
      <c r="D858" t="s">
        <v>43</v>
      </c>
      <c r="E858" t="s">
        <v>43</v>
      </c>
      <c r="F858">
        <v>0</v>
      </c>
      <c r="G858">
        <v>0</v>
      </c>
      <c r="H858">
        <v>0</v>
      </c>
      <c r="I858">
        <f t="shared" si="13"/>
        <v>0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>
      <c r="A859">
        <v>857</v>
      </c>
      <c r="B859">
        <v>844</v>
      </c>
      <c r="C859">
        <v>845</v>
      </c>
      <c r="D859" t="s">
        <v>10</v>
      </c>
      <c r="E859" t="s">
        <v>10</v>
      </c>
      <c r="F859">
        <v>0</v>
      </c>
      <c r="G859">
        <v>0</v>
      </c>
      <c r="H859">
        <v>0</v>
      </c>
      <c r="I859">
        <f t="shared" si="13"/>
        <v>0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>
      <c r="A860">
        <v>858</v>
      </c>
      <c r="B860">
        <v>845</v>
      </c>
      <c r="C860">
        <v>846</v>
      </c>
      <c r="D860" t="s">
        <v>10</v>
      </c>
      <c r="E860" t="s">
        <v>10</v>
      </c>
      <c r="F860">
        <v>0</v>
      </c>
      <c r="G860">
        <v>0</v>
      </c>
      <c r="H860">
        <v>0</v>
      </c>
      <c r="I860">
        <f t="shared" si="13"/>
        <v>0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>
      <c r="A861">
        <v>859</v>
      </c>
      <c r="B861">
        <v>846</v>
      </c>
      <c r="C861">
        <v>847</v>
      </c>
      <c r="D861" t="s">
        <v>44</v>
      </c>
      <c r="E861" t="s">
        <v>44</v>
      </c>
      <c r="F861">
        <v>0</v>
      </c>
      <c r="G861">
        <v>0</v>
      </c>
      <c r="H861">
        <v>0</v>
      </c>
      <c r="I861">
        <f t="shared" si="13"/>
        <v>0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>
      <c r="A862">
        <v>860</v>
      </c>
      <c r="B862">
        <v>847</v>
      </c>
      <c r="C862">
        <v>848</v>
      </c>
      <c r="D862" t="s">
        <v>10</v>
      </c>
      <c r="E862" t="s">
        <v>10</v>
      </c>
      <c r="F862">
        <v>0</v>
      </c>
      <c r="G862">
        <v>0</v>
      </c>
      <c r="H862">
        <v>0</v>
      </c>
      <c r="I862">
        <f t="shared" si="13"/>
        <v>0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>
      <c r="A863">
        <v>861</v>
      </c>
      <c r="B863">
        <v>848</v>
      </c>
      <c r="C863">
        <v>849</v>
      </c>
      <c r="D863" t="s">
        <v>42</v>
      </c>
      <c r="E863" t="s">
        <v>42</v>
      </c>
      <c r="F863">
        <v>0</v>
      </c>
      <c r="G863">
        <v>0</v>
      </c>
      <c r="H863">
        <v>0</v>
      </c>
      <c r="I863">
        <f t="shared" si="13"/>
        <v>0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>
      <c r="A864">
        <v>862</v>
      </c>
      <c r="B864">
        <v>849</v>
      </c>
      <c r="C864">
        <v>850</v>
      </c>
      <c r="D864" t="s">
        <v>4</v>
      </c>
      <c r="E864" t="s">
        <v>4</v>
      </c>
      <c r="F864">
        <v>0</v>
      </c>
      <c r="G864">
        <v>0</v>
      </c>
      <c r="H864">
        <v>0</v>
      </c>
      <c r="I864">
        <f t="shared" si="13"/>
        <v>0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>
      <c r="A865">
        <v>863</v>
      </c>
      <c r="B865">
        <v>850</v>
      </c>
      <c r="C865">
        <v>851</v>
      </c>
      <c r="D865" t="s">
        <v>46</v>
      </c>
      <c r="E865" t="s">
        <v>40</v>
      </c>
      <c r="F865">
        <v>0</v>
      </c>
      <c r="G865">
        <v>0</v>
      </c>
      <c r="H865">
        <v>0</v>
      </c>
      <c r="I865">
        <f t="shared" si="13"/>
        <v>0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>
      <c r="A866">
        <v>864</v>
      </c>
      <c r="B866">
        <v>851</v>
      </c>
      <c r="C866">
        <v>852</v>
      </c>
      <c r="D866" t="s">
        <v>6</v>
      </c>
      <c r="E866" t="s">
        <v>6</v>
      </c>
      <c r="F866">
        <v>0</v>
      </c>
      <c r="G866">
        <v>0</v>
      </c>
      <c r="H866">
        <v>0</v>
      </c>
      <c r="I866">
        <f t="shared" si="13"/>
        <v>0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>
      <c r="A867">
        <v>865</v>
      </c>
      <c r="B867">
        <v>852</v>
      </c>
      <c r="C867">
        <v>853</v>
      </c>
      <c r="D867" t="s">
        <v>10</v>
      </c>
      <c r="E867" t="s">
        <v>10</v>
      </c>
      <c r="F867">
        <v>0</v>
      </c>
      <c r="G867">
        <v>0</v>
      </c>
      <c r="H867">
        <v>0</v>
      </c>
      <c r="I867">
        <f t="shared" si="13"/>
        <v>0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>
      <c r="A868">
        <v>866</v>
      </c>
      <c r="B868">
        <v>853</v>
      </c>
      <c r="C868">
        <v>854</v>
      </c>
      <c r="D868" t="s">
        <v>1</v>
      </c>
      <c r="E868" t="s">
        <v>44</v>
      </c>
      <c r="F868">
        <v>0</v>
      </c>
      <c r="G868">
        <v>0</v>
      </c>
      <c r="H868">
        <v>0</v>
      </c>
      <c r="I868">
        <f t="shared" si="13"/>
        <v>0</v>
      </c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>
      <c r="A869">
        <v>867</v>
      </c>
      <c r="B869">
        <v>854</v>
      </c>
      <c r="C869">
        <v>855</v>
      </c>
      <c r="D869" t="s">
        <v>40</v>
      </c>
      <c r="E869" t="s">
        <v>40</v>
      </c>
      <c r="F869" t="s">
        <v>41</v>
      </c>
      <c r="G869">
        <v>0.35344418052256499</v>
      </c>
      <c r="H869">
        <v>0</v>
      </c>
      <c r="I869">
        <f t="shared" si="13"/>
        <v>1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>
      <c r="A870">
        <v>868</v>
      </c>
      <c r="B870">
        <v>855</v>
      </c>
      <c r="C870">
        <v>856</v>
      </c>
      <c r="D870" t="s">
        <v>40</v>
      </c>
      <c r="E870" t="s">
        <v>40</v>
      </c>
      <c r="F870" t="s">
        <v>44</v>
      </c>
      <c r="G870">
        <v>0.14704776231666</v>
      </c>
      <c r="H870">
        <v>0</v>
      </c>
      <c r="I870">
        <f t="shared" si="13"/>
        <v>1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>
      <c r="A872" s="6"/>
      <c r="B872" s="6"/>
      <c r="C872" s="6"/>
      <c r="D872" s="6"/>
      <c r="E872" s="6"/>
      <c r="F872" s="6"/>
      <c r="G872" s="6"/>
      <c r="H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>
      <c r="A873" s="6"/>
      <c r="B873" s="6"/>
      <c r="C873" s="6"/>
      <c r="D873" s="6"/>
      <c r="E873" s="6"/>
      <c r="F873" s="6"/>
      <c r="G873" s="6"/>
      <c r="H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>
      <c r="A874" s="6"/>
      <c r="B874" s="6"/>
      <c r="C874" s="6"/>
      <c r="D874" s="6"/>
      <c r="E874" s="6"/>
      <c r="F874" s="6"/>
      <c r="G874" s="6"/>
      <c r="H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>
      <c r="A875" s="6"/>
      <c r="B875" s="6"/>
      <c r="C875" s="6"/>
      <c r="D875" s="6"/>
      <c r="E875" s="6"/>
      <c r="F875" s="6"/>
      <c r="G875" s="6"/>
      <c r="H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>
      <c r="A876" s="6"/>
      <c r="B876" s="6"/>
      <c r="C876" s="6"/>
      <c r="D876" s="6"/>
      <c r="E876" s="6"/>
      <c r="F876" s="6"/>
      <c r="G876" s="6"/>
      <c r="H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>
      <c r="A877" s="6"/>
      <c r="B877" s="6"/>
      <c r="C877" s="6"/>
      <c r="D877" s="6"/>
      <c r="E877" s="6"/>
      <c r="F877" s="6"/>
      <c r="G877" s="6"/>
      <c r="H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>
      <c r="A878" s="6"/>
      <c r="B878" s="6"/>
      <c r="C878" s="6"/>
      <c r="D878" s="6"/>
      <c r="E878" s="6"/>
      <c r="F878" s="6"/>
      <c r="G878" s="6"/>
      <c r="H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>
      <c r="A879" s="6"/>
      <c r="B879" s="6"/>
      <c r="C879" s="6"/>
      <c r="D879" s="6"/>
      <c r="E879" s="6"/>
      <c r="F879" s="6"/>
      <c r="G879" s="6"/>
      <c r="H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>
      <c r="A880" s="6"/>
      <c r="B880" s="6"/>
      <c r="C880" s="6"/>
      <c r="D880" s="6"/>
      <c r="E880" s="6"/>
      <c r="F880" s="6"/>
      <c r="G880" s="6"/>
      <c r="H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>
      <c r="A881" s="6"/>
      <c r="B881" s="6"/>
      <c r="C881" s="6"/>
      <c r="D881" s="6"/>
      <c r="E881" s="6"/>
      <c r="F881" s="6"/>
      <c r="G881" s="6"/>
      <c r="H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>
      <c r="A882" s="6"/>
      <c r="B882" s="6"/>
      <c r="C882" s="6"/>
      <c r="D882" s="6"/>
      <c r="E882" s="6"/>
      <c r="F882" s="6"/>
      <c r="G882" s="6"/>
      <c r="H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>
      <c r="A883" s="6"/>
      <c r="B883" s="6"/>
      <c r="C883" s="6"/>
      <c r="D883" s="6"/>
      <c r="E883" s="6"/>
      <c r="F883" s="6"/>
      <c r="G883" s="6"/>
      <c r="H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>
      <c r="A884" s="6"/>
      <c r="B884" s="6"/>
      <c r="C884" s="6"/>
      <c r="D884" s="6"/>
      <c r="E884" s="6"/>
      <c r="F884" s="6"/>
      <c r="G884" s="6"/>
      <c r="H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>
      <c r="A885" s="6"/>
      <c r="B885" s="6"/>
      <c r="C885" s="6"/>
      <c r="D885" s="6"/>
      <c r="E885" s="6"/>
      <c r="F885" s="6"/>
      <c r="G885" s="6"/>
      <c r="H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>
      <c r="A886" s="6"/>
      <c r="B886" s="6"/>
      <c r="C886" s="6"/>
      <c r="D886" s="6"/>
      <c r="E886" s="6"/>
      <c r="F886" s="6"/>
      <c r="G886" s="6"/>
      <c r="H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>
      <c r="A887" s="6"/>
      <c r="B887" s="6"/>
      <c r="C887" s="6"/>
      <c r="D887" s="6"/>
      <c r="E887" s="6"/>
      <c r="F887" s="6"/>
      <c r="G887" s="6"/>
      <c r="H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>
      <c r="A888" s="6"/>
      <c r="B888" s="6"/>
      <c r="C888" s="6"/>
      <c r="D888" s="6"/>
      <c r="E888" s="6"/>
      <c r="F888" s="6"/>
      <c r="G888" s="6"/>
      <c r="H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>
      <c r="A889" s="6"/>
      <c r="B889" s="6"/>
      <c r="C889" s="6"/>
      <c r="D889" s="6"/>
      <c r="E889" s="6"/>
      <c r="F889" s="6"/>
      <c r="G889" s="6"/>
      <c r="H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>
      <c r="A890" s="6"/>
      <c r="B890" s="6"/>
      <c r="C890" s="6"/>
      <c r="D890" s="6"/>
      <c r="E890" s="6"/>
      <c r="F890" s="6"/>
      <c r="G890" s="6"/>
      <c r="H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>
      <c r="A891" s="6"/>
      <c r="B891" s="6"/>
      <c r="C891" s="6"/>
      <c r="D891" s="6"/>
      <c r="E891" s="6"/>
      <c r="F891" s="6"/>
      <c r="G891" s="6"/>
      <c r="H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>
      <c r="A892" s="6"/>
      <c r="B892" s="6"/>
      <c r="C892" s="6"/>
      <c r="D892" s="6"/>
      <c r="E892" s="6"/>
      <c r="F892" s="6"/>
      <c r="G892" s="6"/>
      <c r="H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>
      <c r="A893" s="6"/>
      <c r="B893" s="6"/>
      <c r="C893" s="6"/>
      <c r="D893" s="6"/>
      <c r="E893" s="6"/>
      <c r="F893" s="6"/>
      <c r="G893" s="6"/>
      <c r="H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>
      <c r="A894" s="6"/>
      <c r="B894" s="6"/>
      <c r="C894" s="6"/>
      <c r="D894" s="6"/>
      <c r="E894" s="6"/>
      <c r="F894" s="6"/>
      <c r="G894" s="6"/>
      <c r="H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</sheetData>
  <autoFilter ref="A1:AB894" xr:uid="{B630E3F6-8850-5E42-8793-BC2E0F8F528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E13" sqref="E1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7" t="s">
        <v>259</v>
      </c>
      <c r="B1" s="17" t="s">
        <v>75</v>
      </c>
      <c r="C1" s="17" t="s">
        <v>76</v>
      </c>
      <c r="D1" s="17" t="s">
        <v>77</v>
      </c>
      <c r="E1" s="17" t="s">
        <v>78</v>
      </c>
      <c r="F1" s="17" t="s">
        <v>79</v>
      </c>
    </row>
    <row r="2" spans="1:6" ht="17">
      <c r="A2" s="18" t="s">
        <v>30</v>
      </c>
      <c r="B2" s="16">
        <v>12</v>
      </c>
      <c r="C2" s="16"/>
      <c r="D2" s="16">
        <v>1</v>
      </c>
      <c r="E2" s="16"/>
      <c r="F2" s="16"/>
    </row>
    <row r="3" spans="1:6" ht="17">
      <c r="A3" s="18" t="s">
        <v>31</v>
      </c>
      <c r="B3" s="16">
        <v>7</v>
      </c>
      <c r="C3" s="16"/>
      <c r="D3" s="16">
        <v>1</v>
      </c>
      <c r="E3" s="16"/>
      <c r="F3" s="16"/>
    </row>
    <row r="4" spans="1:6" ht="17">
      <c r="A4" s="18" t="s">
        <v>32</v>
      </c>
      <c r="B4" s="16">
        <v>4</v>
      </c>
      <c r="C4" s="16"/>
      <c r="D4" s="16">
        <v>1</v>
      </c>
      <c r="E4" s="16"/>
      <c r="F4" s="16"/>
    </row>
    <row r="5" spans="1:6" ht="17">
      <c r="A5" s="18" t="s">
        <v>33</v>
      </c>
      <c r="B5" s="16">
        <v>5</v>
      </c>
      <c r="C5" s="16"/>
      <c r="D5" s="16">
        <v>1</v>
      </c>
      <c r="E5" s="16"/>
      <c r="F5" s="16"/>
    </row>
    <row r="6" spans="1:6" ht="17">
      <c r="A6" s="18" t="s">
        <v>34</v>
      </c>
      <c r="B6" s="16">
        <v>14</v>
      </c>
      <c r="C6" s="16"/>
      <c r="D6" s="16">
        <v>1</v>
      </c>
      <c r="E6" s="16"/>
      <c r="F6" s="16"/>
    </row>
    <row r="7" spans="1:6" ht="17">
      <c r="A7" s="18" t="s">
        <v>195</v>
      </c>
      <c r="B7" s="16">
        <v>3</v>
      </c>
      <c r="C7" s="16"/>
      <c r="D7" s="16">
        <v>1</v>
      </c>
      <c r="E7" s="16"/>
      <c r="F7" s="16"/>
    </row>
    <row r="8" spans="1:6" ht="17">
      <c r="A8" s="18" t="s">
        <v>35</v>
      </c>
      <c r="B8" s="16">
        <v>5</v>
      </c>
      <c r="C8" s="16"/>
      <c r="D8" s="16">
        <v>1</v>
      </c>
      <c r="E8" s="16"/>
      <c r="F8" s="16"/>
    </row>
    <row r="9" spans="1:6" ht="17">
      <c r="A9" s="18" t="s">
        <v>36</v>
      </c>
      <c r="B9" s="16">
        <v>8</v>
      </c>
      <c r="C9" s="16"/>
      <c r="D9" s="16">
        <v>1</v>
      </c>
      <c r="E9" s="16"/>
      <c r="F9" s="16"/>
    </row>
    <row r="10" spans="1:6" ht="17">
      <c r="A10" s="18" t="s">
        <v>37</v>
      </c>
      <c r="B10" s="16">
        <v>2</v>
      </c>
      <c r="C10" s="16"/>
      <c r="D10" s="16">
        <v>1</v>
      </c>
      <c r="E10" s="16"/>
      <c r="F10" s="16"/>
    </row>
    <row r="11" spans="1:6" ht="17">
      <c r="A11" s="18" t="s">
        <v>38</v>
      </c>
      <c r="B11" s="16">
        <v>2</v>
      </c>
      <c r="C11" s="16"/>
      <c r="D11" s="16">
        <v>1</v>
      </c>
      <c r="E11" s="16"/>
      <c r="F11" s="16"/>
    </row>
    <row r="12" spans="1:6" ht="17">
      <c r="A12" s="18" t="s">
        <v>13</v>
      </c>
      <c r="B12" s="16">
        <v>10</v>
      </c>
      <c r="C12" s="16"/>
      <c r="D12" s="16">
        <v>1</v>
      </c>
      <c r="E12" s="16"/>
      <c r="F12" s="16"/>
    </row>
    <row r="13" spans="1:6" ht="17">
      <c r="A13" s="18" t="s">
        <v>14</v>
      </c>
      <c r="B13" s="16">
        <v>3</v>
      </c>
      <c r="C13" s="16"/>
      <c r="D13" s="16">
        <v>1</v>
      </c>
      <c r="E13" s="16"/>
      <c r="F13" s="16"/>
    </row>
    <row r="14" spans="1:6" ht="17">
      <c r="A14" s="18" t="s">
        <v>15</v>
      </c>
      <c r="B14" s="16">
        <v>4</v>
      </c>
      <c r="C14" s="16"/>
      <c r="D14" s="16">
        <v>1</v>
      </c>
      <c r="E14" s="16"/>
      <c r="F14" s="16"/>
    </row>
    <row r="15" spans="1:6" ht="17">
      <c r="A15" s="18" t="s">
        <v>16</v>
      </c>
      <c r="B15" s="16">
        <v>3</v>
      </c>
      <c r="C15" s="16"/>
      <c r="D15" s="16">
        <v>1</v>
      </c>
      <c r="E15" s="16"/>
      <c r="F15" s="16"/>
    </row>
    <row r="16" spans="1:6" ht="17">
      <c r="A16" s="18" t="s">
        <v>17</v>
      </c>
      <c r="B16" s="16">
        <v>4</v>
      </c>
      <c r="C16" s="16"/>
      <c r="D16" s="16">
        <v>1</v>
      </c>
      <c r="E16" s="16"/>
      <c r="F16" s="16"/>
    </row>
    <row r="17" spans="1:6" ht="17">
      <c r="A17" s="18" t="s">
        <v>212</v>
      </c>
      <c r="B17" s="16">
        <v>4</v>
      </c>
      <c r="C17" s="16"/>
      <c r="D17" s="16">
        <v>1</v>
      </c>
      <c r="E17" s="16"/>
      <c r="F17" s="16"/>
    </row>
    <row r="18" spans="1:6" ht="17">
      <c r="A18" s="18" t="s">
        <v>213</v>
      </c>
      <c r="B18" s="16">
        <v>4</v>
      </c>
      <c r="C18" s="16"/>
      <c r="D18" s="16">
        <v>1</v>
      </c>
      <c r="E18" s="16"/>
      <c r="F18" s="16"/>
    </row>
    <row r="19" spans="1:6" ht="17">
      <c r="A19" s="18" t="s">
        <v>18</v>
      </c>
      <c r="B19" s="16">
        <v>6</v>
      </c>
      <c r="C19" s="16"/>
      <c r="D19" s="16">
        <v>1</v>
      </c>
      <c r="E19" s="16"/>
      <c r="F19" s="16"/>
    </row>
    <row r="20" spans="1:6" ht="17">
      <c r="A20" s="18" t="s">
        <v>19</v>
      </c>
      <c r="B20" s="16">
        <v>15</v>
      </c>
      <c r="C20" s="16"/>
      <c r="D20" s="16">
        <v>1</v>
      </c>
      <c r="E20" s="16"/>
      <c r="F20" s="16"/>
    </row>
    <row r="21" spans="1:6" ht="17">
      <c r="A21" s="18" t="s">
        <v>20</v>
      </c>
      <c r="B21" s="16">
        <v>8</v>
      </c>
      <c r="C21" s="16"/>
      <c r="D21" s="16">
        <v>1</v>
      </c>
      <c r="E21" s="16"/>
      <c r="F21" s="16"/>
    </row>
    <row r="22" spans="1:6" ht="17">
      <c r="A22" s="18" t="s">
        <v>21</v>
      </c>
      <c r="B22" s="16">
        <v>5</v>
      </c>
      <c r="C22" s="16"/>
      <c r="D22" s="16">
        <v>1</v>
      </c>
      <c r="E22" s="16"/>
      <c r="F22" s="16"/>
    </row>
    <row r="23" spans="1:6" ht="17">
      <c r="A23" s="18" t="s">
        <v>22</v>
      </c>
      <c r="B23" s="16">
        <v>5</v>
      </c>
      <c r="C23" s="16"/>
      <c r="D23" s="16">
        <v>1</v>
      </c>
      <c r="E23" s="16"/>
      <c r="F23" s="16"/>
    </row>
    <row r="24" spans="1:6" ht="17">
      <c r="A24" s="18" t="s">
        <v>23</v>
      </c>
      <c r="B24" s="16">
        <v>5</v>
      </c>
      <c r="C24" s="16"/>
      <c r="D24" s="16">
        <v>1</v>
      </c>
      <c r="E24" s="16"/>
      <c r="F24" s="16"/>
    </row>
    <row r="25" spans="1:6" ht="17">
      <c r="A25" s="18" t="s">
        <v>24</v>
      </c>
      <c r="B25" s="16">
        <v>3</v>
      </c>
      <c r="C25" s="16"/>
      <c r="D25" s="16">
        <v>1</v>
      </c>
      <c r="E25" s="16"/>
      <c r="F25" s="16"/>
    </row>
    <row r="26" spans="1:6" ht="17">
      <c r="A26" s="18" t="s">
        <v>25</v>
      </c>
      <c r="B26" s="16">
        <v>14</v>
      </c>
      <c r="C26" s="16"/>
      <c r="D26" s="16">
        <v>1</v>
      </c>
      <c r="E26" s="16"/>
      <c r="F26" s="16"/>
    </row>
    <row r="27" spans="1:6" ht="17">
      <c r="A27" s="18" t="s">
        <v>26</v>
      </c>
      <c r="B27" s="16">
        <v>6</v>
      </c>
      <c r="C27" s="16"/>
      <c r="D27" s="16">
        <v>1</v>
      </c>
      <c r="E27" s="16"/>
      <c r="F27" s="16"/>
    </row>
    <row r="28" spans="1:6" ht="17">
      <c r="A28" s="18" t="s">
        <v>27</v>
      </c>
      <c r="B28" s="16">
        <v>4</v>
      </c>
      <c r="C28" s="16"/>
      <c r="D28" s="16">
        <v>1</v>
      </c>
      <c r="E28" s="16"/>
      <c r="F28" s="16"/>
    </row>
    <row r="29" spans="1:6" ht="17">
      <c r="A29" s="18" t="s">
        <v>223</v>
      </c>
      <c r="B29" s="16">
        <v>4</v>
      </c>
      <c r="C29" s="16"/>
      <c r="D29" s="16">
        <v>1</v>
      </c>
      <c r="E29" s="16"/>
      <c r="F29" s="16"/>
    </row>
    <row r="30" spans="1:6" ht="17">
      <c r="A30" s="18" t="s">
        <v>28</v>
      </c>
      <c r="B30" s="16">
        <v>2</v>
      </c>
      <c r="C30" s="16"/>
      <c r="D30" s="16">
        <v>1</v>
      </c>
      <c r="E30" s="16"/>
      <c r="F30" s="16"/>
    </row>
    <row r="31" spans="1:6" ht="17">
      <c r="A31" s="18" t="s">
        <v>29</v>
      </c>
      <c r="B31" s="16">
        <v>4</v>
      </c>
      <c r="C31" s="16"/>
      <c r="D31" s="16">
        <v>1</v>
      </c>
      <c r="E31" s="16"/>
      <c r="F31" s="16"/>
    </row>
    <row r="32" spans="1:6">
      <c r="A32" s="14" t="s">
        <v>238</v>
      </c>
      <c r="B32" s="14">
        <v>2</v>
      </c>
      <c r="C32" s="13"/>
      <c r="D32" s="14">
        <v>1</v>
      </c>
      <c r="E32" s="13"/>
      <c r="F32" s="13"/>
    </row>
    <row r="33" spans="1:6">
      <c r="A33" s="14" t="s">
        <v>239</v>
      </c>
      <c r="B33" s="14">
        <v>2</v>
      </c>
      <c r="C33" s="13"/>
      <c r="D33" s="14">
        <v>1</v>
      </c>
      <c r="E33" s="13"/>
      <c r="F33" s="13"/>
    </row>
    <row r="34" spans="1:6" ht="17">
      <c r="A34" s="18" t="s">
        <v>191</v>
      </c>
      <c r="B34" s="16">
        <v>20</v>
      </c>
      <c r="C34" s="16"/>
      <c r="D34" s="16">
        <v>0</v>
      </c>
      <c r="E34" s="16"/>
      <c r="F34" s="16"/>
    </row>
    <row r="35" spans="1:6" ht="17">
      <c r="A35" s="18" t="s">
        <v>192</v>
      </c>
      <c r="B35" s="16">
        <v>22</v>
      </c>
      <c r="C35" s="16"/>
      <c r="D35" s="16">
        <v>0</v>
      </c>
      <c r="E35" s="16"/>
      <c r="F35" s="16"/>
    </row>
    <row r="36" spans="1:6" ht="17">
      <c r="A36" s="18" t="s">
        <v>193</v>
      </c>
      <c r="B36" s="16">
        <v>14</v>
      </c>
      <c r="C36" s="16"/>
      <c r="D36" s="16">
        <v>0</v>
      </c>
      <c r="E36" s="16"/>
      <c r="F36" s="16"/>
    </row>
    <row r="37" spans="1:6" ht="17">
      <c r="A37" s="18" t="s">
        <v>194</v>
      </c>
      <c r="B37" s="16">
        <v>15</v>
      </c>
      <c r="C37" s="16"/>
      <c r="D37" s="16">
        <v>0</v>
      </c>
      <c r="E37" s="16"/>
      <c r="F37" s="16"/>
    </row>
    <row r="38" spans="1:6" ht="17">
      <c r="A38" s="18" t="s">
        <v>196</v>
      </c>
      <c r="B38" s="16">
        <v>22</v>
      </c>
      <c r="C38" s="16"/>
      <c r="D38" s="16">
        <v>0</v>
      </c>
      <c r="E38" s="16"/>
      <c r="F38" s="16"/>
    </row>
    <row r="39" spans="1:6" ht="17">
      <c r="A39" s="18" t="s">
        <v>198</v>
      </c>
      <c r="B39" s="16">
        <v>22</v>
      </c>
      <c r="C39" s="16"/>
      <c r="D39" s="16">
        <v>0</v>
      </c>
      <c r="E39" s="16"/>
      <c r="F39" s="16"/>
    </row>
    <row r="40" spans="1:6" ht="17">
      <c r="A40" s="18" t="s">
        <v>199</v>
      </c>
      <c r="B40" s="16">
        <v>17</v>
      </c>
      <c r="C40" s="16"/>
      <c r="D40" s="16">
        <v>0</v>
      </c>
      <c r="E40" s="16"/>
      <c r="F40" s="16"/>
    </row>
    <row r="41" spans="1:6" ht="17">
      <c r="A41" s="18" t="s">
        <v>200</v>
      </c>
      <c r="B41" s="16">
        <v>12</v>
      </c>
      <c r="C41" s="16"/>
      <c r="D41" s="16">
        <v>0</v>
      </c>
      <c r="E41" s="16"/>
      <c r="F41" s="16"/>
    </row>
    <row r="42" spans="1:6" ht="17">
      <c r="A42" s="18" t="s">
        <v>201</v>
      </c>
      <c r="B42" s="16">
        <v>17</v>
      </c>
      <c r="C42" s="16"/>
      <c r="D42" s="16">
        <v>0</v>
      </c>
      <c r="E42" s="16"/>
      <c r="F42" s="16"/>
    </row>
    <row r="43" spans="1:6" ht="17">
      <c r="A43" s="18" t="s">
        <v>202</v>
      </c>
      <c r="B43" s="16">
        <v>9</v>
      </c>
      <c r="C43" s="16"/>
      <c r="D43" s="16">
        <v>0</v>
      </c>
      <c r="E43" s="16"/>
      <c r="F43" s="16"/>
    </row>
    <row r="44" spans="1:6" ht="17">
      <c r="A44" s="18" t="s">
        <v>203</v>
      </c>
      <c r="B44" s="16">
        <v>17</v>
      </c>
      <c r="C44" s="16"/>
      <c r="D44" s="16">
        <v>0</v>
      </c>
      <c r="E44" s="16"/>
      <c r="F44" s="16"/>
    </row>
    <row r="45" spans="1:6" ht="17">
      <c r="A45" s="18" t="s">
        <v>205</v>
      </c>
      <c r="B45" s="16">
        <v>22</v>
      </c>
      <c r="C45" s="16"/>
      <c r="D45" s="16">
        <v>0</v>
      </c>
      <c r="E45" s="16"/>
      <c r="F45" s="16"/>
    </row>
    <row r="46" spans="1:6" ht="17">
      <c r="A46" s="18" t="s">
        <v>206</v>
      </c>
      <c r="B46" s="16">
        <v>4</v>
      </c>
      <c r="C46" s="16"/>
      <c r="D46" s="16">
        <v>0</v>
      </c>
      <c r="E46" s="16"/>
      <c r="F46" s="16"/>
    </row>
    <row r="47" spans="1:6" ht="17">
      <c r="A47" s="18" t="s">
        <v>207</v>
      </c>
      <c r="B47" s="16">
        <v>16</v>
      </c>
      <c r="C47" s="16"/>
      <c r="D47" s="16">
        <v>0</v>
      </c>
      <c r="E47" s="16"/>
      <c r="F47" s="16"/>
    </row>
    <row r="48" spans="1:6" ht="17">
      <c r="A48" s="18" t="s">
        <v>208</v>
      </c>
      <c r="B48" s="16">
        <v>7</v>
      </c>
      <c r="C48" s="16"/>
      <c r="D48" s="16">
        <v>0</v>
      </c>
      <c r="E48" s="16"/>
      <c r="F48" s="16"/>
    </row>
    <row r="49" spans="1:6" ht="17">
      <c r="A49" s="18" t="s">
        <v>209</v>
      </c>
      <c r="B49" s="16">
        <v>7</v>
      </c>
      <c r="C49" s="16"/>
      <c r="D49" s="16">
        <v>0</v>
      </c>
      <c r="E49" s="16"/>
      <c r="F49" s="16"/>
    </row>
    <row r="50" spans="1:6" ht="17">
      <c r="A50" s="18" t="s">
        <v>210</v>
      </c>
      <c r="B50" s="16">
        <v>7</v>
      </c>
      <c r="C50" s="16"/>
      <c r="D50" s="16">
        <v>0</v>
      </c>
      <c r="E50" s="16"/>
      <c r="F50" s="16"/>
    </row>
    <row r="51" spans="1:6" ht="17">
      <c r="A51" s="18" t="s">
        <v>216</v>
      </c>
      <c r="B51" s="16">
        <v>12</v>
      </c>
      <c r="C51" s="16"/>
      <c r="D51" s="16">
        <v>0</v>
      </c>
      <c r="E51" s="16"/>
      <c r="F51" s="16"/>
    </row>
    <row r="52" spans="1:6" ht="17">
      <c r="A52" s="18" t="s">
        <v>217</v>
      </c>
      <c r="B52" s="16">
        <v>11</v>
      </c>
      <c r="C52" s="16"/>
      <c r="D52" s="16">
        <v>0</v>
      </c>
      <c r="E52" s="16"/>
      <c r="F52" s="16"/>
    </row>
    <row r="53" spans="1:6" ht="17">
      <c r="A53" s="18" t="s">
        <v>218</v>
      </c>
      <c r="B53" s="16">
        <v>8</v>
      </c>
      <c r="C53" s="16"/>
      <c r="D53" s="16">
        <v>0</v>
      </c>
      <c r="E53" s="16"/>
      <c r="F53" s="16"/>
    </row>
    <row r="54" spans="1:6" ht="17">
      <c r="A54" s="18" t="s">
        <v>219</v>
      </c>
      <c r="B54" s="16">
        <v>6</v>
      </c>
      <c r="C54" s="16"/>
      <c r="D54" s="16">
        <v>0</v>
      </c>
      <c r="E54" s="16"/>
      <c r="F54" s="16"/>
    </row>
    <row r="55" spans="1:6" ht="17">
      <c r="A55" s="18" t="s">
        <v>220</v>
      </c>
      <c r="B55" s="16">
        <v>11</v>
      </c>
      <c r="C55" s="16"/>
      <c r="D55" s="16">
        <v>0</v>
      </c>
      <c r="E55" s="16"/>
      <c r="F55" s="16"/>
    </row>
    <row r="56" spans="1:6" ht="17">
      <c r="A56" s="18" t="s">
        <v>221</v>
      </c>
      <c r="B56" s="16">
        <v>7</v>
      </c>
      <c r="C56" s="16"/>
      <c r="D56" s="16">
        <v>0</v>
      </c>
      <c r="E56" s="16"/>
      <c r="F56" s="16"/>
    </row>
    <row r="57" spans="1:6" ht="17">
      <c r="A57" s="18" t="s">
        <v>222</v>
      </c>
      <c r="B57" s="16">
        <v>20</v>
      </c>
      <c r="C57" s="16"/>
      <c r="D57" s="16">
        <v>0</v>
      </c>
      <c r="E57" s="16"/>
      <c r="F57" s="16"/>
    </row>
    <row r="58" spans="1:6" ht="17">
      <c r="A58" s="18" t="s">
        <v>137</v>
      </c>
      <c r="B58" s="16">
        <v>2</v>
      </c>
      <c r="C58" s="16">
        <v>1</v>
      </c>
      <c r="D58" s="16"/>
      <c r="E58" s="16"/>
      <c r="F58" s="16"/>
    </row>
    <row r="59" spans="1:6" ht="17">
      <c r="A59" s="18" t="s">
        <v>138</v>
      </c>
      <c r="B59" s="16">
        <v>2</v>
      </c>
      <c r="C59" s="16">
        <v>1</v>
      </c>
      <c r="D59" s="16"/>
      <c r="E59" s="16"/>
      <c r="F59" s="16"/>
    </row>
    <row r="60" spans="1:6" ht="17">
      <c r="A60" s="18" t="s">
        <v>139</v>
      </c>
      <c r="B60" s="16">
        <v>2</v>
      </c>
      <c r="C60" s="16">
        <v>1</v>
      </c>
      <c r="D60" s="16"/>
      <c r="E60" s="16"/>
      <c r="F60" s="16"/>
    </row>
    <row r="61" spans="1:6" ht="17">
      <c r="A61" s="18" t="s">
        <v>140</v>
      </c>
      <c r="B61" s="16">
        <v>2</v>
      </c>
      <c r="C61" s="16">
        <v>1</v>
      </c>
      <c r="D61" s="16"/>
      <c r="E61" s="16"/>
      <c r="F61" s="16"/>
    </row>
    <row r="62" spans="1:6" ht="17">
      <c r="A62" s="18" t="s">
        <v>141</v>
      </c>
      <c r="B62" s="16">
        <v>2</v>
      </c>
      <c r="C62" s="16">
        <v>1</v>
      </c>
      <c r="D62" s="16"/>
      <c r="E62" s="16"/>
      <c r="F62" s="16"/>
    </row>
    <row r="63" spans="1:6" ht="17">
      <c r="A63" s="18" t="s">
        <v>142</v>
      </c>
      <c r="B63" s="16">
        <v>2</v>
      </c>
      <c r="C63" s="16">
        <v>1</v>
      </c>
      <c r="D63" s="16"/>
      <c r="E63" s="16"/>
      <c r="F63" s="16"/>
    </row>
    <row r="64" spans="1:6" ht="17">
      <c r="A64" s="18" t="s">
        <v>143</v>
      </c>
      <c r="B64" s="16">
        <v>2</v>
      </c>
      <c r="C64" s="16">
        <v>1</v>
      </c>
      <c r="D64" s="16"/>
      <c r="E64" s="16"/>
      <c r="F64" s="16"/>
    </row>
    <row r="65" spans="1:6" ht="17">
      <c r="A65" s="18" t="s">
        <v>144</v>
      </c>
      <c r="B65" s="16">
        <v>2</v>
      </c>
      <c r="C65" s="16">
        <v>1</v>
      </c>
      <c r="D65" s="16"/>
      <c r="E65" s="16"/>
      <c r="F65" s="16"/>
    </row>
    <row r="66" spans="1:6" ht="17">
      <c r="A66" s="18" t="s">
        <v>145</v>
      </c>
      <c r="B66" s="16">
        <v>2</v>
      </c>
      <c r="C66" s="16">
        <v>1</v>
      </c>
      <c r="D66" s="16"/>
      <c r="E66" s="16"/>
      <c r="F66" s="16"/>
    </row>
    <row r="67" spans="1:6" ht="17">
      <c r="A67" s="18" t="s">
        <v>146</v>
      </c>
      <c r="B67" s="16">
        <v>2</v>
      </c>
      <c r="C67" s="16">
        <v>1</v>
      </c>
      <c r="D67" s="16"/>
      <c r="E67" s="16"/>
      <c r="F67" s="16"/>
    </row>
    <row r="68" spans="1:6" ht="17">
      <c r="A68" s="18" t="s">
        <v>147</v>
      </c>
      <c r="B68" s="16">
        <v>2</v>
      </c>
      <c r="C68" s="16">
        <v>1</v>
      </c>
      <c r="D68" s="16"/>
      <c r="E68" s="16"/>
      <c r="F68" s="16"/>
    </row>
    <row r="69" spans="1:6" ht="17">
      <c r="A69" s="18" t="s">
        <v>148</v>
      </c>
      <c r="B69" s="16">
        <v>2</v>
      </c>
      <c r="C69" s="16">
        <v>1</v>
      </c>
      <c r="D69" s="16"/>
      <c r="E69" s="16"/>
      <c r="F69" s="16"/>
    </row>
    <row r="70" spans="1:6" ht="17">
      <c r="A70" s="18" t="s">
        <v>149</v>
      </c>
      <c r="B70" s="16">
        <v>2</v>
      </c>
      <c r="C70" s="16">
        <v>1</v>
      </c>
      <c r="D70" s="16"/>
      <c r="E70" s="16"/>
      <c r="F70" s="16"/>
    </row>
    <row r="71" spans="1:6" ht="17">
      <c r="A71" s="18" t="s">
        <v>150</v>
      </c>
      <c r="B71" s="16">
        <v>2</v>
      </c>
      <c r="C71" s="16">
        <v>1</v>
      </c>
      <c r="D71" s="16"/>
      <c r="E71" s="16"/>
      <c r="F71" s="16"/>
    </row>
    <row r="72" spans="1:6" ht="17">
      <c r="A72" s="18" t="s">
        <v>151</v>
      </c>
      <c r="B72" s="16">
        <v>2</v>
      </c>
      <c r="C72" s="16">
        <v>1</v>
      </c>
      <c r="D72" s="16"/>
      <c r="E72" s="16"/>
      <c r="F72" s="16"/>
    </row>
    <row r="73" spans="1:6" ht="17">
      <c r="A73" s="18" t="s">
        <v>152</v>
      </c>
      <c r="B73" s="16">
        <v>2</v>
      </c>
      <c r="C73" s="16">
        <v>1</v>
      </c>
      <c r="D73" s="16"/>
      <c r="E73" s="16"/>
      <c r="F73" s="16"/>
    </row>
    <row r="74" spans="1:6" ht="17">
      <c r="A74" s="18" t="s">
        <v>153</v>
      </c>
      <c r="B74" s="16">
        <v>2</v>
      </c>
      <c r="C74" s="16">
        <v>1</v>
      </c>
      <c r="D74" s="16"/>
      <c r="E74" s="16"/>
      <c r="F74" s="16"/>
    </row>
    <row r="75" spans="1:6" ht="17">
      <c r="A75" s="18" t="s">
        <v>154</v>
      </c>
      <c r="B75" s="16">
        <v>2</v>
      </c>
      <c r="C75" s="16">
        <v>1</v>
      </c>
      <c r="D75" s="16"/>
      <c r="E75" s="16"/>
      <c r="F75" s="16"/>
    </row>
    <row r="76" spans="1:6" ht="17">
      <c r="A76" s="18" t="s">
        <v>155</v>
      </c>
      <c r="B76" s="16">
        <v>2</v>
      </c>
      <c r="C76" s="16">
        <v>1</v>
      </c>
      <c r="D76" s="16"/>
      <c r="E76" s="16"/>
      <c r="F76" s="16"/>
    </row>
    <row r="77" spans="1:6" ht="17">
      <c r="A77" s="18" t="s">
        <v>156</v>
      </c>
      <c r="B77" s="16">
        <v>2</v>
      </c>
      <c r="C77" s="16">
        <v>1</v>
      </c>
      <c r="D77" s="16"/>
      <c r="E77" s="16"/>
      <c r="F77" s="16"/>
    </row>
    <row r="78" spans="1:6" ht="17">
      <c r="A78" s="18" t="s">
        <v>157</v>
      </c>
      <c r="B78" s="16">
        <v>2</v>
      </c>
      <c r="C78" s="16">
        <v>1</v>
      </c>
      <c r="D78" s="16"/>
      <c r="E78" s="16"/>
      <c r="F78" s="16"/>
    </row>
    <row r="79" spans="1:6" ht="17">
      <c r="A79" s="18" t="s">
        <v>158</v>
      </c>
      <c r="B79" s="16">
        <v>2</v>
      </c>
      <c r="C79" s="16">
        <v>1</v>
      </c>
      <c r="D79" s="16"/>
      <c r="E79" s="16"/>
      <c r="F79" s="16"/>
    </row>
    <row r="80" spans="1:6" ht="17">
      <c r="A80" s="18" t="s">
        <v>159</v>
      </c>
      <c r="B80" s="16">
        <v>2</v>
      </c>
      <c r="C80" s="16">
        <v>1</v>
      </c>
      <c r="D80" s="16"/>
      <c r="E80" s="16"/>
      <c r="F80" s="16"/>
    </row>
    <row r="81" spans="1:6" ht="17">
      <c r="A81" s="18" t="s">
        <v>160</v>
      </c>
      <c r="B81" s="16">
        <v>2</v>
      </c>
      <c r="C81" s="16">
        <v>1</v>
      </c>
      <c r="D81" s="16"/>
      <c r="E81" s="16"/>
      <c r="F81" s="16"/>
    </row>
    <row r="82" spans="1:6" ht="17">
      <c r="A82" s="18" t="s">
        <v>161</v>
      </c>
      <c r="B82" s="16">
        <v>2</v>
      </c>
      <c r="C82" s="16">
        <v>1</v>
      </c>
      <c r="D82" s="16"/>
      <c r="E82" s="16"/>
      <c r="F82" s="16"/>
    </row>
    <row r="83" spans="1:6" ht="17">
      <c r="A83" s="18" t="s">
        <v>162</v>
      </c>
      <c r="B83" s="16">
        <v>2</v>
      </c>
      <c r="C83" s="16">
        <v>1</v>
      </c>
      <c r="D83" s="16"/>
      <c r="E83" s="16"/>
      <c r="F83" s="16"/>
    </row>
    <row r="84" spans="1:6" ht="17">
      <c r="A84" s="18" t="s">
        <v>163</v>
      </c>
      <c r="B84" s="16">
        <v>2</v>
      </c>
      <c r="C84" s="16">
        <v>1</v>
      </c>
      <c r="D84" s="16"/>
      <c r="E84" s="16"/>
      <c r="F84" s="16"/>
    </row>
    <row r="85" spans="1:6" ht="17">
      <c r="A85" s="18" t="s">
        <v>164</v>
      </c>
      <c r="B85" s="16">
        <v>3</v>
      </c>
      <c r="C85" s="16">
        <v>1</v>
      </c>
      <c r="D85" s="16"/>
      <c r="E85" s="16"/>
      <c r="F85" s="16"/>
    </row>
    <row r="86" spans="1:6" ht="17">
      <c r="A86" s="18" t="s">
        <v>165</v>
      </c>
      <c r="B86" s="16">
        <v>2</v>
      </c>
      <c r="C86" s="16">
        <v>1</v>
      </c>
      <c r="D86" s="16"/>
      <c r="E86" s="16"/>
      <c r="F86" s="16"/>
    </row>
    <row r="87" spans="1:6" ht="17">
      <c r="A87" s="18" t="s">
        <v>166</v>
      </c>
      <c r="B87" s="16">
        <v>2</v>
      </c>
      <c r="C87" s="16">
        <v>1</v>
      </c>
      <c r="D87" s="16"/>
      <c r="E87" s="16"/>
      <c r="F87" s="16"/>
    </row>
    <row r="88" spans="1:6" ht="17">
      <c r="A88" s="18" t="s">
        <v>167</v>
      </c>
      <c r="B88" s="16">
        <v>2</v>
      </c>
      <c r="C88" s="16">
        <v>1</v>
      </c>
      <c r="D88" s="16"/>
      <c r="E88" s="16"/>
      <c r="F88" s="16"/>
    </row>
    <row r="89" spans="1:6" ht="17">
      <c r="A89" s="18" t="s">
        <v>168</v>
      </c>
      <c r="B89" s="16">
        <v>2</v>
      </c>
      <c r="C89" s="16">
        <v>1</v>
      </c>
      <c r="D89" s="16"/>
      <c r="E89" s="16"/>
      <c r="F89" s="16"/>
    </row>
    <row r="90" spans="1:6" ht="17">
      <c r="A90" s="18" t="s">
        <v>169</v>
      </c>
      <c r="B90" s="16">
        <v>2</v>
      </c>
      <c r="C90" s="16">
        <v>1</v>
      </c>
      <c r="D90" s="16"/>
      <c r="E90" s="16"/>
      <c r="F90" s="16"/>
    </row>
    <row r="91" spans="1:6" ht="17">
      <c r="A91" s="18" t="s">
        <v>170</v>
      </c>
      <c r="B91" s="16">
        <v>2</v>
      </c>
      <c r="C91" s="16">
        <v>1</v>
      </c>
      <c r="D91" s="16"/>
      <c r="E91" s="16"/>
      <c r="F91" s="16"/>
    </row>
    <row r="92" spans="1:6" ht="17">
      <c r="A92" s="18" t="s">
        <v>171</v>
      </c>
      <c r="B92" s="16">
        <v>2</v>
      </c>
      <c r="C92" s="16">
        <v>1</v>
      </c>
      <c r="D92" s="16"/>
      <c r="E92" s="16"/>
      <c r="F92" s="16"/>
    </row>
    <row r="93" spans="1:6" ht="17">
      <c r="A93" s="18" t="s">
        <v>172</v>
      </c>
      <c r="B93" s="16">
        <v>2</v>
      </c>
      <c r="C93" s="16">
        <v>1</v>
      </c>
      <c r="D93" s="16"/>
      <c r="E93" s="16"/>
      <c r="F93" s="16"/>
    </row>
    <row r="94" spans="1:6" ht="17">
      <c r="A94" s="18" t="s">
        <v>173</v>
      </c>
      <c r="B94" s="16">
        <v>2</v>
      </c>
      <c r="C94" s="16">
        <v>1</v>
      </c>
      <c r="D94" s="16"/>
      <c r="E94" s="16"/>
      <c r="F94" s="16"/>
    </row>
    <row r="95" spans="1:6" ht="17">
      <c r="A95" s="18" t="s">
        <v>174</v>
      </c>
      <c r="B95" s="16">
        <v>2</v>
      </c>
      <c r="C95" s="16">
        <v>1</v>
      </c>
      <c r="D95" s="16"/>
      <c r="E95" s="16"/>
      <c r="F95" s="16"/>
    </row>
    <row r="96" spans="1:6" ht="17">
      <c r="A96" s="18" t="s">
        <v>175</v>
      </c>
      <c r="B96" s="16">
        <v>2</v>
      </c>
      <c r="C96" s="16">
        <v>1</v>
      </c>
      <c r="D96" s="16"/>
      <c r="E96" s="16"/>
      <c r="F96" s="16"/>
    </row>
    <row r="97" spans="1:6" ht="17">
      <c r="A97" s="18" t="s">
        <v>176</v>
      </c>
      <c r="B97" s="16">
        <v>2</v>
      </c>
      <c r="C97" s="16">
        <v>1</v>
      </c>
      <c r="D97" s="16"/>
      <c r="E97" s="16"/>
      <c r="F97" s="16"/>
    </row>
    <row r="98" spans="1:6" ht="17">
      <c r="A98" s="18" t="s">
        <v>177</v>
      </c>
      <c r="B98" s="16">
        <v>2</v>
      </c>
      <c r="C98" s="16">
        <v>1</v>
      </c>
      <c r="D98" s="16"/>
      <c r="E98" s="16"/>
      <c r="F98" s="16"/>
    </row>
    <row r="99" spans="1:6" ht="17">
      <c r="A99" s="18" t="s">
        <v>178</v>
      </c>
      <c r="B99" s="16">
        <v>2</v>
      </c>
      <c r="C99" s="16">
        <v>1</v>
      </c>
      <c r="D99" s="16"/>
      <c r="E99" s="16"/>
      <c r="F99" s="16"/>
    </row>
    <row r="100" spans="1:6" ht="17">
      <c r="A100" s="18" t="s">
        <v>179</v>
      </c>
      <c r="B100" s="16">
        <v>2</v>
      </c>
      <c r="C100" s="16">
        <v>1</v>
      </c>
      <c r="D100" s="16"/>
      <c r="E100" s="16"/>
      <c r="F100" s="16"/>
    </row>
    <row r="101" spans="1:6" ht="17">
      <c r="A101" s="18" t="s">
        <v>180</v>
      </c>
      <c r="B101" s="16">
        <v>2</v>
      </c>
      <c r="C101" s="16">
        <v>1</v>
      </c>
      <c r="D101" s="16"/>
      <c r="E101" s="16"/>
      <c r="F101" s="16"/>
    </row>
    <row r="102" spans="1:6" ht="17">
      <c r="A102" s="19" t="s">
        <v>181</v>
      </c>
      <c r="B102" s="16"/>
      <c r="C102" s="16"/>
      <c r="D102" s="16"/>
      <c r="E102" s="16"/>
      <c r="F102" s="16"/>
    </row>
    <row r="103" spans="1:6" ht="17">
      <c r="A103" s="18" t="s">
        <v>182</v>
      </c>
      <c r="B103" s="16">
        <v>2</v>
      </c>
      <c r="C103" s="16">
        <v>1</v>
      </c>
      <c r="D103" s="16"/>
      <c r="E103" s="16"/>
      <c r="F103" s="16"/>
    </row>
    <row r="104" spans="1:6" ht="17">
      <c r="A104" s="18" t="s">
        <v>183</v>
      </c>
      <c r="B104" s="16">
        <v>2</v>
      </c>
      <c r="C104" s="16">
        <v>1</v>
      </c>
      <c r="D104" s="16"/>
      <c r="E104" s="16"/>
      <c r="F104" s="16"/>
    </row>
    <row r="105" spans="1:6" ht="17">
      <c r="A105" s="18" t="s">
        <v>184</v>
      </c>
      <c r="B105" s="16">
        <v>2</v>
      </c>
      <c r="C105" s="16">
        <v>1</v>
      </c>
      <c r="D105" s="16"/>
      <c r="E105" s="16"/>
      <c r="F105" s="16"/>
    </row>
    <row r="106" spans="1:6" ht="17">
      <c r="A106" s="18" t="s">
        <v>185</v>
      </c>
      <c r="B106" s="16">
        <v>2</v>
      </c>
      <c r="C106" s="16">
        <v>1</v>
      </c>
      <c r="D106" s="16"/>
      <c r="E106" s="16"/>
      <c r="F106" s="16"/>
    </row>
    <row r="107" spans="1:6" ht="17">
      <c r="A107" s="18" t="s">
        <v>186</v>
      </c>
      <c r="B107" s="16">
        <v>2</v>
      </c>
      <c r="C107" s="16">
        <v>1</v>
      </c>
      <c r="D107" s="16"/>
      <c r="E107" s="16"/>
      <c r="F107" s="16"/>
    </row>
    <row r="108" spans="1:6" ht="17">
      <c r="A108" s="18" t="s">
        <v>187</v>
      </c>
      <c r="B108" s="16">
        <v>2</v>
      </c>
      <c r="C108" s="16">
        <v>1</v>
      </c>
      <c r="D108" s="16"/>
      <c r="E108" s="16"/>
      <c r="F108" s="16"/>
    </row>
    <row r="109" spans="1:6" ht="17">
      <c r="A109" s="19" t="s">
        <v>188</v>
      </c>
      <c r="B109" s="16"/>
      <c r="C109" s="16"/>
      <c r="D109" s="16"/>
      <c r="E109" s="16"/>
      <c r="F109" s="16"/>
    </row>
    <row r="110" spans="1:6" ht="17">
      <c r="A110" s="18" t="s">
        <v>189</v>
      </c>
      <c r="B110" s="16">
        <v>2</v>
      </c>
      <c r="C110" s="16">
        <v>1</v>
      </c>
      <c r="D110" s="16"/>
      <c r="E110" s="16"/>
      <c r="F110" s="16"/>
    </row>
    <row r="111" spans="1:6" ht="17">
      <c r="A111" s="18" t="s">
        <v>190</v>
      </c>
      <c r="B111" s="16">
        <v>2</v>
      </c>
      <c r="C111" s="16">
        <v>1</v>
      </c>
      <c r="D111" s="16"/>
      <c r="E111" s="16"/>
      <c r="F111" s="16"/>
    </row>
    <row r="112" spans="1:6" ht="17">
      <c r="A112" s="19" t="s">
        <v>197</v>
      </c>
      <c r="B112" s="16"/>
      <c r="C112" s="16"/>
      <c r="D112" s="16"/>
      <c r="E112" s="16"/>
      <c r="F112" s="16"/>
    </row>
    <row r="113" spans="1:6" ht="17">
      <c r="A113" s="19" t="s">
        <v>204</v>
      </c>
      <c r="B113" s="16"/>
      <c r="C113" s="16"/>
      <c r="D113" s="16"/>
      <c r="E113" s="16"/>
      <c r="F113" s="16"/>
    </row>
    <row r="114" spans="1:6" ht="17">
      <c r="A114" s="19" t="s">
        <v>211</v>
      </c>
      <c r="B114" s="16"/>
      <c r="C114" s="16"/>
      <c r="D114" s="16"/>
      <c r="E114" s="16"/>
      <c r="F114" s="16"/>
    </row>
    <row r="115" spans="1:6" ht="17">
      <c r="A115" s="19" t="s">
        <v>214</v>
      </c>
      <c r="B115" s="16"/>
      <c r="C115" s="16"/>
      <c r="D115" s="16"/>
      <c r="E115" s="16"/>
      <c r="F115" s="16"/>
    </row>
    <row r="116" spans="1:6" ht="17">
      <c r="A116" s="19" t="s">
        <v>215</v>
      </c>
      <c r="B116" s="16"/>
      <c r="C116" s="16"/>
      <c r="D116" s="16"/>
      <c r="E116" s="16"/>
      <c r="F116" s="16"/>
    </row>
    <row r="117" spans="1:6" ht="17">
      <c r="A117" s="19" t="s">
        <v>224</v>
      </c>
      <c r="B117" s="16"/>
      <c r="C117" s="16"/>
      <c r="D117" s="16"/>
      <c r="E117" s="16"/>
      <c r="F117" s="16"/>
    </row>
    <row r="118" spans="1:6" ht="17">
      <c r="A118" s="18" t="s">
        <v>225</v>
      </c>
      <c r="B118" s="16">
        <v>2</v>
      </c>
      <c r="C118" s="16"/>
      <c r="D118" s="16"/>
      <c r="E118" s="16">
        <v>1</v>
      </c>
      <c r="F118" s="16"/>
    </row>
    <row r="119" spans="1:6" ht="17">
      <c r="A119" s="18" t="s">
        <v>226</v>
      </c>
      <c r="B119" s="16">
        <v>2</v>
      </c>
      <c r="C119" s="16"/>
      <c r="D119" s="16"/>
      <c r="E119" s="16">
        <v>1</v>
      </c>
      <c r="F119" s="16"/>
    </row>
    <row r="120" spans="1:6" ht="17">
      <c r="A120" s="18" t="s">
        <v>227</v>
      </c>
      <c r="B120" s="16">
        <v>2</v>
      </c>
      <c r="C120" s="16"/>
      <c r="D120" s="16"/>
      <c r="E120" s="16">
        <v>1</v>
      </c>
      <c r="F120" s="16"/>
    </row>
    <row r="121" spans="1:6" ht="17">
      <c r="A121" s="18" t="s">
        <v>228</v>
      </c>
      <c r="B121" s="16">
        <v>2</v>
      </c>
      <c r="C121" s="16"/>
      <c r="D121" s="16"/>
      <c r="E121" s="16">
        <v>1</v>
      </c>
      <c r="F121" s="16"/>
    </row>
    <row r="122" spans="1:6" ht="17">
      <c r="A122" s="18" t="s">
        <v>229</v>
      </c>
      <c r="B122" s="16">
        <v>2</v>
      </c>
      <c r="C122" s="16"/>
      <c r="D122" s="16"/>
      <c r="E122" s="16">
        <v>1</v>
      </c>
      <c r="F122" s="16"/>
    </row>
    <row r="123" spans="1:6" ht="17">
      <c r="A123" s="18" t="s">
        <v>230</v>
      </c>
      <c r="B123" s="16">
        <v>2</v>
      </c>
      <c r="C123" s="16"/>
      <c r="D123" s="16"/>
      <c r="E123" s="16">
        <v>1</v>
      </c>
      <c r="F123" s="16"/>
    </row>
    <row r="124" spans="1:6" ht="17">
      <c r="A124" s="18" t="s">
        <v>231</v>
      </c>
      <c r="B124" s="16">
        <v>2</v>
      </c>
      <c r="C124" s="16"/>
      <c r="D124" s="16"/>
      <c r="E124" s="16">
        <v>1</v>
      </c>
      <c r="F124" s="16"/>
    </row>
    <row r="125" spans="1:6" ht="17">
      <c r="A125" s="18" t="s">
        <v>232</v>
      </c>
      <c r="B125" s="16">
        <v>2</v>
      </c>
      <c r="C125" s="16"/>
      <c r="D125" s="16"/>
      <c r="E125" s="16">
        <v>1</v>
      </c>
      <c r="F125" s="16"/>
    </row>
    <row r="126" spans="1:6" ht="17">
      <c r="A126" s="18" t="s">
        <v>233</v>
      </c>
      <c r="B126" s="16">
        <v>2</v>
      </c>
      <c r="C126" s="16"/>
      <c r="D126" s="16"/>
      <c r="E126" s="16">
        <v>1</v>
      </c>
      <c r="F126" s="16"/>
    </row>
    <row r="127" spans="1:6" ht="17">
      <c r="A127" s="18" t="s">
        <v>234</v>
      </c>
      <c r="B127" s="16">
        <v>3</v>
      </c>
      <c r="C127" s="16"/>
      <c r="D127" s="16"/>
      <c r="E127" s="16"/>
      <c r="F127" s="16">
        <v>1</v>
      </c>
    </row>
    <row r="128" spans="1:6" ht="17">
      <c r="A128" s="18" t="s">
        <v>235</v>
      </c>
      <c r="B128" s="16">
        <v>3</v>
      </c>
      <c r="C128" s="16"/>
      <c r="D128" s="16"/>
      <c r="E128" s="16"/>
      <c r="F128" s="16">
        <v>1</v>
      </c>
    </row>
    <row r="129" spans="1:6" ht="17">
      <c r="A129" s="18" t="s">
        <v>236</v>
      </c>
      <c r="B129" s="16">
        <v>2</v>
      </c>
      <c r="C129" s="16"/>
      <c r="D129" s="16"/>
      <c r="E129" s="16"/>
      <c r="F129" s="16">
        <v>1</v>
      </c>
    </row>
    <row r="130" spans="1:6" ht="17">
      <c r="A130" s="18" t="s">
        <v>237</v>
      </c>
      <c r="B130" s="16">
        <v>3</v>
      </c>
      <c r="C130" s="16"/>
      <c r="D130" s="16"/>
      <c r="E130" s="16"/>
      <c r="F130" s="16">
        <v>1</v>
      </c>
    </row>
    <row r="131" spans="1:6" ht="17">
      <c r="A131" s="18" t="s">
        <v>238</v>
      </c>
      <c r="B131" s="16">
        <v>2</v>
      </c>
      <c r="C131" s="16"/>
      <c r="D131" s="16"/>
      <c r="E131" s="16"/>
      <c r="F131" s="16">
        <v>1</v>
      </c>
    </row>
    <row r="132" spans="1:6" ht="17">
      <c r="A132" s="18" t="s">
        <v>239</v>
      </c>
      <c r="B132" s="16">
        <v>2</v>
      </c>
      <c r="C132" s="16"/>
      <c r="D132" s="16"/>
      <c r="E132" s="16"/>
      <c r="F132" s="16">
        <v>1</v>
      </c>
    </row>
    <row r="133" spans="1:6" ht="17">
      <c r="A133" s="18" t="s">
        <v>240</v>
      </c>
      <c r="B133" s="16">
        <v>3</v>
      </c>
      <c r="C133" s="16"/>
      <c r="D133" s="16"/>
      <c r="E133" s="16"/>
      <c r="F133" s="16">
        <v>1</v>
      </c>
    </row>
    <row r="134" spans="1:6" ht="17">
      <c r="A134" s="18" t="s">
        <v>241</v>
      </c>
      <c r="B134" s="16">
        <v>3</v>
      </c>
      <c r="C134" s="16"/>
      <c r="D134" s="16"/>
      <c r="E134" s="16"/>
      <c r="F134" s="16">
        <v>1</v>
      </c>
    </row>
    <row r="135" spans="1:6" ht="17">
      <c r="A135" s="18" t="s">
        <v>242</v>
      </c>
      <c r="B135" s="16">
        <v>3</v>
      </c>
      <c r="C135" s="16"/>
      <c r="D135" s="16"/>
      <c r="E135" s="16"/>
      <c r="F135" s="16">
        <v>1</v>
      </c>
    </row>
    <row r="136" spans="1:6" ht="17">
      <c r="A136" s="18" t="s">
        <v>243</v>
      </c>
      <c r="B136" s="16">
        <v>4</v>
      </c>
      <c r="C136" s="16"/>
      <c r="D136" s="16"/>
      <c r="E136" s="16"/>
      <c r="F136" s="16">
        <v>1</v>
      </c>
    </row>
    <row r="137" spans="1:6" ht="17">
      <c r="A137" s="18" t="s">
        <v>244</v>
      </c>
      <c r="B137" s="16">
        <v>2</v>
      </c>
      <c r="C137" s="16"/>
      <c r="D137" s="16"/>
      <c r="E137" s="16"/>
      <c r="F137" s="16">
        <v>1</v>
      </c>
    </row>
    <row r="138" spans="1:6" ht="17">
      <c r="A138" s="18" t="s">
        <v>245</v>
      </c>
      <c r="B138" s="16">
        <v>2</v>
      </c>
      <c r="C138" s="16"/>
      <c r="D138" s="16"/>
      <c r="E138" s="16"/>
      <c r="F138" s="16">
        <v>1</v>
      </c>
    </row>
    <row r="139" spans="1:6" ht="17">
      <c r="A139" s="18" t="s">
        <v>246</v>
      </c>
      <c r="B139" s="16">
        <v>2</v>
      </c>
      <c r="C139" s="16"/>
      <c r="D139" s="16"/>
      <c r="E139" s="16"/>
      <c r="F139" s="16">
        <v>1</v>
      </c>
    </row>
    <row r="140" spans="1:6" ht="17">
      <c r="A140" s="18" t="s">
        <v>247</v>
      </c>
      <c r="B140" s="16">
        <v>2</v>
      </c>
      <c r="C140" s="16"/>
      <c r="D140" s="16"/>
      <c r="E140" s="16"/>
      <c r="F140" s="16">
        <v>1</v>
      </c>
    </row>
    <row r="141" spans="1:6" ht="17">
      <c r="A141" s="18" t="s">
        <v>248</v>
      </c>
      <c r="B141" s="16">
        <v>2</v>
      </c>
      <c r="C141" s="16"/>
      <c r="D141" s="16"/>
      <c r="E141" s="16"/>
      <c r="F141" s="16">
        <v>1</v>
      </c>
    </row>
    <row r="142" spans="1:6" ht="17">
      <c r="A142" s="18" t="s">
        <v>249</v>
      </c>
      <c r="B142" s="16">
        <v>2</v>
      </c>
      <c r="C142" s="16"/>
      <c r="D142" s="16"/>
      <c r="E142" s="16"/>
      <c r="F142" s="16">
        <v>1</v>
      </c>
    </row>
    <row r="143" spans="1:6" ht="17">
      <c r="A143" s="18" t="s">
        <v>250</v>
      </c>
      <c r="B143" s="16">
        <v>4</v>
      </c>
      <c r="C143" s="16"/>
      <c r="D143" s="16"/>
      <c r="E143" s="16"/>
      <c r="F143" s="16">
        <v>1</v>
      </c>
    </row>
    <row r="144" spans="1:6" ht="17">
      <c r="A144" s="18" t="s">
        <v>251</v>
      </c>
      <c r="B144" s="16">
        <v>4</v>
      </c>
      <c r="C144" s="16"/>
      <c r="D144" s="16"/>
      <c r="E144" s="16"/>
      <c r="F144" s="16">
        <v>1</v>
      </c>
    </row>
    <row r="145" spans="1:6" ht="17">
      <c r="A145" s="18" t="s">
        <v>252</v>
      </c>
      <c r="B145" s="16">
        <v>2</v>
      </c>
      <c r="C145" s="16"/>
      <c r="D145" s="16"/>
      <c r="E145" s="16"/>
      <c r="F145" s="16">
        <v>1</v>
      </c>
    </row>
    <row r="146" spans="1:6" ht="17">
      <c r="A146" s="18" t="s">
        <v>253</v>
      </c>
      <c r="B146" s="16">
        <v>2</v>
      </c>
      <c r="C146" s="16"/>
      <c r="D146" s="16"/>
      <c r="E146" s="16"/>
      <c r="F146" s="16">
        <v>1</v>
      </c>
    </row>
    <row r="147" spans="1:6" ht="17">
      <c r="A147" s="18" t="s">
        <v>254</v>
      </c>
      <c r="B147" s="16">
        <v>2</v>
      </c>
      <c r="C147" s="16"/>
      <c r="D147" s="16"/>
      <c r="E147" s="16"/>
      <c r="F147" s="16">
        <v>1</v>
      </c>
    </row>
    <row r="148" spans="1:6" ht="17">
      <c r="A148" s="18" t="s">
        <v>255</v>
      </c>
      <c r="B148" s="16">
        <v>4</v>
      </c>
      <c r="C148" s="16"/>
      <c r="D148" s="16"/>
      <c r="E148" s="16"/>
      <c r="F148" s="16">
        <v>1</v>
      </c>
    </row>
    <row r="149" spans="1:6" ht="17">
      <c r="A149" s="18" t="s">
        <v>256</v>
      </c>
      <c r="B149" s="16">
        <v>2</v>
      </c>
      <c r="C149" s="16"/>
      <c r="D149" s="16"/>
      <c r="E149" s="16"/>
      <c r="F149" s="16">
        <v>1</v>
      </c>
    </row>
    <row r="150" spans="1:6" ht="17">
      <c r="A150" s="18" t="s">
        <v>257</v>
      </c>
      <c r="B150" s="16">
        <v>2</v>
      </c>
      <c r="C150" s="16"/>
      <c r="D150" s="16"/>
      <c r="E150" s="16"/>
      <c r="F150" s="16">
        <v>1</v>
      </c>
    </row>
    <row r="151" spans="1:6" ht="17">
      <c r="A151" s="18" t="s">
        <v>258</v>
      </c>
      <c r="B151" s="16">
        <v>2</v>
      </c>
      <c r="C151" s="16"/>
      <c r="D151" s="16"/>
      <c r="E151" s="16"/>
      <c r="F151" s="16">
        <v>1</v>
      </c>
    </row>
    <row r="152" spans="1:6">
      <c r="A152" s="15" t="s">
        <v>114</v>
      </c>
      <c r="B152" s="13"/>
      <c r="C152" s="13"/>
      <c r="D152" s="13"/>
      <c r="E152" s="13"/>
      <c r="F152" s="13"/>
    </row>
    <row r="153" spans="1:6">
      <c r="A153" s="14" t="s">
        <v>115</v>
      </c>
      <c r="B153" s="14">
        <v>2</v>
      </c>
      <c r="C153" s="13"/>
      <c r="D153" s="13"/>
      <c r="E153" s="14">
        <v>1</v>
      </c>
      <c r="F153" s="13"/>
    </row>
    <row r="154" spans="1:6">
      <c r="A154" s="14" t="s">
        <v>116</v>
      </c>
      <c r="B154" s="14">
        <v>2</v>
      </c>
      <c r="C154" s="13"/>
      <c r="D154" s="13"/>
      <c r="E154" s="14">
        <v>1</v>
      </c>
      <c r="F154" s="13"/>
    </row>
    <row r="155" spans="1:6">
      <c r="A155" s="14" t="s">
        <v>117</v>
      </c>
      <c r="B155" s="14">
        <v>2</v>
      </c>
      <c r="C155" s="13"/>
      <c r="D155" s="13"/>
      <c r="E155" s="14">
        <v>1</v>
      </c>
      <c r="F155" s="13"/>
    </row>
    <row r="156" spans="1:6">
      <c r="A156" s="14" t="s">
        <v>118</v>
      </c>
      <c r="B156" s="14">
        <v>2</v>
      </c>
      <c r="C156" s="13"/>
      <c r="D156" s="13"/>
      <c r="E156" s="14">
        <v>1</v>
      </c>
      <c r="F156" s="13"/>
    </row>
    <row r="157" spans="1:6">
      <c r="A157" s="14" t="s">
        <v>119</v>
      </c>
      <c r="B157" s="14">
        <v>2</v>
      </c>
      <c r="C157" s="13"/>
      <c r="D157" s="13"/>
      <c r="E157" s="14">
        <v>1</v>
      </c>
      <c r="F157" s="13"/>
    </row>
    <row r="158" spans="1:6">
      <c r="A158" s="14" t="s">
        <v>120</v>
      </c>
      <c r="B158" s="14">
        <v>2</v>
      </c>
      <c r="C158" s="13"/>
      <c r="D158" s="13"/>
      <c r="E158" s="14">
        <v>1</v>
      </c>
      <c r="F158" s="13"/>
    </row>
    <row r="159" spans="1:6">
      <c r="A159" s="14" t="s">
        <v>121</v>
      </c>
      <c r="B159" s="14">
        <v>3</v>
      </c>
      <c r="C159" s="13"/>
      <c r="D159" s="13"/>
      <c r="E159" s="14">
        <v>1</v>
      </c>
      <c r="F159" s="13"/>
    </row>
    <row r="160" spans="1:6">
      <c r="A160" s="14" t="s">
        <v>122</v>
      </c>
      <c r="B160" s="14">
        <v>2</v>
      </c>
      <c r="C160" s="13"/>
      <c r="D160" s="13"/>
      <c r="E160" s="13"/>
      <c r="F160" s="14">
        <v>1</v>
      </c>
    </row>
    <row r="161" spans="1:6">
      <c r="A161" s="14" t="s">
        <v>123</v>
      </c>
      <c r="B161" s="14">
        <v>2</v>
      </c>
      <c r="C161" s="13"/>
      <c r="D161" s="13"/>
      <c r="E161" s="13"/>
      <c r="F161" s="14">
        <v>1</v>
      </c>
    </row>
    <row r="162" spans="1:6">
      <c r="A162" s="14" t="s">
        <v>124</v>
      </c>
      <c r="B162" s="14">
        <v>2</v>
      </c>
      <c r="C162" s="13"/>
      <c r="D162" s="13"/>
      <c r="E162" s="13"/>
      <c r="F162" s="14">
        <v>1</v>
      </c>
    </row>
    <row r="163" spans="1:6">
      <c r="A163" s="14" t="s">
        <v>125</v>
      </c>
      <c r="B163" s="14">
        <v>2</v>
      </c>
      <c r="C163" s="13"/>
      <c r="D163" s="13"/>
      <c r="E163" s="13"/>
      <c r="F163" s="14">
        <v>1</v>
      </c>
    </row>
    <row r="164" spans="1:6">
      <c r="A164" s="14" t="s">
        <v>126</v>
      </c>
      <c r="B164" s="14">
        <v>2</v>
      </c>
      <c r="C164" s="13"/>
      <c r="D164" s="13"/>
      <c r="E164" s="13"/>
      <c r="F164" s="14">
        <v>1</v>
      </c>
    </row>
    <row r="165" spans="1:6">
      <c r="A165" s="14" t="s">
        <v>127</v>
      </c>
      <c r="B165" s="14">
        <v>2</v>
      </c>
      <c r="C165" s="13"/>
      <c r="D165" s="13"/>
      <c r="E165" s="13"/>
      <c r="F165" s="14">
        <v>1</v>
      </c>
    </row>
    <row r="166" spans="1:6">
      <c r="A166" s="14" t="s">
        <v>128</v>
      </c>
      <c r="B166" s="14">
        <v>2</v>
      </c>
      <c r="C166" s="13"/>
      <c r="D166" s="13"/>
      <c r="E166" s="13"/>
      <c r="F166" s="14">
        <v>1</v>
      </c>
    </row>
    <row r="167" spans="1:6">
      <c r="A167" s="14" t="s">
        <v>129</v>
      </c>
      <c r="B167" s="14">
        <v>3</v>
      </c>
      <c r="C167" s="13"/>
      <c r="D167" s="13"/>
      <c r="E167" s="13"/>
      <c r="F167" s="13"/>
    </row>
    <row r="168" spans="1:6">
      <c r="A168" s="14" t="s">
        <v>130</v>
      </c>
      <c r="B168" s="14">
        <v>3</v>
      </c>
      <c r="C168" s="13"/>
      <c r="D168" s="13"/>
      <c r="E168" s="13"/>
      <c r="F168" s="13"/>
    </row>
    <row r="169" spans="1:6">
      <c r="A169" s="14" t="s">
        <v>131</v>
      </c>
      <c r="B169" s="14">
        <v>2</v>
      </c>
      <c r="C169" s="13"/>
      <c r="D169" s="13"/>
      <c r="E169" s="13"/>
      <c r="F169" s="13"/>
    </row>
    <row r="170" spans="1:6">
      <c r="A170" s="14" t="s">
        <v>132</v>
      </c>
      <c r="B170" s="14">
        <v>2</v>
      </c>
      <c r="C170" s="13"/>
      <c r="D170" s="13"/>
      <c r="E170" s="13"/>
      <c r="F170" s="13"/>
    </row>
    <row r="171" spans="1:6">
      <c r="A171" s="14" t="s">
        <v>133</v>
      </c>
      <c r="B171" s="14">
        <v>2</v>
      </c>
      <c r="C171" s="13"/>
      <c r="D171" s="13"/>
      <c r="E171" s="13"/>
      <c r="F171" s="13"/>
    </row>
    <row r="172" spans="1:6">
      <c r="A172" s="14" t="s">
        <v>134</v>
      </c>
      <c r="B172" s="14">
        <v>2</v>
      </c>
      <c r="C172" s="13"/>
      <c r="D172" s="13"/>
      <c r="E172" s="13"/>
      <c r="F172" s="13"/>
    </row>
    <row r="173" spans="1:6">
      <c r="A173" s="14" t="s">
        <v>135</v>
      </c>
      <c r="B173" s="14">
        <v>2</v>
      </c>
      <c r="C173" s="13"/>
      <c r="D173" s="13"/>
      <c r="E173" s="13"/>
      <c r="F173" s="13"/>
    </row>
    <row r="174" spans="1:6">
      <c r="A174" s="14" t="s">
        <v>136</v>
      </c>
      <c r="B174" s="14">
        <v>2</v>
      </c>
      <c r="C174" s="13"/>
      <c r="D174" s="13"/>
      <c r="E174" s="13"/>
      <c r="F174" s="1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activeCell="C313" sqref="C313:C331"/>
    </sheetView>
  </sheetViews>
  <sheetFormatPr baseColWidth="10" defaultRowHeight="16"/>
  <sheetData>
    <row r="1" spans="1:17">
      <c r="A1" t="s">
        <v>260</v>
      </c>
      <c r="B1" t="s">
        <v>261</v>
      </c>
      <c r="C1" t="s">
        <v>264</v>
      </c>
      <c r="D1" t="s">
        <v>262</v>
      </c>
    </row>
    <row r="2" spans="1:17">
      <c r="A2" s="20" t="s">
        <v>263</v>
      </c>
      <c r="B2" s="20">
        <v>260</v>
      </c>
      <c r="C2" s="20" t="str">
        <f>_xlfn.CONCAT(A2,"-m",B2)</f>
        <v>CD5-m260</v>
      </c>
      <c r="D2" s="3">
        <v>20.088000000000001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 t="s">
        <v>263</v>
      </c>
      <c r="B3">
        <v>261</v>
      </c>
      <c r="C3" s="20" t="str">
        <f t="shared" ref="C3:C53" si="0">_xlfn.CONCAT(A3,"-m",B3)</f>
        <v>CD5-m261</v>
      </c>
      <c r="D3" s="3">
        <v>40.241900000000001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 t="s">
        <v>263</v>
      </c>
      <c r="B4" s="20">
        <v>263</v>
      </c>
      <c r="C4" s="20" t="str">
        <f t="shared" si="0"/>
        <v>CD5-m263</v>
      </c>
      <c r="D4" s="3">
        <v>32.966000000000001</v>
      </c>
    </row>
    <row r="5" spans="1:17">
      <c r="A5" s="20" t="s">
        <v>263</v>
      </c>
      <c r="B5" s="20">
        <v>264</v>
      </c>
      <c r="C5" s="20" t="str">
        <f t="shared" si="0"/>
        <v>CD5-m264</v>
      </c>
      <c r="D5" s="3">
        <v>18.200299999999999</v>
      </c>
    </row>
    <row r="6" spans="1:17">
      <c r="A6" s="20" t="s">
        <v>263</v>
      </c>
      <c r="B6" s="20">
        <v>265</v>
      </c>
      <c r="C6" s="20" t="str">
        <f t="shared" si="0"/>
        <v>CD5-m265</v>
      </c>
      <c r="D6" s="3">
        <v>37.9099</v>
      </c>
    </row>
    <row r="7" spans="1:17">
      <c r="A7" s="20" t="s">
        <v>263</v>
      </c>
      <c r="B7" s="20">
        <v>266</v>
      </c>
      <c r="C7" s="20" t="str">
        <f t="shared" si="0"/>
        <v>CD5-m266</v>
      </c>
      <c r="D7" s="3">
        <v>49.792400000000001</v>
      </c>
    </row>
    <row r="8" spans="1:17">
      <c r="A8" s="20" t="s">
        <v>263</v>
      </c>
      <c r="B8" s="20">
        <v>267</v>
      </c>
      <c r="C8" s="20" t="str">
        <f t="shared" si="0"/>
        <v>CD5-m267</v>
      </c>
      <c r="D8" s="3">
        <v>41.977400000000003</v>
      </c>
    </row>
    <row r="9" spans="1:17">
      <c r="A9" s="20" t="s">
        <v>263</v>
      </c>
      <c r="B9" s="20">
        <v>269</v>
      </c>
      <c r="C9" s="20" t="str">
        <f t="shared" si="0"/>
        <v>CD5-m269</v>
      </c>
      <c r="D9" s="3">
        <v>33.626800000000003</v>
      </c>
    </row>
    <row r="10" spans="1:17">
      <c r="A10" s="20" t="s">
        <v>263</v>
      </c>
      <c r="B10" s="20">
        <v>270</v>
      </c>
      <c r="C10" s="20" t="str">
        <f t="shared" si="0"/>
        <v>CD5-m270</v>
      </c>
      <c r="D10" s="3">
        <v>50.444299999999998</v>
      </c>
    </row>
    <row r="11" spans="1:17">
      <c r="A11" s="20" t="s">
        <v>263</v>
      </c>
      <c r="B11" s="20">
        <v>271</v>
      </c>
      <c r="C11" s="20" t="str">
        <f t="shared" si="0"/>
        <v>CD5-m271</v>
      </c>
      <c r="D11" s="3">
        <v>15.9094</v>
      </c>
    </row>
    <row r="12" spans="1:17">
      <c r="A12" s="20" t="s">
        <v>263</v>
      </c>
      <c r="B12" s="20">
        <v>272</v>
      </c>
      <c r="C12" s="20" t="str">
        <f t="shared" si="0"/>
        <v>CD5-m272</v>
      </c>
      <c r="D12" s="3">
        <v>32.744700000000002</v>
      </c>
    </row>
    <row r="13" spans="1:17">
      <c r="A13" s="20" t="s">
        <v>263</v>
      </c>
      <c r="B13" s="20">
        <v>273</v>
      </c>
      <c r="C13" s="20" t="str">
        <f t="shared" si="0"/>
        <v>CD5-m273</v>
      </c>
      <c r="D13" s="3">
        <v>70.494699999999995</v>
      </c>
    </row>
    <row r="14" spans="1:17">
      <c r="A14" s="20" t="s">
        <v>263</v>
      </c>
      <c r="B14" s="20">
        <v>281</v>
      </c>
      <c r="C14" s="20" t="str">
        <f t="shared" si="0"/>
        <v>CD5-m281</v>
      </c>
      <c r="D14" s="3">
        <v>109.98560000000001</v>
      </c>
    </row>
    <row r="15" spans="1:17">
      <c r="A15" s="20" t="s">
        <v>263</v>
      </c>
      <c r="B15" s="20">
        <v>282</v>
      </c>
      <c r="C15" s="20" t="str">
        <f t="shared" si="0"/>
        <v>CD5-m282</v>
      </c>
      <c r="D15" s="3">
        <v>41.886699999999998</v>
      </c>
    </row>
    <row r="16" spans="1:17">
      <c r="A16" s="20" t="s">
        <v>263</v>
      </c>
      <c r="B16" s="20">
        <v>284</v>
      </c>
      <c r="C16" s="20" t="str">
        <f t="shared" si="0"/>
        <v>CD5-m284</v>
      </c>
      <c r="D16" s="3">
        <v>77.415400000000005</v>
      </c>
    </row>
    <row r="17" spans="1:4">
      <c r="A17" s="20" t="s">
        <v>263</v>
      </c>
      <c r="B17" s="20">
        <v>285</v>
      </c>
      <c r="C17" s="20" t="str">
        <f t="shared" si="0"/>
        <v>CD5-m285</v>
      </c>
      <c r="D17" s="3">
        <v>98.299800000000005</v>
      </c>
    </row>
    <row r="18" spans="1:4">
      <c r="A18" s="20" t="s">
        <v>265</v>
      </c>
      <c r="B18" s="20">
        <v>861</v>
      </c>
      <c r="C18" s="20" t="str">
        <f t="shared" si="0"/>
        <v>CD10-m861</v>
      </c>
      <c r="D18" s="3">
        <v>166.37209999999999</v>
      </c>
    </row>
    <row r="19" spans="1:4">
      <c r="A19" s="20" t="s">
        <v>265</v>
      </c>
      <c r="B19" s="20">
        <v>863</v>
      </c>
      <c r="C19" s="20" t="str">
        <f t="shared" si="0"/>
        <v>CD10-m863</v>
      </c>
      <c r="D19" s="3">
        <v>129.60149999999999</v>
      </c>
    </row>
    <row r="20" spans="1:4">
      <c r="A20" s="20" t="s">
        <v>265</v>
      </c>
      <c r="B20" s="20">
        <v>864</v>
      </c>
      <c r="C20" s="20" t="str">
        <f t="shared" si="0"/>
        <v>CD10-m864</v>
      </c>
      <c r="D20" s="3">
        <v>140.24780000000001</v>
      </c>
    </row>
    <row r="21" spans="1:4">
      <c r="A21" s="20" t="s">
        <v>265</v>
      </c>
      <c r="B21" s="20">
        <v>865</v>
      </c>
      <c r="C21" s="20" t="str">
        <f t="shared" si="0"/>
        <v>CD10-m865</v>
      </c>
      <c r="D21" s="3">
        <v>137.71109999999999</v>
      </c>
    </row>
    <row r="22" spans="1:4">
      <c r="A22" s="20" t="s">
        <v>265</v>
      </c>
      <c r="B22" s="20">
        <v>866</v>
      </c>
      <c r="C22" s="20" t="str">
        <f t="shared" si="0"/>
        <v>CD10-m866</v>
      </c>
      <c r="D22" s="3">
        <v>185.0607</v>
      </c>
    </row>
    <row r="23" spans="1:4">
      <c r="A23" s="20" t="s">
        <v>265</v>
      </c>
      <c r="B23" s="20">
        <v>867</v>
      </c>
      <c r="C23" s="20" t="str">
        <f t="shared" si="0"/>
        <v>CD10-m867</v>
      </c>
      <c r="D23" s="3">
        <v>165.23429999999999</v>
      </c>
    </row>
    <row r="24" spans="1:4">
      <c r="A24" s="20" t="s">
        <v>265</v>
      </c>
      <c r="B24" s="20">
        <v>868</v>
      </c>
      <c r="C24" s="20" t="str">
        <f t="shared" si="0"/>
        <v>CD10-m868</v>
      </c>
      <c r="D24" s="3">
        <v>152.9838</v>
      </c>
    </row>
    <row r="25" spans="1:4">
      <c r="A25" s="20" t="s">
        <v>265</v>
      </c>
      <c r="B25" s="20">
        <v>869</v>
      </c>
      <c r="C25" s="20" t="str">
        <f t="shared" si="0"/>
        <v>CD10-m869</v>
      </c>
      <c r="D25" s="3">
        <v>168.02199999999999</v>
      </c>
    </row>
    <row r="26" spans="1:4">
      <c r="A26" s="20" t="s">
        <v>265</v>
      </c>
      <c r="B26" s="20">
        <v>870</v>
      </c>
      <c r="C26" s="20" t="str">
        <f t="shared" si="0"/>
        <v>CD10-m870</v>
      </c>
      <c r="D26" s="3">
        <v>112.4598</v>
      </c>
    </row>
    <row r="27" spans="1:4">
      <c r="A27" s="20" t="s">
        <v>265</v>
      </c>
      <c r="B27" s="20">
        <v>881</v>
      </c>
      <c r="C27" s="20" t="str">
        <f t="shared" si="0"/>
        <v>CD10-m881</v>
      </c>
      <c r="D27" s="3">
        <v>74.972399999999993</v>
      </c>
    </row>
    <row r="28" spans="1:4">
      <c r="A28" s="20" t="s">
        <v>265</v>
      </c>
      <c r="B28" s="20">
        <v>882</v>
      </c>
      <c r="C28" s="20" t="str">
        <f t="shared" si="0"/>
        <v>CD10-m882</v>
      </c>
      <c r="D28" s="3">
        <v>57.543700000000001</v>
      </c>
    </row>
    <row r="29" spans="1:4">
      <c r="A29" s="20" t="s">
        <v>265</v>
      </c>
      <c r="B29" s="20">
        <v>883</v>
      </c>
      <c r="C29" s="20" t="str">
        <f t="shared" si="0"/>
        <v>CD10-m883</v>
      </c>
      <c r="D29" s="3">
        <v>70.523600000000002</v>
      </c>
    </row>
    <row r="30" spans="1:4">
      <c r="A30" s="20" t="s">
        <v>265</v>
      </c>
      <c r="B30" s="20">
        <v>884</v>
      </c>
      <c r="C30" s="20" t="str">
        <f t="shared" si="0"/>
        <v>CD10-m884</v>
      </c>
      <c r="D30" s="3">
        <v>52.794199999999996</v>
      </c>
    </row>
    <row r="31" spans="1:4">
      <c r="A31" s="20" t="s">
        <v>265</v>
      </c>
      <c r="B31" s="20">
        <v>885</v>
      </c>
      <c r="C31" s="20" t="str">
        <f t="shared" si="0"/>
        <v>CD10-m885</v>
      </c>
      <c r="D31" s="3">
        <v>78.052199999999999</v>
      </c>
    </row>
    <row r="32" spans="1:4">
      <c r="A32" s="20" t="s">
        <v>265</v>
      </c>
      <c r="B32" s="20">
        <v>877</v>
      </c>
      <c r="C32" s="20" t="str">
        <f t="shared" si="0"/>
        <v>CD10-m877</v>
      </c>
      <c r="D32" s="3">
        <v>70.064400000000006</v>
      </c>
    </row>
    <row r="33" spans="1:4">
      <c r="A33" s="20" t="s">
        <v>265</v>
      </c>
      <c r="B33" s="20">
        <v>878</v>
      </c>
      <c r="C33" s="20" t="str">
        <f t="shared" si="0"/>
        <v>CD10-m878</v>
      </c>
      <c r="D33" s="3">
        <v>20.588999999999999</v>
      </c>
    </row>
    <row r="34" spans="1:4">
      <c r="A34" s="20" t="s">
        <v>265</v>
      </c>
      <c r="B34" s="20">
        <v>879</v>
      </c>
      <c r="C34" s="20" t="str">
        <f t="shared" si="0"/>
        <v>CD10-m879</v>
      </c>
      <c r="D34" s="3">
        <v>78.844200000000001</v>
      </c>
    </row>
    <row r="35" spans="1:4">
      <c r="A35" s="20" t="s">
        <v>265</v>
      </c>
      <c r="B35" s="20">
        <v>880</v>
      </c>
      <c r="C35" s="20" t="str">
        <f t="shared" si="0"/>
        <v>CD10-m880</v>
      </c>
      <c r="D35" s="3">
        <v>75.524100000000004</v>
      </c>
    </row>
    <row r="36" spans="1:4">
      <c r="A36" s="20" t="s">
        <v>265</v>
      </c>
      <c r="B36" s="21">
        <v>871</v>
      </c>
      <c r="C36" s="20" t="str">
        <f t="shared" si="0"/>
        <v>CD10-m871</v>
      </c>
      <c r="D36" s="3">
        <v>1.9292</v>
      </c>
    </row>
    <row r="37" spans="1:4">
      <c r="A37" s="20" t="s">
        <v>265</v>
      </c>
      <c r="B37" s="21">
        <v>872</v>
      </c>
      <c r="C37" s="20" t="str">
        <f t="shared" si="0"/>
        <v>CD10-m872</v>
      </c>
      <c r="D37" s="3">
        <v>2.3834</v>
      </c>
    </row>
    <row r="38" spans="1:4">
      <c r="A38" s="20" t="s">
        <v>265</v>
      </c>
      <c r="B38" s="21">
        <v>873</v>
      </c>
      <c r="C38" s="20" t="str">
        <f t="shared" si="0"/>
        <v>CD10-m873</v>
      </c>
      <c r="D38" s="3">
        <v>2.8527999999999998</v>
      </c>
    </row>
    <row r="39" spans="1:4">
      <c r="A39" s="20" t="s">
        <v>265</v>
      </c>
      <c r="B39" s="21">
        <v>874</v>
      </c>
      <c r="C39" s="20" t="str">
        <f t="shared" si="0"/>
        <v>CD10-m874</v>
      </c>
      <c r="D39" s="3">
        <v>2.9828000000000001</v>
      </c>
    </row>
    <row r="40" spans="1:4">
      <c r="A40" s="20" t="s">
        <v>265</v>
      </c>
      <c r="B40" s="21">
        <v>875</v>
      </c>
      <c r="C40" s="20" t="str">
        <f t="shared" si="0"/>
        <v>CD10-m875</v>
      </c>
      <c r="D40" s="3">
        <v>1.0758000000000001</v>
      </c>
    </row>
    <row r="41" spans="1:4">
      <c r="A41" s="20" t="s">
        <v>265</v>
      </c>
      <c r="B41" s="21">
        <v>886</v>
      </c>
      <c r="C41" s="20" t="str">
        <f t="shared" si="0"/>
        <v>CD10-m886</v>
      </c>
      <c r="D41" s="3">
        <v>2.2530000000000001</v>
      </c>
    </row>
    <row r="42" spans="1:4">
      <c r="A42" s="20" t="s">
        <v>265</v>
      </c>
      <c r="B42" s="21">
        <v>887</v>
      </c>
      <c r="C42" s="20" t="str">
        <f t="shared" si="0"/>
        <v>CD10-m887</v>
      </c>
      <c r="D42" s="3">
        <v>2.6555</v>
      </c>
    </row>
    <row r="43" spans="1:4">
      <c r="A43" s="20" t="s">
        <v>265</v>
      </c>
      <c r="B43" s="21">
        <v>888</v>
      </c>
      <c r="C43" s="20" t="str">
        <f t="shared" si="0"/>
        <v>CD10-m888</v>
      </c>
      <c r="D43" s="3">
        <v>3.9266999999999999</v>
      </c>
    </row>
    <row r="44" spans="1:4">
      <c r="A44" s="20" t="s">
        <v>265</v>
      </c>
      <c r="B44" s="21">
        <v>890</v>
      </c>
      <c r="C44" s="20" t="str">
        <f t="shared" si="0"/>
        <v>CD10-m890</v>
      </c>
      <c r="D44" s="3">
        <v>4.4405000000000001</v>
      </c>
    </row>
    <row r="45" spans="1:4">
      <c r="A45" s="20" t="s">
        <v>265</v>
      </c>
      <c r="B45" s="21">
        <v>851</v>
      </c>
      <c r="C45" s="20" t="str">
        <f t="shared" si="0"/>
        <v>CD10-m851</v>
      </c>
      <c r="D45" s="3">
        <v>23.400099999999998</v>
      </c>
    </row>
    <row r="46" spans="1:4">
      <c r="A46" s="20" t="s">
        <v>265</v>
      </c>
      <c r="B46" s="21">
        <v>852</v>
      </c>
      <c r="C46" s="20" t="str">
        <f t="shared" si="0"/>
        <v>CD10-m852</v>
      </c>
      <c r="D46" s="3">
        <v>16.548300000000001</v>
      </c>
    </row>
    <row r="47" spans="1:4">
      <c r="A47" s="20" t="s">
        <v>265</v>
      </c>
      <c r="B47" s="21">
        <v>853</v>
      </c>
      <c r="C47" s="20" t="str">
        <f t="shared" si="0"/>
        <v>CD10-m853</v>
      </c>
      <c r="D47" s="3">
        <v>31.447099999999999</v>
      </c>
    </row>
    <row r="48" spans="1:4">
      <c r="A48" s="20" t="s">
        <v>265</v>
      </c>
      <c r="B48" s="21">
        <v>854</v>
      </c>
      <c r="C48" s="20" t="str">
        <f t="shared" si="0"/>
        <v>CD10-m854</v>
      </c>
      <c r="D48" s="3">
        <v>31.681899999999999</v>
      </c>
    </row>
    <row r="49" spans="1:32">
      <c r="A49" s="20" t="s">
        <v>265</v>
      </c>
      <c r="B49" s="21">
        <v>855</v>
      </c>
      <c r="C49" s="20" t="str">
        <f t="shared" si="0"/>
        <v>CD10-m855</v>
      </c>
      <c r="D49" s="3">
        <v>35.497599999999998</v>
      </c>
    </row>
    <row r="50" spans="1:32">
      <c r="A50" s="20" t="s">
        <v>265</v>
      </c>
      <c r="B50" s="21">
        <v>896</v>
      </c>
      <c r="C50" s="20" t="str">
        <f t="shared" si="0"/>
        <v>CD10-m896</v>
      </c>
      <c r="D50" s="3">
        <v>25.6005</v>
      </c>
    </row>
    <row r="51" spans="1:32">
      <c r="A51" s="20" t="s">
        <v>265</v>
      </c>
      <c r="B51" s="21">
        <v>898</v>
      </c>
      <c r="C51" s="20" t="str">
        <f t="shared" si="0"/>
        <v>CD10-m898</v>
      </c>
      <c r="D51" s="3">
        <v>9.8724000000000007</v>
      </c>
    </row>
    <row r="52" spans="1:32">
      <c r="A52" s="20" t="s">
        <v>265</v>
      </c>
      <c r="B52" s="21">
        <v>899</v>
      </c>
      <c r="C52" s="20" t="str">
        <f t="shared" si="0"/>
        <v>CD10-m899</v>
      </c>
      <c r="D52" s="3">
        <v>36.939100000000003</v>
      </c>
    </row>
    <row r="53" spans="1:32">
      <c r="A53" s="20" t="s">
        <v>265</v>
      </c>
      <c r="B53" s="21">
        <v>900</v>
      </c>
      <c r="C53" s="20" t="str">
        <f t="shared" si="0"/>
        <v>CD10-m900</v>
      </c>
      <c r="D53" s="3">
        <v>42.351599999999998</v>
      </c>
    </row>
    <row r="54" spans="1:32">
      <c r="A54" s="20" t="s">
        <v>266</v>
      </c>
      <c r="B54" s="20" t="s">
        <v>103</v>
      </c>
      <c r="C54" s="20" t="str">
        <f>_xlfn.CONCAT(A54,"-",B54)</f>
        <v>CD20-m004</v>
      </c>
      <c r="D54" s="3">
        <v>15.3163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20" t="s">
        <v>266</v>
      </c>
      <c r="B55" s="20" t="s">
        <v>104</v>
      </c>
      <c r="C55" s="20" t="str">
        <f t="shared" ref="C55:C118" si="1">_xlfn.CONCAT(A55,"-",B55)</f>
        <v>CD20-m005</v>
      </c>
      <c r="D55" s="3">
        <v>13.9864</v>
      </c>
    </row>
    <row r="56" spans="1:32">
      <c r="A56" s="20" t="s">
        <v>266</v>
      </c>
      <c r="B56" s="20" t="s">
        <v>105</v>
      </c>
      <c r="C56" s="20" t="str">
        <f t="shared" si="1"/>
        <v>CD20-m006</v>
      </c>
      <c r="D56" s="3">
        <v>15.93</v>
      </c>
    </row>
    <row r="57" spans="1:32">
      <c r="A57" s="20" t="s">
        <v>266</v>
      </c>
      <c r="B57" s="20" t="s">
        <v>106</v>
      </c>
      <c r="C57" s="20" t="str">
        <f t="shared" si="1"/>
        <v>CD20-m007</v>
      </c>
      <c r="D57" s="3">
        <v>11.8393</v>
      </c>
    </row>
    <row r="58" spans="1:32">
      <c r="A58" s="20" t="s">
        <v>266</v>
      </c>
      <c r="B58" s="20" t="s">
        <v>107</v>
      </c>
      <c r="C58" s="20" t="str">
        <f t="shared" si="1"/>
        <v>CD20-m008</v>
      </c>
      <c r="D58" s="3">
        <v>14.6341</v>
      </c>
    </row>
    <row r="59" spans="1:32">
      <c r="A59" s="20" t="s">
        <v>266</v>
      </c>
      <c r="B59" s="20" t="s">
        <v>108</v>
      </c>
      <c r="C59" s="20" t="str">
        <f t="shared" si="1"/>
        <v>CD20-m009</v>
      </c>
      <c r="D59" s="3">
        <v>2.3771</v>
      </c>
    </row>
    <row r="60" spans="1:32">
      <c r="A60" s="20" t="s">
        <v>266</v>
      </c>
      <c r="B60" s="20" t="s">
        <v>98</v>
      </c>
      <c r="C60" s="20" t="str">
        <f t="shared" si="1"/>
        <v>CD20-m010</v>
      </c>
      <c r="D60" s="3">
        <v>11.821300000000001</v>
      </c>
    </row>
    <row r="61" spans="1:32">
      <c r="A61" s="20" t="s">
        <v>266</v>
      </c>
      <c r="B61" s="20" t="s">
        <v>99</v>
      </c>
      <c r="C61" s="20" t="str">
        <f t="shared" si="1"/>
        <v>CD20-m011</v>
      </c>
      <c r="D61" s="3">
        <v>17.4849</v>
      </c>
    </row>
    <row r="62" spans="1:32">
      <c r="A62" s="20" t="s">
        <v>266</v>
      </c>
      <c r="B62" s="20" t="s">
        <v>84</v>
      </c>
      <c r="C62" s="20" t="str">
        <f t="shared" si="1"/>
        <v>CD20-m012</v>
      </c>
      <c r="D62" s="3">
        <v>16.798500000000001</v>
      </c>
    </row>
    <row r="63" spans="1:32">
      <c r="A63" s="20" t="s">
        <v>266</v>
      </c>
      <c r="B63" s="20" t="s">
        <v>85</v>
      </c>
      <c r="C63" s="20" t="str">
        <f t="shared" si="1"/>
        <v>CD20-m013</v>
      </c>
      <c r="D63" s="3">
        <v>14.5655</v>
      </c>
    </row>
    <row r="64" spans="1:32">
      <c r="A64" s="20" t="s">
        <v>266</v>
      </c>
      <c r="B64" s="20" t="s">
        <v>109</v>
      </c>
      <c r="C64" s="20" t="str">
        <f t="shared" si="1"/>
        <v>CD20-m029</v>
      </c>
      <c r="D64" s="3">
        <v>4.3733000000000004</v>
      </c>
    </row>
    <row r="65" spans="1:4">
      <c r="A65" s="20" t="s">
        <v>266</v>
      </c>
      <c r="B65" s="20" t="s">
        <v>110</v>
      </c>
      <c r="C65" s="20" t="str">
        <f t="shared" si="1"/>
        <v>CD20-m030</v>
      </c>
      <c r="D65" s="3">
        <v>17.680499999999999</v>
      </c>
    </row>
    <row r="66" spans="1:4">
      <c r="A66" s="20" t="s">
        <v>266</v>
      </c>
      <c r="B66" s="20" t="s">
        <v>111</v>
      </c>
      <c r="C66" s="20" t="str">
        <f t="shared" si="1"/>
        <v>CD20-m031</v>
      </c>
      <c r="D66" s="3">
        <v>19.396899999999999</v>
      </c>
    </row>
    <row r="67" spans="1:4">
      <c r="A67" s="20" t="s">
        <v>266</v>
      </c>
      <c r="B67" s="20" t="s">
        <v>112</v>
      </c>
      <c r="C67" s="20" t="str">
        <f t="shared" si="1"/>
        <v>CD20-m032</v>
      </c>
      <c r="D67" s="3">
        <v>12.42</v>
      </c>
    </row>
    <row r="68" spans="1:4">
      <c r="A68" s="20" t="s">
        <v>266</v>
      </c>
      <c r="B68" s="20" t="s">
        <v>113</v>
      </c>
      <c r="C68" s="20" t="str">
        <f t="shared" si="1"/>
        <v>CD20-m033</v>
      </c>
      <c r="D68" s="3">
        <v>20.805199999999999</v>
      </c>
    </row>
    <row r="69" spans="1:4">
      <c r="A69" s="20" t="s">
        <v>266</v>
      </c>
      <c r="B69" s="20" t="s">
        <v>89</v>
      </c>
      <c r="C69" s="20" t="str">
        <f t="shared" si="1"/>
        <v>CD20-m014</v>
      </c>
      <c r="D69" s="3">
        <v>56.426900000000003</v>
      </c>
    </row>
    <row r="70" spans="1:4">
      <c r="A70" s="20" t="s">
        <v>266</v>
      </c>
      <c r="B70" s="20" t="s">
        <v>90</v>
      </c>
      <c r="C70" s="20" t="str">
        <f t="shared" si="1"/>
        <v>CD20-m016</v>
      </c>
      <c r="D70" s="3">
        <v>39.023099999999999</v>
      </c>
    </row>
    <row r="71" spans="1:4">
      <c r="A71" s="20" t="s">
        <v>266</v>
      </c>
      <c r="B71" s="20" t="s">
        <v>91</v>
      </c>
      <c r="C71" s="20" t="str">
        <f t="shared" si="1"/>
        <v>CD20-m018</v>
      </c>
      <c r="D71" s="3">
        <v>55.668100000000003</v>
      </c>
    </row>
    <row r="72" spans="1:4">
      <c r="A72" s="20" t="s">
        <v>266</v>
      </c>
      <c r="B72" s="20" t="s">
        <v>92</v>
      </c>
      <c r="C72" s="20" t="str">
        <f t="shared" si="1"/>
        <v>CD20-m020</v>
      </c>
      <c r="D72" s="3">
        <v>59.914099999999998</v>
      </c>
    </row>
    <row r="73" spans="1:4">
      <c r="A73" s="20" t="s">
        <v>266</v>
      </c>
      <c r="B73" s="20" t="s">
        <v>93</v>
      </c>
      <c r="C73" s="20" t="str">
        <f t="shared" si="1"/>
        <v>CD20-m021</v>
      </c>
      <c r="D73" s="3">
        <v>74.613299999999995</v>
      </c>
    </row>
    <row r="74" spans="1:4">
      <c r="A74" s="20" t="s">
        <v>266</v>
      </c>
      <c r="B74" s="20" t="s">
        <v>86</v>
      </c>
      <c r="C74" s="20" t="str">
        <f t="shared" si="1"/>
        <v>CD20-m022</v>
      </c>
      <c r="D74" s="3">
        <v>39.688000000000002</v>
      </c>
    </row>
    <row r="75" spans="1:4">
      <c r="A75" s="20" t="s">
        <v>266</v>
      </c>
      <c r="B75" s="20" t="s">
        <v>87</v>
      </c>
      <c r="C75" s="20" t="str">
        <f t="shared" si="1"/>
        <v>CD20-m023</v>
      </c>
      <c r="D75" s="3">
        <v>49.747900000000001</v>
      </c>
    </row>
    <row r="76" spans="1:4">
      <c r="A76" s="20" t="s">
        <v>266</v>
      </c>
      <c r="B76" s="20" t="s">
        <v>88</v>
      </c>
      <c r="C76" s="20" t="str">
        <f t="shared" si="1"/>
        <v>CD20-m026</v>
      </c>
      <c r="D76" s="3">
        <v>49.630800000000001</v>
      </c>
    </row>
    <row r="77" spans="1:4">
      <c r="A77" s="20" t="s">
        <v>266</v>
      </c>
      <c r="B77" s="20" t="s">
        <v>94</v>
      </c>
      <c r="C77" s="20" t="str">
        <f t="shared" si="1"/>
        <v>CD20-m027</v>
      </c>
      <c r="D77" s="3">
        <v>45.046700000000001</v>
      </c>
    </row>
    <row r="78" spans="1:4">
      <c r="A78" s="20" t="s">
        <v>266</v>
      </c>
      <c r="B78" s="20" t="s">
        <v>95</v>
      </c>
      <c r="C78" s="20" t="str">
        <f t="shared" si="1"/>
        <v>CD20-m028</v>
      </c>
      <c r="D78" s="3">
        <v>65.932000000000002</v>
      </c>
    </row>
    <row r="79" spans="1:4">
      <c r="A79" s="20" t="s">
        <v>266</v>
      </c>
      <c r="B79" s="20" t="s">
        <v>96</v>
      </c>
      <c r="C79" s="20" t="str">
        <f t="shared" si="1"/>
        <v>CD20-m034</v>
      </c>
      <c r="D79" s="3">
        <v>69.819299999999998</v>
      </c>
    </row>
    <row r="80" spans="1:4">
      <c r="A80" s="20" t="s">
        <v>266</v>
      </c>
      <c r="B80" s="20" t="s">
        <v>267</v>
      </c>
      <c r="C80" s="20" t="str">
        <f t="shared" si="1"/>
        <v>CD20-m036</v>
      </c>
      <c r="D80" s="3">
        <v>8.2527000000000008</v>
      </c>
    </row>
    <row r="81" spans="1:23">
      <c r="A81" s="20" t="s">
        <v>266</v>
      </c>
      <c r="B81" s="20" t="s">
        <v>97</v>
      </c>
      <c r="C81" s="20" t="str">
        <f>_xlfn.CONCAT(A81,"-",B81)</f>
        <v>CD20-m038</v>
      </c>
      <c r="D81" s="3">
        <v>77.971800000000002</v>
      </c>
    </row>
    <row r="82" spans="1:23">
      <c r="A82" s="20" t="s">
        <v>268</v>
      </c>
      <c r="B82" s="20" t="s">
        <v>80</v>
      </c>
      <c r="C82" s="20" t="str">
        <f t="shared" si="1"/>
        <v>CD21-m998</v>
      </c>
      <c r="D82" s="3">
        <v>182.155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20" t="s">
        <v>268</v>
      </c>
      <c r="B83" s="20" t="s">
        <v>81</v>
      </c>
      <c r="C83" s="20" t="str">
        <f t="shared" si="1"/>
        <v>CD21-m999</v>
      </c>
      <c r="D83" s="3">
        <v>204.03909999999999</v>
      </c>
    </row>
    <row r="84" spans="1:23">
      <c r="A84" s="20" t="s">
        <v>268</v>
      </c>
      <c r="B84" s="20" t="s">
        <v>82</v>
      </c>
      <c r="C84" s="20" t="str">
        <f t="shared" si="1"/>
        <v>CD21-m002</v>
      </c>
      <c r="D84" s="3">
        <v>152.66999999999999</v>
      </c>
    </row>
    <row r="85" spans="1:23">
      <c r="A85" s="20" t="s">
        <v>268</v>
      </c>
      <c r="B85" s="20" t="s">
        <v>83</v>
      </c>
      <c r="C85" s="20" t="str">
        <f t="shared" si="1"/>
        <v>CD21-m003</v>
      </c>
      <c r="D85" s="3">
        <v>159.57749999999999</v>
      </c>
    </row>
    <row r="86" spans="1:23">
      <c r="A86" s="20" t="s">
        <v>268</v>
      </c>
      <c r="B86" s="20" t="s">
        <v>103</v>
      </c>
      <c r="C86" s="20" t="str">
        <f t="shared" si="1"/>
        <v>CD21-m004</v>
      </c>
      <c r="D86" s="3">
        <v>106.9328</v>
      </c>
    </row>
    <row r="87" spans="1:23">
      <c r="A87" s="20" t="s">
        <v>268</v>
      </c>
      <c r="B87" s="20" t="s">
        <v>105</v>
      </c>
      <c r="C87" s="20" t="str">
        <f t="shared" si="1"/>
        <v>CD21-m006</v>
      </c>
      <c r="D87" s="3">
        <v>193.23</v>
      </c>
    </row>
    <row r="88" spans="1:23">
      <c r="A88" s="20" t="s">
        <v>268</v>
      </c>
      <c r="B88" s="20" t="s">
        <v>106</v>
      </c>
      <c r="C88" s="20" t="str">
        <f t="shared" si="1"/>
        <v>CD21-m007</v>
      </c>
      <c r="D88" s="3">
        <v>149.745</v>
      </c>
    </row>
    <row r="89" spans="1:23">
      <c r="A89" s="20" t="s">
        <v>268</v>
      </c>
      <c r="B89" s="20" t="s">
        <v>107</v>
      </c>
      <c r="C89" s="20" t="str">
        <f t="shared" si="1"/>
        <v>CD21-m008</v>
      </c>
      <c r="D89" s="3">
        <v>157.4675</v>
      </c>
    </row>
    <row r="90" spans="1:23">
      <c r="A90" s="20" t="s">
        <v>268</v>
      </c>
      <c r="B90" s="20" t="s">
        <v>108</v>
      </c>
      <c r="C90" s="20" t="str">
        <f t="shared" si="1"/>
        <v>CD21-m009</v>
      </c>
      <c r="D90" s="3">
        <v>189.24</v>
      </c>
    </row>
    <row r="91" spans="1:23">
      <c r="A91" s="20" t="s">
        <v>268</v>
      </c>
      <c r="B91" s="20" t="s">
        <v>98</v>
      </c>
      <c r="C91" s="20" t="str">
        <f t="shared" si="1"/>
        <v>CD21-m010</v>
      </c>
      <c r="D91" s="3">
        <v>185.36500000000001</v>
      </c>
    </row>
    <row r="92" spans="1:23">
      <c r="A92" s="20" t="s">
        <v>268</v>
      </c>
      <c r="B92" s="20" t="s">
        <v>99</v>
      </c>
      <c r="C92" s="20" t="str">
        <f t="shared" si="1"/>
        <v>CD21-m011</v>
      </c>
      <c r="D92" s="3">
        <v>203.3922</v>
      </c>
    </row>
    <row r="93" spans="1:23">
      <c r="A93" s="20" t="s">
        <v>268</v>
      </c>
      <c r="B93" s="20" t="s">
        <v>89</v>
      </c>
      <c r="C93" s="20" t="str">
        <f t="shared" si="1"/>
        <v>CD21-m014</v>
      </c>
      <c r="D93" s="3">
        <v>234.26130000000001</v>
      </c>
    </row>
    <row r="94" spans="1:23">
      <c r="A94" s="20" t="s">
        <v>268</v>
      </c>
      <c r="B94" s="20" t="s">
        <v>100</v>
      </c>
      <c r="C94" s="20" t="str">
        <f t="shared" si="1"/>
        <v>CD21-m015</v>
      </c>
      <c r="D94" s="3">
        <v>199.01130000000001</v>
      </c>
    </row>
    <row r="95" spans="1:23">
      <c r="A95" s="20" t="s">
        <v>268</v>
      </c>
      <c r="B95" s="20" t="s">
        <v>90</v>
      </c>
      <c r="C95" s="20" t="str">
        <f t="shared" si="1"/>
        <v>CD21-m016</v>
      </c>
      <c r="D95" s="3">
        <v>96.848399999999998</v>
      </c>
    </row>
    <row r="96" spans="1:23">
      <c r="A96" s="20" t="s">
        <v>268</v>
      </c>
      <c r="B96" s="20" t="s">
        <v>101</v>
      </c>
      <c r="C96" s="20" t="str">
        <f t="shared" si="1"/>
        <v>CD21-m017</v>
      </c>
      <c r="D96" s="3">
        <v>177.065</v>
      </c>
    </row>
    <row r="97" spans="1:77">
      <c r="A97" s="20" t="s">
        <v>268</v>
      </c>
      <c r="B97" s="20" t="s">
        <v>91</v>
      </c>
      <c r="C97" s="20" t="str">
        <f t="shared" si="1"/>
        <v>CD21-m018</v>
      </c>
      <c r="D97" s="3">
        <v>180.40299999999999</v>
      </c>
    </row>
    <row r="98" spans="1:77">
      <c r="A98" s="20" t="s">
        <v>268</v>
      </c>
      <c r="B98" s="20" t="s">
        <v>102</v>
      </c>
      <c r="C98" s="20" t="str">
        <f t="shared" si="1"/>
        <v>CD21-m019</v>
      </c>
      <c r="D98" s="3">
        <v>175.8484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20" t="s">
        <v>268</v>
      </c>
      <c r="B99" s="20" t="s">
        <v>92</v>
      </c>
      <c r="C99" s="20" t="str">
        <f t="shared" si="1"/>
        <v>CD21-m020</v>
      </c>
      <c r="D99" s="3">
        <v>162.54750000000001</v>
      </c>
    </row>
    <row r="100" spans="1:77">
      <c r="A100" s="20" t="s">
        <v>319</v>
      </c>
      <c r="B100" s="20" t="s">
        <v>269</v>
      </c>
      <c r="C100" s="20" t="str">
        <f t="shared" si="1"/>
        <v>CD27-m739</v>
      </c>
      <c r="D100" s="3">
        <v>12.9986</v>
      </c>
    </row>
    <row r="101" spans="1:77">
      <c r="A101" s="20" t="s">
        <v>319</v>
      </c>
      <c r="B101" s="20" t="s">
        <v>270</v>
      </c>
      <c r="C101" s="20" t="str">
        <f t="shared" si="1"/>
        <v>CD27-m740</v>
      </c>
      <c r="D101" s="3">
        <v>17.235399999999998</v>
      </c>
    </row>
    <row r="102" spans="1:77">
      <c r="A102" s="20" t="s">
        <v>319</v>
      </c>
      <c r="B102" s="20" t="s">
        <v>271</v>
      </c>
      <c r="C102" s="20" t="str">
        <f t="shared" si="1"/>
        <v>CD27-m741</v>
      </c>
      <c r="D102" s="3">
        <v>29.838200000000001</v>
      </c>
    </row>
    <row r="103" spans="1:77">
      <c r="A103" s="20" t="s">
        <v>319</v>
      </c>
      <c r="B103" s="20" t="s">
        <v>272</v>
      </c>
      <c r="C103" s="20" t="str">
        <f t="shared" si="1"/>
        <v>CD27-m742</v>
      </c>
      <c r="D103" s="3">
        <v>38.612099999999998</v>
      </c>
    </row>
    <row r="104" spans="1:77">
      <c r="A104" s="20" t="s">
        <v>319</v>
      </c>
      <c r="B104" s="20" t="s">
        <v>273</v>
      </c>
      <c r="C104" s="20" t="str">
        <f t="shared" si="1"/>
        <v>CD27-m743</v>
      </c>
      <c r="D104" s="3">
        <v>60.939399999999999</v>
      </c>
    </row>
    <row r="105" spans="1:77">
      <c r="A105" s="20" t="s">
        <v>319</v>
      </c>
      <c r="B105" s="20" t="s">
        <v>274</v>
      </c>
      <c r="C105" s="20" t="str">
        <f t="shared" si="1"/>
        <v>CD27-m744</v>
      </c>
      <c r="D105" s="3">
        <v>21.8675</v>
      </c>
    </row>
    <row r="106" spans="1:77">
      <c r="A106" s="20" t="s">
        <v>319</v>
      </c>
      <c r="B106" s="20" t="s">
        <v>275</v>
      </c>
      <c r="C106" s="20" t="str">
        <f t="shared" si="1"/>
        <v>CD27-m746</v>
      </c>
      <c r="D106" s="3">
        <v>24.811499999999999</v>
      </c>
    </row>
    <row r="107" spans="1:77">
      <c r="A107" s="20" t="s">
        <v>319</v>
      </c>
      <c r="B107" s="20" t="s">
        <v>276</v>
      </c>
      <c r="C107" s="20" t="str">
        <f t="shared" si="1"/>
        <v>CD27-m747</v>
      </c>
      <c r="D107" s="3">
        <v>19.161000000000001</v>
      </c>
    </row>
    <row r="108" spans="1:77">
      <c r="A108" s="20" t="s">
        <v>319</v>
      </c>
      <c r="B108" s="20" t="s">
        <v>129</v>
      </c>
      <c r="C108" s="20" t="str">
        <f t="shared" si="1"/>
        <v>CD27-m773</v>
      </c>
      <c r="D108" s="3">
        <v>45.872700000000002</v>
      </c>
    </row>
    <row r="109" spans="1:77">
      <c r="A109" s="20" t="s">
        <v>319</v>
      </c>
      <c r="B109" s="20" t="s">
        <v>130</v>
      </c>
      <c r="C109" s="20" t="str">
        <f t="shared" si="1"/>
        <v>CD27-m774</v>
      </c>
      <c r="D109" s="3">
        <v>52.709200000000003</v>
      </c>
    </row>
    <row r="110" spans="1:77">
      <c r="A110" s="20" t="s">
        <v>319</v>
      </c>
      <c r="B110" s="20" t="s">
        <v>131</v>
      </c>
      <c r="C110" s="20" t="str">
        <f t="shared" si="1"/>
        <v>CD27-m776</v>
      </c>
      <c r="D110" s="3">
        <v>35.468600000000002</v>
      </c>
    </row>
    <row r="111" spans="1:77">
      <c r="A111" s="20" t="s">
        <v>319</v>
      </c>
      <c r="B111" s="20" t="s">
        <v>132</v>
      </c>
      <c r="C111" s="20" t="str">
        <f t="shared" si="1"/>
        <v>CD27-m777</v>
      </c>
      <c r="D111" s="3">
        <v>29.818100000000001</v>
      </c>
    </row>
    <row r="112" spans="1:77">
      <c r="A112" s="20" t="s">
        <v>319</v>
      </c>
      <c r="B112" s="20" t="s">
        <v>133</v>
      </c>
      <c r="C112" s="20" t="str">
        <f t="shared" si="1"/>
        <v>CD27-m778</v>
      </c>
      <c r="D112" s="3">
        <v>232.88679999999999</v>
      </c>
    </row>
    <row r="113" spans="1:4">
      <c r="A113" s="20" t="s">
        <v>319</v>
      </c>
      <c r="B113" s="20" t="s">
        <v>134</v>
      </c>
      <c r="C113" s="20" t="str">
        <f t="shared" si="1"/>
        <v>CD27-m779</v>
      </c>
      <c r="D113" s="3">
        <v>3.3914</v>
      </c>
    </row>
    <row r="114" spans="1:4">
      <c r="A114" s="20" t="s">
        <v>319</v>
      </c>
      <c r="B114" s="20" t="s">
        <v>135</v>
      </c>
      <c r="C114" s="20" t="str">
        <f t="shared" si="1"/>
        <v>CD27-m780</v>
      </c>
      <c r="D114" s="3">
        <v>50.991500000000002</v>
      </c>
    </row>
    <row r="115" spans="1:4">
      <c r="A115" s="20" t="s">
        <v>319</v>
      </c>
      <c r="B115" s="20" t="s">
        <v>136</v>
      </c>
      <c r="C115" s="20" t="str">
        <f t="shared" si="1"/>
        <v>CD27-m781</v>
      </c>
      <c r="D115" s="3">
        <v>38.762599999999999</v>
      </c>
    </row>
    <row r="116" spans="1:4">
      <c r="A116" s="20" t="s">
        <v>319</v>
      </c>
      <c r="B116" s="20" t="s">
        <v>277</v>
      </c>
      <c r="C116" s="20" t="str">
        <f t="shared" si="1"/>
        <v>CD27-m764</v>
      </c>
      <c r="D116" s="3">
        <v>1.8391</v>
      </c>
    </row>
    <row r="117" spans="1:4">
      <c r="A117" s="20" t="s">
        <v>319</v>
      </c>
      <c r="B117" s="20" t="s">
        <v>278</v>
      </c>
      <c r="C117" s="20" t="str">
        <f t="shared" si="1"/>
        <v>CD27-m765</v>
      </c>
      <c r="D117" s="3">
        <v>5.9958999999999998</v>
      </c>
    </row>
    <row r="118" spans="1:4">
      <c r="A118" s="20" t="s">
        <v>319</v>
      </c>
      <c r="B118" s="20" t="s">
        <v>279</v>
      </c>
      <c r="C118" s="20" t="str">
        <f t="shared" si="1"/>
        <v>CD27-m766</v>
      </c>
      <c r="D118" s="3">
        <v>4.9699</v>
      </c>
    </row>
    <row r="119" spans="1:4">
      <c r="A119" s="20" t="s">
        <v>319</v>
      </c>
      <c r="B119" s="20" t="s">
        <v>280</v>
      </c>
      <c r="C119" s="20" t="str">
        <f t="shared" ref="C119:C171" si="2">_xlfn.CONCAT(A119,"-",B119)</f>
        <v>CD27-m767</v>
      </c>
      <c r="D119" s="3">
        <v>6.9737</v>
      </c>
    </row>
    <row r="120" spans="1:4">
      <c r="A120" s="20" t="s">
        <v>319</v>
      </c>
      <c r="B120" s="20" t="s">
        <v>281</v>
      </c>
      <c r="C120" s="20" t="str">
        <f t="shared" si="2"/>
        <v>CD27-m768</v>
      </c>
      <c r="D120" s="3">
        <v>2.9918</v>
      </c>
    </row>
    <row r="121" spans="1:4">
      <c r="A121" s="20" t="s">
        <v>319</v>
      </c>
      <c r="B121" s="20" t="s">
        <v>282</v>
      </c>
      <c r="C121" s="20" t="str">
        <f t="shared" si="2"/>
        <v>CD27-m769</v>
      </c>
      <c r="D121" s="3">
        <v>3.5960000000000001</v>
      </c>
    </row>
    <row r="122" spans="1:4">
      <c r="A122" s="20" t="s">
        <v>319</v>
      </c>
      <c r="B122" s="20" t="s">
        <v>283</v>
      </c>
      <c r="C122" s="20" t="str">
        <f t="shared" si="2"/>
        <v>CD27-m770</v>
      </c>
      <c r="D122" s="3">
        <v>7.5647000000000002</v>
      </c>
    </row>
    <row r="123" spans="1:4">
      <c r="A123" s="20" t="s">
        <v>319</v>
      </c>
      <c r="B123" s="20" t="s">
        <v>284</v>
      </c>
      <c r="C123" s="20" t="str">
        <f t="shared" si="2"/>
        <v>CD27-m772</v>
      </c>
      <c r="D123" s="3">
        <v>4.1256000000000004</v>
      </c>
    </row>
    <row r="124" spans="1:4">
      <c r="A124" s="20" t="s">
        <v>319</v>
      </c>
      <c r="B124" s="20" t="s">
        <v>122</v>
      </c>
      <c r="C124" s="20" t="str">
        <f t="shared" si="2"/>
        <v>CD27-m806</v>
      </c>
      <c r="D124" s="3">
        <v>6.0637999999999996</v>
      </c>
    </row>
    <row r="125" spans="1:4">
      <c r="A125" s="20" t="s">
        <v>319</v>
      </c>
      <c r="B125" s="20" t="s">
        <v>123</v>
      </c>
      <c r="C125" s="20" t="str">
        <f t="shared" si="2"/>
        <v>CD27-m807</v>
      </c>
      <c r="D125" s="3">
        <v>5.7481999999999998</v>
      </c>
    </row>
    <row r="126" spans="1:4">
      <c r="A126" s="20" t="s">
        <v>319</v>
      </c>
      <c r="B126" s="20" t="s">
        <v>124</v>
      </c>
      <c r="C126" s="20" t="str">
        <f t="shared" si="2"/>
        <v>CD27-m808</v>
      </c>
      <c r="D126" s="3">
        <v>1.732</v>
      </c>
    </row>
    <row r="127" spans="1:4">
      <c r="A127" s="20" t="s">
        <v>319</v>
      </c>
      <c r="B127" s="20" t="s">
        <v>125</v>
      </c>
      <c r="C127" s="20" t="str">
        <f t="shared" si="2"/>
        <v>CD27-m809</v>
      </c>
      <c r="D127" s="3">
        <v>1.6536</v>
      </c>
    </row>
    <row r="128" spans="1:4">
      <c r="A128" s="20" t="s">
        <v>319</v>
      </c>
      <c r="B128" s="20" t="s">
        <v>126</v>
      </c>
      <c r="C128" s="20" t="str">
        <f t="shared" si="2"/>
        <v>CD27-m810</v>
      </c>
      <c r="D128" s="3">
        <v>2.4628000000000001</v>
      </c>
    </row>
    <row r="129" spans="1:4">
      <c r="A129" s="20" t="s">
        <v>319</v>
      </c>
      <c r="B129" s="20" t="s">
        <v>285</v>
      </c>
      <c r="C129" s="20" t="str">
        <f t="shared" si="2"/>
        <v>CD27-m791</v>
      </c>
      <c r="D129" s="3">
        <v>1.5661</v>
      </c>
    </row>
    <row r="130" spans="1:4">
      <c r="A130" s="20" t="s">
        <v>319</v>
      </c>
      <c r="B130" s="20" t="s">
        <v>127</v>
      </c>
      <c r="C130" s="20" t="str">
        <f t="shared" si="2"/>
        <v>CD27-m756</v>
      </c>
      <c r="D130" s="3">
        <v>4.7881999999999998</v>
      </c>
    </row>
    <row r="131" spans="1:4">
      <c r="A131" s="20" t="s">
        <v>319</v>
      </c>
      <c r="B131" s="20" t="s">
        <v>128</v>
      </c>
      <c r="C131" s="20" t="str">
        <f t="shared" si="2"/>
        <v>CD27-m757</v>
      </c>
      <c r="D131" s="3">
        <v>5.3445</v>
      </c>
    </row>
    <row r="132" spans="1:4">
      <c r="A132" s="20" t="s">
        <v>319</v>
      </c>
      <c r="B132" s="20" t="s">
        <v>310</v>
      </c>
      <c r="C132" s="20" t="str">
        <f t="shared" si="2"/>
        <v>CD27-m748</v>
      </c>
      <c r="D132" s="3">
        <v>48.497799999999998</v>
      </c>
    </row>
    <row r="133" spans="1:4">
      <c r="A133" s="20" t="s">
        <v>319</v>
      </c>
      <c r="B133" s="20" t="s">
        <v>311</v>
      </c>
      <c r="C133" s="20" t="str">
        <f t="shared" si="2"/>
        <v>CD27-m749</v>
      </c>
      <c r="D133" s="3">
        <v>45.756100000000004</v>
      </c>
    </row>
    <row r="134" spans="1:4">
      <c r="A134" s="20" t="s">
        <v>319</v>
      </c>
      <c r="B134" s="20" t="s">
        <v>312</v>
      </c>
      <c r="C134" s="20" t="str">
        <f t="shared" si="2"/>
        <v>CD27-m750</v>
      </c>
      <c r="D134" s="3">
        <v>66.026200000000003</v>
      </c>
    </row>
    <row r="135" spans="1:4">
      <c r="A135" s="20" t="s">
        <v>319</v>
      </c>
      <c r="B135" s="20" t="s">
        <v>313</v>
      </c>
      <c r="C135" s="20" t="str">
        <f t="shared" si="2"/>
        <v>CD27-m751</v>
      </c>
      <c r="D135" s="3">
        <v>99.652100000000004</v>
      </c>
    </row>
    <row r="136" spans="1:4">
      <c r="A136" s="20" t="s">
        <v>319</v>
      </c>
      <c r="B136" s="20" t="s">
        <v>314</v>
      </c>
      <c r="C136" s="20" t="str">
        <f t="shared" si="2"/>
        <v>CD27-m752</v>
      </c>
      <c r="D136" s="3">
        <v>53.896099999999997</v>
      </c>
    </row>
    <row r="137" spans="1:4">
      <c r="A137" s="20" t="s">
        <v>319</v>
      </c>
      <c r="B137" s="20" t="s">
        <v>315</v>
      </c>
      <c r="C137" s="20" t="str">
        <f t="shared" si="2"/>
        <v>CD27-m753</v>
      </c>
      <c r="D137" s="3">
        <v>64.975700000000003</v>
      </c>
    </row>
    <row r="138" spans="1:4">
      <c r="A138" s="20" t="s">
        <v>319</v>
      </c>
      <c r="B138" s="20" t="s">
        <v>316</v>
      </c>
      <c r="C138" s="20" t="str">
        <f t="shared" si="2"/>
        <v>CD27-m754</v>
      </c>
      <c r="D138" s="3">
        <v>70.853499999999997</v>
      </c>
    </row>
    <row r="139" spans="1:4">
      <c r="A139" s="20" t="s">
        <v>319</v>
      </c>
      <c r="B139" s="20" t="s">
        <v>317</v>
      </c>
      <c r="C139" s="20" t="str">
        <f t="shared" si="2"/>
        <v>CD27-m755</v>
      </c>
      <c r="D139" s="3">
        <v>51.021599999999999</v>
      </c>
    </row>
    <row r="140" spans="1:4">
      <c r="A140" s="20" t="s">
        <v>319</v>
      </c>
      <c r="B140" s="20" t="s">
        <v>318</v>
      </c>
      <c r="C140" s="20" t="str">
        <f t="shared" si="2"/>
        <v>CD27-m782</v>
      </c>
      <c r="D140" s="3">
        <v>2.5830000000000002</v>
      </c>
    </row>
    <row r="141" spans="1:4">
      <c r="A141" s="20" t="s">
        <v>319</v>
      </c>
      <c r="B141" s="20" t="s">
        <v>115</v>
      </c>
      <c r="C141" s="20" t="str">
        <f t="shared" si="2"/>
        <v>CD27-m783</v>
      </c>
      <c r="D141" s="3">
        <v>3.4735</v>
      </c>
    </row>
    <row r="142" spans="1:4">
      <c r="A142" s="20" t="s">
        <v>319</v>
      </c>
      <c r="B142" s="20" t="s">
        <v>116</v>
      </c>
      <c r="C142" s="20" t="str">
        <f t="shared" si="2"/>
        <v>CD27-m784</v>
      </c>
      <c r="D142" s="3">
        <v>2.9980000000000002</v>
      </c>
    </row>
    <row r="143" spans="1:4">
      <c r="A143" s="20" t="s">
        <v>319</v>
      </c>
      <c r="B143" s="20" t="s">
        <v>117</v>
      </c>
      <c r="C143" s="20" t="str">
        <f t="shared" si="2"/>
        <v>CD27-m785</v>
      </c>
      <c r="D143" s="3">
        <v>5.5284000000000004</v>
      </c>
    </row>
    <row r="144" spans="1:4">
      <c r="A144" s="20" t="s">
        <v>319</v>
      </c>
      <c r="B144" s="20" t="s">
        <v>118</v>
      </c>
      <c r="C144" s="20" t="str">
        <f t="shared" si="2"/>
        <v>CD27-m786</v>
      </c>
      <c r="D144" s="3">
        <v>5.8067000000000002</v>
      </c>
    </row>
    <row r="145" spans="1:4">
      <c r="A145" s="20" t="s">
        <v>319</v>
      </c>
      <c r="B145" s="20" t="s">
        <v>119</v>
      </c>
      <c r="C145" s="20" t="str">
        <f t="shared" si="2"/>
        <v>CD27-m787</v>
      </c>
      <c r="D145" s="3">
        <v>2.9266999999999999</v>
      </c>
    </row>
    <row r="146" spans="1:4">
      <c r="A146" s="20" t="s">
        <v>319</v>
      </c>
      <c r="B146" s="20" t="s">
        <v>120</v>
      </c>
      <c r="C146" s="20" t="str">
        <f t="shared" si="2"/>
        <v>CD27-m788</v>
      </c>
      <c r="D146" s="3">
        <v>10.6381</v>
      </c>
    </row>
    <row r="147" spans="1:4">
      <c r="A147" s="20" t="s">
        <v>319</v>
      </c>
      <c r="B147" s="20" t="s">
        <v>121</v>
      </c>
      <c r="C147" s="20" t="str">
        <f t="shared" si="2"/>
        <v>CD27-m789</v>
      </c>
      <c r="D147" s="3">
        <v>8.5025999999999993</v>
      </c>
    </row>
    <row r="148" spans="1:4">
      <c r="A148" s="20" t="s">
        <v>319</v>
      </c>
      <c r="B148" s="20" t="s">
        <v>286</v>
      </c>
      <c r="C148" s="20" t="str">
        <f t="shared" si="2"/>
        <v>CD27-m731</v>
      </c>
      <c r="D148" s="3">
        <v>31.424099999999999</v>
      </c>
    </row>
    <row r="149" spans="1:4">
      <c r="A149" s="20" t="s">
        <v>319</v>
      </c>
      <c r="B149" s="20" t="s">
        <v>287</v>
      </c>
      <c r="C149" s="20" t="str">
        <f t="shared" si="2"/>
        <v>CD27-m732</v>
      </c>
      <c r="D149" s="3">
        <v>115.057</v>
      </c>
    </row>
    <row r="150" spans="1:4">
      <c r="A150" s="20" t="s">
        <v>319</v>
      </c>
      <c r="B150" s="20" t="s">
        <v>288</v>
      </c>
      <c r="C150" s="20" t="str">
        <f t="shared" si="2"/>
        <v>CD27-m733</v>
      </c>
      <c r="D150" s="3">
        <v>66.845200000000006</v>
      </c>
    </row>
    <row r="151" spans="1:4">
      <c r="A151" s="20" t="s">
        <v>319</v>
      </c>
      <c r="B151" s="20" t="s">
        <v>289</v>
      </c>
      <c r="C151" s="20" t="str">
        <f t="shared" si="2"/>
        <v>CD27-m734</v>
      </c>
      <c r="D151" s="3">
        <v>79.411500000000004</v>
      </c>
    </row>
    <row r="152" spans="1:4">
      <c r="A152" s="20" t="s">
        <v>319</v>
      </c>
      <c r="B152" s="20" t="s">
        <v>290</v>
      </c>
      <c r="C152" s="20" t="str">
        <f t="shared" si="2"/>
        <v>CD27-m735</v>
      </c>
      <c r="D152" s="3">
        <v>41.034999999999997</v>
      </c>
    </row>
    <row r="153" spans="1:4">
      <c r="A153" s="20" t="s">
        <v>319</v>
      </c>
      <c r="B153" s="20" t="s">
        <v>291</v>
      </c>
      <c r="C153" s="20" t="str">
        <f t="shared" si="2"/>
        <v>CD27-m736</v>
      </c>
      <c r="D153" s="3">
        <v>164.42230000000001</v>
      </c>
    </row>
    <row r="154" spans="1:4">
      <c r="A154" s="20" t="s">
        <v>319</v>
      </c>
      <c r="B154" s="20" t="s">
        <v>292</v>
      </c>
      <c r="C154" s="20" t="str">
        <f t="shared" si="2"/>
        <v>CD27-m737</v>
      </c>
      <c r="D154" s="3">
        <v>108.41119999999999</v>
      </c>
    </row>
    <row r="155" spans="1:4">
      <c r="A155" s="20" t="s">
        <v>319</v>
      </c>
      <c r="B155" s="20" t="s">
        <v>293</v>
      </c>
      <c r="C155" s="20" t="str">
        <f t="shared" si="2"/>
        <v>CD27-m738</v>
      </c>
      <c r="D155" s="3">
        <v>85.667500000000004</v>
      </c>
    </row>
    <row r="156" spans="1:4">
      <c r="A156" s="20" t="s">
        <v>319</v>
      </c>
      <c r="B156" s="20" t="s">
        <v>294</v>
      </c>
      <c r="C156" s="20" t="str">
        <f t="shared" si="2"/>
        <v>CD27-m758</v>
      </c>
      <c r="D156" s="3">
        <v>1.5E-3</v>
      </c>
    </row>
    <row r="157" spans="1:4">
      <c r="A157" s="20" t="s">
        <v>319</v>
      </c>
      <c r="B157" s="20" t="s">
        <v>295</v>
      </c>
      <c r="C157" s="20" t="str">
        <f t="shared" si="2"/>
        <v>CD27-m759</v>
      </c>
      <c r="D157" s="3">
        <v>1.1999999999999999E-3</v>
      </c>
    </row>
    <row r="158" spans="1:4">
      <c r="A158" s="20" t="s">
        <v>319</v>
      </c>
      <c r="B158" s="20" t="s">
        <v>296</v>
      </c>
      <c r="C158" s="20" t="str">
        <f t="shared" si="2"/>
        <v>CD27-m760</v>
      </c>
      <c r="D158" s="3">
        <v>6.9999999999999999E-4</v>
      </c>
    </row>
    <row r="159" spans="1:4">
      <c r="A159" s="20" t="s">
        <v>319</v>
      </c>
      <c r="B159" s="20" t="s">
        <v>297</v>
      </c>
      <c r="C159" s="20" t="str">
        <f t="shared" si="2"/>
        <v>CD27-m761</v>
      </c>
      <c r="D159" s="3">
        <v>6.9999999999999999E-4</v>
      </c>
    </row>
    <row r="160" spans="1:4">
      <c r="A160" s="20" t="s">
        <v>319</v>
      </c>
      <c r="B160" s="20" t="s">
        <v>298</v>
      </c>
      <c r="C160" s="20" t="str">
        <f t="shared" si="2"/>
        <v>CD27-m762</v>
      </c>
      <c r="D160" s="3">
        <v>6.9999999999999999E-4</v>
      </c>
    </row>
    <row r="161" spans="1:86">
      <c r="A161" s="20" t="s">
        <v>319</v>
      </c>
      <c r="B161" s="20" t="s">
        <v>299</v>
      </c>
      <c r="C161" s="20" t="str">
        <f t="shared" si="2"/>
        <v>CD27-m763</v>
      </c>
      <c r="D161" s="3">
        <v>1.1000000000000001E-3</v>
      </c>
    </row>
    <row r="162" spans="1:86">
      <c r="A162" s="20" t="s">
        <v>319</v>
      </c>
      <c r="B162" s="20" t="s">
        <v>300</v>
      </c>
      <c r="C162" s="20" t="str">
        <f t="shared" si="2"/>
        <v>CD27-m804</v>
      </c>
      <c r="D162" s="3">
        <v>1.1999999999999999E-3</v>
      </c>
    </row>
    <row r="163" spans="1:86">
      <c r="A163" s="20" t="s">
        <v>319</v>
      </c>
      <c r="B163" s="20" t="s">
        <v>301</v>
      </c>
      <c r="C163" s="20" t="str">
        <f>_xlfn.CONCAT(A163,"-",B163)</f>
        <v>CD27-m805</v>
      </c>
      <c r="D163" s="3">
        <v>8.0000000000000004E-4</v>
      </c>
    </row>
    <row r="164" spans="1:86">
      <c r="A164" s="20" t="s">
        <v>319</v>
      </c>
      <c r="B164" s="20" t="s">
        <v>302</v>
      </c>
      <c r="C164" s="20" t="str">
        <f t="shared" si="2"/>
        <v>CD27-m796</v>
      </c>
      <c r="D164" s="3">
        <v>0.65369999999999995</v>
      </c>
    </row>
    <row r="165" spans="1:86">
      <c r="A165" s="20" t="s">
        <v>319</v>
      </c>
      <c r="B165" s="20" t="s">
        <v>303</v>
      </c>
      <c r="C165" s="20" t="str">
        <f t="shared" si="2"/>
        <v>CD27-m797</v>
      </c>
      <c r="D165" s="3">
        <v>0.27539999999999998</v>
      </c>
    </row>
    <row r="166" spans="1:86">
      <c r="A166" s="20" t="s">
        <v>319</v>
      </c>
      <c r="B166" s="20" t="s">
        <v>304</v>
      </c>
      <c r="C166" s="20" t="str">
        <f t="shared" si="2"/>
        <v>CD27-m798</v>
      </c>
      <c r="D166" s="3">
        <v>0.24660000000000001</v>
      </c>
    </row>
    <row r="167" spans="1:86">
      <c r="A167" s="20" t="s">
        <v>319</v>
      </c>
      <c r="B167" s="20" t="s">
        <v>305</v>
      </c>
      <c r="C167" s="20" t="str">
        <f t="shared" si="2"/>
        <v>CD27-m799</v>
      </c>
      <c r="D167" s="3">
        <v>0.65049999999999997</v>
      </c>
    </row>
    <row r="168" spans="1:86">
      <c r="A168" s="20" t="s">
        <v>319</v>
      </c>
      <c r="B168" s="20" t="s">
        <v>306</v>
      </c>
      <c r="C168" s="20" t="str">
        <f t="shared" si="2"/>
        <v>CD27-m800</v>
      </c>
      <c r="D168" s="3">
        <v>0.63890000000000002</v>
      </c>
    </row>
    <row r="169" spans="1:86">
      <c r="A169" s="20" t="s">
        <v>319</v>
      </c>
      <c r="B169" s="20" t="s">
        <v>307</v>
      </c>
      <c r="C169" s="20" t="str">
        <f t="shared" si="2"/>
        <v>CD27-m801</v>
      </c>
      <c r="D169" s="3">
        <v>0.74429999999999996</v>
      </c>
    </row>
    <row r="170" spans="1:86">
      <c r="A170" s="20" t="s">
        <v>319</v>
      </c>
      <c r="B170" s="20" t="s">
        <v>308</v>
      </c>
      <c r="C170" s="20" t="str">
        <f t="shared" si="2"/>
        <v>CD27-m802</v>
      </c>
      <c r="D170" s="3">
        <v>0.78090000000000004</v>
      </c>
    </row>
    <row r="171" spans="1:86">
      <c r="A171" s="20" t="s">
        <v>319</v>
      </c>
      <c r="B171" s="20" t="s">
        <v>309</v>
      </c>
      <c r="C171" s="20" t="str">
        <f t="shared" si="2"/>
        <v>CD27-m803</v>
      </c>
      <c r="D171" s="3">
        <v>0.57869999999999999</v>
      </c>
    </row>
    <row r="172" spans="1:86">
      <c r="A172" s="20" t="s">
        <v>320</v>
      </c>
      <c r="B172" s="20">
        <v>158</v>
      </c>
      <c r="C172" s="20" t="str">
        <f t="shared" ref="C172:C235" si="3">_xlfn.CONCAT(A172,"-m",B172)</f>
        <v>CD30-m158</v>
      </c>
      <c r="D172" s="3">
        <v>586.30970000000002</v>
      </c>
    </row>
    <row r="173" spans="1:86">
      <c r="A173" s="20" t="s">
        <v>320</v>
      </c>
      <c r="B173" s="20">
        <v>159</v>
      </c>
      <c r="C173" s="20" t="str">
        <f t="shared" si="3"/>
        <v>CD30-m159</v>
      </c>
      <c r="D173" s="3">
        <v>315.02030000000002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</row>
    <row r="174" spans="1:86">
      <c r="A174" s="20" t="s">
        <v>320</v>
      </c>
      <c r="B174" s="20">
        <v>160</v>
      </c>
      <c r="C174" s="20" t="str">
        <f t="shared" si="3"/>
        <v>CD30-m160</v>
      </c>
      <c r="D174" s="3">
        <v>347.1628</v>
      </c>
    </row>
    <row r="175" spans="1:86">
      <c r="A175" s="20" t="s">
        <v>320</v>
      </c>
      <c r="B175" s="20">
        <v>161</v>
      </c>
      <c r="C175" s="20" t="str">
        <f t="shared" si="3"/>
        <v>CD30-m161</v>
      </c>
      <c r="D175" s="3">
        <v>274.6268</v>
      </c>
    </row>
    <row r="176" spans="1:86">
      <c r="A176" s="20" t="s">
        <v>320</v>
      </c>
      <c r="B176" s="20">
        <v>162</v>
      </c>
      <c r="C176" s="20" t="str">
        <f t="shared" si="3"/>
        <v>CD30-m162</v>
      </c>
      <c r="D176" s="3">
        <v>794.05240000000003</v>
      </c>
    </row>
    <row r="177" spans="1:4">
      <c r="A177" s="20" t="s">
        <v>320</v>
      </c>
      <c r="B177" s="20">
        <v>164</v>
      </c>
      <c r="C177" s="20" t="str">
        <f t="shared" si="3"/>
        <v>CD30-m164</v>
      </c>
      <c r="D177" s="3">
        <v>244.8502</v>
      </c>
    </row>
    <row r="178" spans="1:4">
      <c r="A178" s="20" t="s">
        <v>320</v>
      </c>
      <c r="B178" s="20">
        <v>165</v>
      </c>
      <c r="C178" s="20" t="str">
        <f t="shared" si="3"/>
        <v>CD30-m165</v>
      </c>
      <c r="D178" s="3">
        <v>337.2518</v>
      </c>
    </row>
    <row r="179" spans="1:4">
      <c r="A179" s="20" t="s">
        <v>320</v>
      </c>
      <c r="B179" s="20">
        <v>166</v>
      </c>
      <c r="C179" s="20" t="str">
        <f t="shared" si="3"/>
        <v>CD30-m166</v>
      </c>
      <c r="D179" s="3">
        <v>490.1936</v>
      </c>
    </row>
    <row r="180" spans="1:4">
      <c r="A180" s="20" t="s">
        <v>320</v>
      </c>
      <c r="B180" s="20">
        <v>167</v>
      </c>
      <c r="C180" s="20" t="str">
        <f t="shared" si="3"/>
        <v>CD30-m167</v>
      </c>
      <c r="D180" s="3">
        <v>338.10590000000002</v>
      </c>
    </row>
    <row r="181" spans="1:4">
      <c r="A181" s="20" t="s">
        <v>320</v>
      </c>
      <c r="B181" s="20">
        <v>168</v>
      </c>
      <c r="C181" s="20" t="str">
        <f t="shared" si="3"/>
        <v>CD30-m168</v>
      </c>
      <c r="D181" s="3">
        <v>550.21270000000004</v>
      </c>
    </row>
    <row r="182" spans="1:4">
      <c r="A182" s="20" t="s">
        <v>320</v>
      </c>
      <c r="B182" s="20">
        <v>169</v>
      </c>
      <c r="C182" s="20" t="str">
        <f t="shared" si="3"/>
        <v>CD30-m169</v>
      </c>
      <c r="D182" s="3">
        <v>262.5437</v>
      </c>
    </row>
    <row r="183" spans="1:4">
      <c r="A183" s="20" t="s">
        <v>320</v>
      </c>
      <c r="B183" s="20">
        <v>170</v>
      </c>
      <c r="C183" s="20" t="str">
        <f t="shared" si="3"/>
        <v>CD30-m170</v>
      </c>
      <c r="D183" s="3">
        <v>341.94869999999997</v>
      </c>
    </row>
    <row r="184" spans="1:4">
      <c r="A184" s="20" t="s">
        <v>320</v>
      </c>
      <c r="B184" s="20">
        <v>171</v>
      </c>
      <c r="C184" s="20" t="str">
        <f t="shared" si="3"/>
        <v>CD30-m171</v>
      </c>
      <c r="D184" s="3">
        <v>774.48609999999996</v>
      </c>
    </row>
    <row r="185" spans="1:4">
      <c r="A185" s="20" t="s">
        <v>320</v>
      </c>
      <c r="B185" s="20">
        <v>172</v>
      </c>
      <c r="C185" s="20" t="str">
        <f t="shared" si="3"/>
        <v>CD30-m172</v>
      </c>
      <c r="D185" s="3">
        <v>725.54579999999999</v>
      </c>
    </row>
    <row r="186" spans="1:4">
      <c r="A186" s="20" t="s">
        <v>320</v>
      </c>
      <c r="B186" s="20">
        <v>173</v>
      </c>
      <c r="C186" s="20" t="str">
        <f t="shared" si="3"/>
        <v>CD30-m173</v>
      </c>
      <c r="D186" s="3">
        <v>897.23159999999996</v>
      </c>
    </row>
    <row r="187" spans="1:4">
      <c r="A187" s="20" t="s">
        <v>320</v>
      </c>
      <c r="B187" s="20">
        <v>175</v>
      </c>
      <c r="C187" s="20" t="str">
        <f t="shared" si="3"/>
        <v>CD30-m175</v>
      </c>
      <c r="D187" s="3">
        <v>147.19929999999999</v>
      </c>
    </row>
    <row r="188" spans="1:4">
      <c r="A188" s="20" t="s">
        <v>320</v>
      </c>
      <c r="B188" s="20">
        <v>176</v>
      </c>
      <c r="C188" s="20" t="str">
        <f t="shared" si="3"/>
        <v>CD30-m176</v>
      </c>
      <c r="D188" s="3">
        <v>327.46379999999999</v>
      </c>
    </row>
    <row r="189" spans="1:4">
      <c r="A189" s="20" t="s">
        <v>320</v>
      </c>
      <c r="B189" s="20">
        <v>177</v>
      </c>
      <c r="C189" s="20" t="str">
        <f t="shared" si="3"/>
        <v>CD30-m177</v>
      </c>
      <c r="D189" s="3">
        <v>543.02650000000006</v>
      </c>
    </row>
    <row r="190" spans="1:4">
      <c r="A190" s="20" t="s">
        <v>320</v>
      </c>
      <c r="B190" s="20">
        <v>178</v>
      </c>
      <c r="C190" s="20" t="str">
        <f t="shared" si="3"/>
        <v>CD30-m178</v>
      </c>
      <c r="D190" s="3">
        <v>225.8492</v>
      </c>
    </row>
    <row r="191" spans="1:4">
      <c r="A191" s="20" t="s">
        <v>320</v>
      </c>
      <c r="B191" s="20">
        <v>179</v>
      </c>
      <c r="C191" s="20" t="str">
        <f t="shared" si="3"/>
        <v>CD30-m179</v>
      </c>
      <c r="D191" s="3">
        <v>289.0564</v>
      </c>
    </row>
    <row r="192" spans="1:4">
      <c r="A192" s="20" t="s">
        <v>320</v>
      </c>
      <c r="B192" s="20">
        <v>180</v>
      </c>
      <c r="C192" s="20" t="str">
        <f t="shared" si="3"/>
        <v>CD30-m180</v>
      </c>
      <c r="D192" s="3">
        <v>156.01439999999999</v>
      </c>
    </row>
    <row r="193" spans="1:4">
      <c r="A193" s="20" t="s">
        <v>320</v>
      </c>
      <c r="B193" s="20">
        <v>181</v>
      </c>
      <c r="C193" s="20" t="str">
        <f t="shared" si="3"/>
        <v>CD30-m181</v>
      </c>
      <c r="D193" s="3">
        <v>239.7413</v>
      </c>
    </row>
    <row r="194" spans="1:4">
      <c r="A194" s="20" t="s">
        <v>320</v>
      </c>
      <c r="B194" s="20">
        <v>182</v>
      </c>
      <c r="C194" s="20" t="str">
        <f t="shared" si="3"/>
        <v>CD30-m182</v>
      </c>
      <c r="D194" s="3">
        <v>402.9237</v>
      </c>
    </row>
    <row r="195" spans="1:4">
      <c r="A195" s="20" t="s">
        <v>320</v>
      </c>
      <c r="B195" s="20">
        <v>183</v>
      </c>
      <c r="C195" s="20" t="str">
        <f t="shared" si="3"/>
        <v>CD30-m183</v>
      </c>
      <c r="D195" s="3">
        <v>264.4228</v>
      </c>
    </row>
    <row r="196" spans="1:4">
      <c r="A196" s="20" t="s">
        <v>320</v>
      </c>
      <c r="B196" s="20">
        <v>184</v>
      </c>
      <c r="C196" s="20" t="str">
        <f t="shared" si="3"/>
        <v>CD30-m184</v>
      </c>
      <c r="D196" s="3">
        <v>183.3614</v>
      </c>
    </row>
    <row r="197" spans="1:4">
      <c r="A197" s="20" t="s">
        <v>320</v>
      </c>
      <c r="B197" s="20">
        <v>185</v>
      </c>
      <c r="C197" s="20" t="str">
        <f t="shared" si="3"/>
        <v>CD30-m185</v>
      </c>
      <c r="D197" s="3">
        <v>236.3434</v>
      </c>
    </row>
    <row r="198" spans="1:4">
      <c r="A198" s="20" t="s">
        <v>320</v>
      </c>
      <c r="B198" s="20">
        <v>187</v>
      </c>
      <c r="C198" s="20" t="str">
        <f t="shared" si="3"/>
        <v>CD30-m187</v>
      </c>
      <c r="D198" s="3">
        <v>305.32709999999997</v>
      </c>
    </row>
    <row r="199" spans="1:4">
      <c r="A199" s="20" t="s">
        <v>320</v>
      </c>
      <c r="B199" s="20">
        <v>188</v>
      </c>
      <c r="C199" s="20" t="str">
        <f t="shared" si="3"/>
        <v>CD30-m188</v>
      </c>
      <c r="D199" s="3">
        <v>5.9999999999999995E-4</v>
      </c>
    </row>
    <row r="200" spans="1:4">
      <c r="A200" s="20" t="s">
        <v>320</v>
      </c>
      <c r="B200" s="20">
        <v>189</v>
      </c>
      <c r="C200" s="20" t="str">
        <f t="shared" si="3"/>
        <v>CD30-m189</v>
      </c>
      <c r="D200" s="3">
        <v>5.9999999999999995E-4</v>
      </c>
    </row>
    <row r="201" spans="1:4">
      <c r="A201" s="20" t="s">
        <v>320</v>
      </c>
      <c r="B201" s="20">
        <v>191</v>
      </c>
      <c r="C201" s="20" t="str">
        <f t="shared" si="3"/>
        <v>CD30-m191</v>
      </c>
      <c r="D201" s="3">
        <v>5.9999999999999995E-4</v>
      </c>
    </row>
    <row r="202" spans="1:4">
      <c r="A202" s="20" t="s">
        <v>320</v>
      </c>
      <c r="B202" s="20">
        <v>192</v>
      </c>
      <c r="C202" s="20" t="str">
        <f t="shared" si="3"/>
        <v>CD30-m192</v>
      </c>
      <c r="D202" s="3">
        <v>5.9999999999999995E-4</v>
      </c>
    </row>
    <row r="203" spans="1:4">
      <c r="A203" s="20" t="s">
        <v>320</v>
      </c>
      <c r="B203" s="20">
        <v>198</v>
      </c>
      <c r="C203" s="20" t="str">
        <f t="shared" si="3"/>
        <v>CD30-m198</v>
      </c>
      <c r="D203" s="3">
        <v>5.9999999999999995E-4</v>
      </c>
    </row>
    <row r="204" spans="1:4">
      <c r="A204" s="20" t="s">
        <v>320</v>
      </c>
      <c r="B204" s="20">
        <v>200</v>
      </c>
      <c r="C204" s="20" t="str">
        <f t="shared" si="3"/>
        <v>CD30-m200</v>
      </c>
      <c r="D204" s="3">
        <v>5.9999999999999995E-4</v>
      </c>
    </row>
    <row r="205" spans="1:4">
      <c r="A205" s="20" t="s">
        <v>320</v>
      </c>
      <c r="B205" s="20">
        <v>201</v>
      </c>
      <c r="C205" s="20" t="str">
        <f t="shared" si="3"/>
        <v>CD30-m201</v>
      </c>
      <c r="D205" s="3">
        <v>5.9999999999999995E-4</v>
      </c>
    </row>
    <row r="206" spans="1:4">
      <c r="A206" s="20" t="s">
        <v>320</v>
      </c>
      <c r="B206" s="20">
        <v>202</v>
      </c>
      <c r="C206" s="20" t="str">
        <f t="shared" si="3"/>
        <v>CD30-m202</v>
      </c>
      <c r="D206" s="3">
        <v>5.9999999999999995E-4</v>
      </c>
    </row>
    <row r="207" spans="1:4">
      <c r="A207" s="20" t="s">
        <v>320</v>
      </c>
      <c r="B207" s="20">
        <v>248</v>
      </c>
      <c r="C207" s="20" t="str">
        <f t="shared" si="3"/>
        <v>CD30-m248</v>
      </c>
      <c r="D207" s="3">
        <v>5.9999999999999995E-4</v>
      </c>
    </row>
    <row r="208" spans="1:4">
      <c r="A208" s="20" t="s">
        <v>320</v>
      </c>
      <c r="B208" s="20">
        <v>208</v>
      </c>
      <c r="C208" s="20" t="str">
        <f t="shared" si="3"/>
        <v>CD30-m208</v>
      </c>
      <c r="D208" s="3">
        <v>5.9999999999999995E-4</v>
      </c>
    </row>
    <row r="209" spans="1:4">
      <c r="A209" s="20" t="s">
        <v>320</v>
      </c>
      <c r="B209" s="20">
        <v>209</v>
      </c>
      <c r="C209" s="20" t="str">
        <f t="shared" si="3"/>
        <v>CD30-m209</v>
      </c>
      <c r="D209" s="3">
        <v>0.1258</v>
      </c>
    </row>
    <row r="210" spans="1:4">
      <c r="A210" s="20" t="s">
        <v>320</v>
      </c>
      <c r="B210" s="20">
        <v>210</v>
      </c>
      <c r="C210" s="20" t="str">
        <f t="shared" si="3"/>
        <v>CD30-m210</v>
      </c>
      <c r="D210" s="3">
        <v>5.9999999999999995E-4</v>
      </c>
    </row>
    <row r="211" spans="1:4">
      <c r="A211" s="20" t="s">
        <v>320</v>
      </c>
      <c r="B211" s="20">
        <v>211</v>
      </c>
      <c r="C211" s="20" t="str">
        <f t="shared" si="3"/>
        <v>CD30-m211</v>
      </c>
      <c r="D211" s="3">
        <v>0.1918</v>
      </c>
    </row>
    <row r="212" spans="1:4">
      <c r="A212" s="20" t="s">
        <v>320</v>
      </c>
      <c r="B212" s="20">
        <v>212</v>
      </c>
      <c r="C212" s="20" t="str">
        <f t="shared" si="3"/>
        <v>CD30-m212</v>
      </c>
      <c r="D212" s="3">
        <v>5.9999999999999995E-4</v>
      </c>
    </row>
    <row r="213" spans="1:4">
      <c r="A213" s="20" t="s">
        <v>320</v>
      </c>
      <c r="B213" s="20">
        <v>213</v>
      </c>
      <c r="C213" s="20" t="str">
        <f t="shared" si="3"/>
        <v>CD30-m213</v>
      </c>
      <c r="D213" s="3">
        <v>683.24900000000002</v>
      </c>
    </row>
    <row r="214" spans="1:4">
      <c r="A214" s="20" t="s">
        <v>320</v>
      </c>
      <c r="B214" s="20">
        <v>215</v>
      </c>
      <c r="C214" s="20" t="str">
        <f t="shared" si="3"/>
        <v>CD30-m215</v>
      </c>
      <c r="D214" s="3">
        <v>461.9239</v>
      </c>
    </row>
    <row r="215" spans="1:4">
      <c r="A215" s="20" t="s">
        <v>320</v>
      </c>
      <c r="B215" s="20">
        <v>216</v>
      </c>
      <c r="C215" s="20" t="str">
        <f t="shared" si="3"/>
        <v>CD30-m216</v>
      </c>
      <c r="D215" s="3">
        <v>580.46420000000001</v>
      </c>
    </row>
    <row r="216" spans="1:4">
      <c r="A216" s="20" t="s">
        <v>320</v>
      </c>
      <c r="B216" s="20">
        <v>217</v>
      </c>
      <c r="C216" s="20" t="str">
        <f t="shared" si="3"/>
        <v>CD30-m217</v>
      </c>
      <c r="D216" s="3">
        <v>617.44939999999997</v>
      </c>
    </row>
    <row r="217" spans="1:4">
      <c r="A217" s="20" t="s">
        <v>320</v>
      </c>
      <c r="B217" s="20">
        <v>218</v>
      </c>
      <c r="C217" s="20" t="str">
        <f t="shared" si="3"/>
        <v>CD30-m218</v>
      </c>
      <c r="D217" s="3">
        <v>497.5693</v>
      </c>
    </row>
    <row r="218" spans="1:4">
      <c r="A218" s="20" t="s">
        <v>320</v>
      </c>
      <c r="B218" s="20">
        <v>219</v>
      </c>
      <c r="C218" s="20" t="str">
        <f t="shared" si="3"/>
        <v>CD30-m219</v>
      </c>
      <c r="D218" s="3">
        <v>470.80239999999998</v>
      </c>
    </row>
    <row r="219" spans="1:4">
      <c r="A219" s="20" t="s">
        <v>320</v>
      </c>
      <c r="B219" s="20">
        <v>220</v>
      </c>
      <c r="C219" s="20" t="str">
        <f t="shared" si="3"/>
        <v>CD30-m220</v>
      </c>
      <c r="D219" s="3">
        <v>528.7346</v>
      </c>
    </row>
    <row r="220" spans="1:4">
      <c r="A220" s="20" t="s">
        <v>320</v>
      </c>
      <c r="B220" s="20">
        <v>221</v>
      </c>
      <c r="C220" s="20" t="str">
        <f t="shared" si="3"/>
        <v>CD30-m221</v>
      </c>
      <c r="D220" s="3">
        <v>798.88959999999997</v>
      </c>
    </row>
    <row r="221" spans="1:4">
      <c r="A221" s="20" t="s">
        <v>320</v>
      </c>
      <c r="B221" s="20">
        <v>222</v>
      </c>
      <c r="C221" s="20" t="str">
        <f t="shared" si="3"/>
        <v>CD30-m222</v>
      </c>
      <c r="D221" s="3">
        <v>168.0641</v>
      </c>
    </row>
    <row r="222" spans="1:4">
      <c r="A222" s="20" t="s">
        <v>320</v>
      </c>
      <c r="B222" s="20">
        <v>223</v>
      </c>
      <c r="C222" s="20" t="str">
        <f t="shared" si="3"/>
        <v>CD30-m223</v>
      </c>
      <c r="D222" s="3">
        <v>404.34039999999999</v>
      </c>
    </row>
    <row r="223" spans="1:4">
      <c r="A223" s="20" t="s">
        <v>320</v>
      </c>
      <c r="B223" s="20">
        <v>224</v>
      </c>
      <c r="C223" s="20" t="str">
        <f t="shared" si="3"/>
        <v>CD30-m224</v>
      </c>
      <c r="D223" s="3">
        <v>371.32139999999998</v>
      </c>
    </row>
    <row r="224" spans="1:4">
      <c r="A224" s="20" t="s">
        <v>320</v>
      </c>
      <c r="B224" s="20">
        <v>226</v>
      </c>
      <c r="C224" s="20" t="str">
        <f t="shared" si="3"/>
        <v>CD30-m226</v>
      </c>
      <c r="D224" s="3">
        <v>527.88400000000001</v>
      </c>
    </row>
    <row r="225" spans="1:4">
      <c r="A225" s="20" t="s">
        <v>320</v>
      </c>
      <c r="B225" s="20">
        <v>227</v>
      </c>
      <c r="C225" s="20" t="str">
        <f t="shared" si="3"/>
        <v>CD30-m227</v>
      </c>
      <c r="D225" s="3">
        <v>473.60910000000001</v>
      </c>
    </row>
    <row r="226" spans="1:4">
      <c r="A226" s="20" t="s">
        <v>320</v>
      </c>
      <c r="B226" s="20">
        <v>252</v>
      </c>
      <c r="C226" s="20" t="str">
        <f t="shared" si="3"/>
        <v>CD30-m252</v>
      </c>
      <c r="D226" s="3">
        <v>474.07420000000002</v>
      </c>
    </row>
    <row r="227" spans="1:4">
      <c r="A227" s="20" t="s">
        <v>320</v>
      </c>
      <c r="B227" s="20">
        <v>233</v>
      </c>
      <c r="C227" s="20" t="str">
        <f t="shared" si="3"/>
        <v>CD30-m233</v>
      </c>
      <c r="D227" s="3">
        <v>5.9999999999999995E-4</v>
      </c>
    </row>
    <row r="228" spans="1:4">
      <c r="A228" s="20" t="s">
        <v>320</v>
      </c>
      <c r="B228" s="20">
        <v>234</v>
      </c>
      <c r="C228" s="20" t="str">
        <f t="shared" si="3"/>
        <v>CD30-m234</v>
      </c>
      <c r="D228" s="3">
        <v>7.0000000000000001E-3</v>
      </c>
    </row>
    <row r="229" spans="1:4">
      <c r="A229" s="20" t="s">
        <v>320</v>
      </c>
      <c r="B229" s="20">
        <v>235</v>
      </c>
      <c r="C229" s="20" t="str">
        <f t="shared" si="3"/>
        <v>CD30-m235</v>
      </c>
      <c r="D229" s="3">
        <v>5.9999999999999995E-4</v>
      </c>
    </row>
    <row r="230" spans="1:4">
      <c r="A230" s="20" t="s">
        <v>320</v>
      </c>
      <c r="B230" s="20">
        <v>236</v>
      </c>
      <c r="C230" s="20" t="str">
        <f t="shared" si="3"/>
        <v>CD30-m236</v>
      </c>
      <c r="D230" s="3">
        <v>5.9999999999999995E-4</v>
      </c>
    </row>
    <row r="231" spans="1:4">
      <c r="A231" s="20" t="s">
        <v>320</v>
      </c>
      <c r="B231" s="20">
        <v>237</v>
      </c>
      <c r="C231" s="20" t="str">
        <f t="shared" si="3"/>
        <v>CD30-m237</v>
      </c>
      <c r="D231" s="3">
        <v>5.9999999999999995E-4</v>
      </c>
    </row>
    <row r="232" spans="1:4">
      <c r="A232" s="20" t="s">
        <v>320</v>
      </c>
      <c r="B232" s="20">
        <v>238</v>
      </c>
      <c r="C232" s="20" t="str">
        <f t="shared" si="3"/>
        <v>CD30-m238</v>
      </c>
      <c r="D232" s="3">
        <v>5.9999999999999995E-4</v>
      </c>
    </row>
    <row r="233" spans="1:4">
      <c r="A233" s="20" t="s">
        <v>320</v>
      </c>
      <c r="B233" s="20">
        <v>239</v>
      </c>
      <c r="C233" s="20" t="str">
        <f t="shared" si="3"/>
        <v>CD30-m239</v>
      </c>
      <c r="D233" s="3">
        <v>5.9999999999999995E-4</v>
      </c>
    </row>
    <row r="234" spans="1:4">
      <c r="A234" s="20" t="s">
        <v>320</v>
      </c>
      <c r="B234" s="20">
        <v>242</v>
      </c>
      <c r="C234" s="20" t="str">
        <f t="shared" si="3"/>
        <v>CD30-m242</v>
      </c>
      <c r="D234" s="3">
        <v>1.06E-2</v>
      </c>
    </row>
    <row r="235" spans="1:4">
      <c r="A235" s="20" t="s">
        <v>320</v>
      </c>
      <c r="B235" s="20">
        <v>243</v>
      </c>
      <c r="C235" s="20" t="str">
        <f t="shared" si="3"/>
        <v>CD30-m243</v>
      </c>
      <c r="D235" s="3">
        <v>5.9999999999999995E-4</v>
      </c>
    </row>
    <row r="236" spans="1:4">
      <c r="A236" s="20" t="s">
        <v>320</v>
      </c>
      <c r="B236" s="20">
        <v>244</v>
      </c>
      <c r="C236" s="20" t="str">
        <f t="shared" ref="C236:C299" si="4">_xlfn.CONCAT(A236,"-m",B236)</f>
        <v>CD30-m244</v>
      </c>
      <c r="D236" s="3">
        <v>5.9999999999999995E-4</v>
      </c>
    </row>
    <row r="237" spans="1:4">
      <c r="A237" s="20" t="s">
        <v>320</v>
      </c>
      <c r="B237" s="20">
        <v>245</v>
      </c>
      <c r="C237" s="20" t="str">
        <f t="shared" si="4"/>
        <v>CD30-m245</v>
      </c>
      <c r="D237" s="3">
        <v>5.9999999999999995E-4</v>
      </c>
    </row>
    <row r="238" spans="1:4">
      <c r="A238" s="20" t="s">
        <v>320</v>
      </c>
      <c r="B238" s="20">
        <v>246</v>
      </c>
      <c r="C238" s="20" t="str">
        <f t="shared" si="4"/>
        <v>CD30-m246</v>
      </c>
      <c r="D238" s="3">
        <v>5.9999999999999995E-4</v>
      </c>
    </row>
    <row r="239" spans="1:4">
      <c r="A239" s="20" t="s">
        <v>320</v>
      </c>
      <c r="B239" s="20">
        <v>247</v>
      </c>
      <c r="C239" s="20" t="str">
        <f t="shared" si="4"/>
        <v>CD30-m247</v>
      </c>
      <c r="D239" s="3">
        <v>5.9999999999999995E-4</v>
      </c>
    </row>
    <row r="240" spans="1:4">
      <c r="A240" s="20" t="s">
        <v>320</v>
      </c>
      <c r="B240" s="20">
        <v>193</v>
      </c>
      <c r="C240" s="20" t="str">
        <f t="shared" si="4"/>
        <v>CD30-m193</v>
      </c>
      <c r="D240" s="3">
        <v>181.98429999999999</v>
      </c>
    </row>
    <row r="241" spans="1:63">
      <c r="A241" s="20" t="s">
        <v>320</v>
      </c>
      <c r="B241" s="20">
        <v>195</v>
      </c>
      <c r="C241" s="20" t="str">
        <f t="shared" si="4"/>
        <v>CD30-m195</v>
      </c>
      <c r="D241" s="3">
        <v>235.21420000000001</v>
      </c>
    </row>
    <row r="242" spans="1:63">
      <c r="A242" s="20" t="s">
        <v>320</v>
      </c>
      <c r="B242" s="20">
        <v>196</v>
      </c>
      <c r="C242" s="20" t="str">
        <f t="shared" si="4"/>
        <v>CD30-m196</v>
      </c>
      <c r="D242" s="3">
        <v>347.66399999999999</v>
      </c>
    </row>
    <row r="243" spans="1:63">
      <c r="A243" s="20" t="s">
        <v>320</v>
      </c>
      <c r="B243" s="20">
        <v>197</v>
      </c>
      <c r="C243" s="20" t="str">
        <f t="shared" si="4"/>
        <v>CD30-m197</v>
      </c>
      <c r="D243" s="3">
        <v>347.61880000000002</v>
      </c>
    </row>
    <row r="244" spans="1:63">
      <c r="A244" s="20" t="s">
        <v>320</v>
      </c>
      <c r="B244" s="20">
        <v>203</v>
      </c>
      <c r="C244" s="20" t="str">
        <f t="shared" si="4"/>
        <v>CD30-m203</v>
      </c>
      <c r="D244" s="3">
        <v>253.77510000000001</v>
      </c>
    </row>
    <row r="245" spans="1:63">
      <c r="A245" s="20" t="s">
        <v>320</v>
      </c>
      <c r="B245" s="20">
        <v>204</v>
      </c>
      <c r="C245" s="20" t="str">
        <f t="shared" si="4"/>
        <v>CD30-m204</v>
      </c>
      <c r="D245" s="3">
        <v>488.88589999999999</v>
      </c>
    </row>
    <row r="246" spans="1:63">
      <c r="A246" s="20" t="s">
        <v>320</v>
      </c>
      <c r="B246" s="20">
        <v>205</v>
      </c>
      <c r="C246" s="20" t="str">
        <f t="shared" si="4"/>
        <v>CD30-m205</v>
      </c>
      <c r="D246" s="3">
        <v>297.62110000000001</v>
      </c>
    </row>
    <row r="247" spans="1:63">
      <c r="A247" s="20" t="s">
        <v>320</v>
      </c>
      <c r="B247" s="20">
        <v>206</v>
      </c>
      <c r="C247" s="20" t="str">
        <f t="shared" si="4"/>
        <v>CD30-m206</v>
      </c>
      <c r="D247" s="3">
        <v>296.12400000000002</v>
      </c>
    </row>
    <row r="248" spans="1:63">
      <c r="A248" s="20" t="s">
        <v>320</v>
      </c>
      <c r="B248" s="20">
        <v>207</v>
      </c>
      <c r="C248" s="20" t="str">
        <f t="shared" si="4"/>
        <v>CD30-m207</v>
      </c>
      <c r="D248" s="3">
        <v>520.05820000000006</v>
      </c>
    </row>
    <row r="249" spans="1:63">
      <c r="A249" s="20" t="s">
        <v>320</v>
      </c>
      <c r="B249" s="20">
        <v>228</v>
      </c>
      <c r="C249" s="20" t="str">
        <f t="shared" si="4"/>
        <v>CD30-m228</v>
      </c>
      <c r="D249" s="3">
        <v>209.6798</v>
      </c>
    </row>
    <row r="250" spans="1:63">
      <c r="A250" s="20" t="s">
        <v>320</v>
      </c>
      <c r="B250" s="20">
        <v>229</v>
      </c>
      <c r="C250" s="20" t="str">
        <f t="shared" si="4"/>
        <v>CD30-m229</v>
      </c>
      <c r="D250" s="3">
        <v>397.8603</v>
      </c>
    </row>
    <row r="251" spans="1:63">
      <c r="A251" s="20" t="s">
        <v>320</v>
      </c>
      <c r="B251" s="20">
        <v>230</v>
      </c>
      <c r="C251" s="20" t="str">
        <f t="shared" si="4"/>
        <v>CD30-m230</v>
      </c>
      <c r="D251" s="3">
        <v>307.74650000000003</v>
      </c>
    </row>
    <row r="252" spans="1:63">
      <c r="A252" s="20" t="s">
        <v>320</v>
      </c>
      <c r="B252" s="20">
        <v>231</v>
      </c>
      <c r="C252" s="20" t="str">
        <f t="shared" si="4"/>
        <v>CD30-m231</v>
      </c>
      <c r="D252" s="3">
        <v>396.31380000000001</v>
      </c>
    </row>
    <row r="253" spans="1:63">
      <c r="A253" s="20" t="s">
        <v>320</v>
      </c>
      <c r="B253" s="20">
        <v>232</v>
      </c>
      <c r="C253" s="20" t="str">
        <f t="shared" si="4"/>
        <v>CD30-m232</v>
      </c>
      <c r="D253" s="3">
        <v>372.30329999999998</v>
      </c>
    </row>
    <row r="254" spans="1:63">
      <c r="A254" s="20" t="s">
        <v>321</v>
      </c>
      <c r="B254" s="20">
        <v>324</v>
      </c>
      <c r="C254" s="20" t="str">
        <f t="shared" si="4"/>
        <v>CD46-m324</v>
      </c>
      <c r="D254" s="3">
        <v>6.7999999999999996E-3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</row>
    <row r="255" spans="1:63">
      <c r="A255" s="20" t="s">
        <v>321</v>
      </c>
      <c r="B255" s="20">
        <v>327</v>
      </c>
      <c r="C255" s="20" t="str">
        <f t="shared" si="4"/>
        <v>CD46-m327</v>
      </c>
      <c r="D255" s="3">
        <v>6.7999999999999996E-3</v>
      </c>
    </row>
    <row r="256" spans="1:63">
      <c r="A256" s="20" t="s">
        <v>321</v>
      </c>
      <c r="B256" s="20">
        <v>328</v>
      </c>
      <c r="C256" s="20" t="str">
        <f t="shared" si="4"/>
        <v>CD46-m328</v>
      </c>
      <c r="D256" s="3">
        <v>6.7999999999999996E-3</v>
      </c>
    </row>
    <row r="257" spans="1:4">
      <c r="A257" s="20" t="s">
        <v>321</v>
      </c>
      <c r="B257" s="20">
        <v>330</v>
      </c>
      <c r="C257" s="20" t="str">
        <f t="shared" si="4"/>
        <v>CD46-m330</v>
      </c>
      <c r="D257" s="3">
        <v>1.5599999999999999E-2</v>
      </c>
    </row>
    <row r="258" spans="1:4">
      <c r="A258" s="20" t="s">
        <v>321</v>
      </c>
      <c r="B258" s="20">
        <v>331</v>
      </c>
      <c r="C258" s="20" t="str">
        <f t="shared" si="4"/>
        <v>CD46-m331</v>
      </c>
      <c r="D258" s="3">
        <v>79.352699999999999</v>
      </c>
    </row>
    <row r="259" spans="1:4">
      <c r="A259" s="20" t="s">
        <v>321</v>
      </c>
      <c r="B259" s="20">
        <v>332</v>
      </c>
      <c r="C259" s="20" t="str">
        <f t="shared" si="4"/>
        <v>CD46-m332</v>
      </c>
      <c r="D259" s="3">
        <v>34.323700000000002</v>
      </c>
    </row>
    <row r="260" spans="1:4">
      <c r="A260" s="20" t="s">
        <v>321</v>
      </c>
      <c r="B260" s="20">
        <v>333</v>
      </c>
      <c r="C260" s="20" t="str">
        <f t="shared" si="4"/>
        <v>CD46-m333</v>
      </c>
      <c r="D260" s="3">
        <v>71.940799999999996</v>
      </c>
    </row>
    <row r="261" spans="1:4">
      <c r="A261" s="20" t="s">
        <v>321</v>
      </c>
      <c r="B261" s="20">
        <v>334</v>
      </c>
      <c r="C261" s="20" t="str">
        <f t="shared" si="4"/>
        <v>CD46-m334</v>
      </c>
      <c r="D261" s="3">
        <v>73.215900000000005</v>
      </c>
    </row>
    <row r="262" spans="1:4">
      <c r="A262" s="20" t="s">
        <v>321</v>
      </c>
      <c r="B262" s="20">
        <v>336</v>
      </c>
      <c r="C262" s="20" t="str">
        <f t="shared" si="4"/>
        <v>CD46-m336</v>
      </c>
      <c r="D262" s="3">
        <v>79.2136</v>
      </c>
    </row>
    <row r="263" spans="1:4">
      <c r="A263" s="20" t="s">
        <v>321</v>
      </c>
      <c r="B263" s="20">
        <v>337</v>
      </c>
      <c r="C263" s="20" t="str">
        <f t="shared" si="4"/>
        <v>CD46-m337</v>
      </c>
      <c r="D263" s="3">
        <v>59.510100000000001</v>
      </c>
    </row>
    <row r="264" spans="1:4">
      <c r="A264" s="20" t="s">
        <v>321</v>
      </c>
      <c r="B264" s="20">
        <v>338</v>
      </c>
      <c r="C264" s="20" t="str">
        <f t="shared" si="4"/>
        <v>CD46-m338</v>
      </c>
      <c r="D264" s="3">
        <v>13.974</v>
      </c>
    </row>
    <row r="265" spans="1:4">
      <c r="A265" s="20" t="s">
        <v>321</v>
      </c>
      <c r="B265" s="20">
        <v>339</v>
      </c>
      <c r="C265" s="20" t="str">
        <f t="shared" si="4"/>
        <v>CD46-m339</v>
      </c>
      <c r="D265" s="3">
        <v>45.259599999999999</v>
      </c>
    </row>
    <row r="266" spans="1:4">
      <c r="A266" s="20" t="s">
        <v>321</v>
      </c>
      <c r="B266" s="20">
        <v>340</v>
      </c>
      <c r="C266" s="20" t="str">
        <f t="shared" si="4"/>
        <v>CD46-m340</v>
      </c>
      <c r="D266" s="3">
        <v>86.195300000000003</v>
      </c>
    </row>
    <row r="267" spans="1:4">
      <c r="A267" s="20" t="s">
        <v>321</v>
      </c>
      <c r="B267" s="20">
        <v>341</v>
      </c>
      <c r="C267" s="20" t="str">
        <f t="shared" si="4"/>
        <v>CD46-m341</v>
      </c>
      <c r="D267" s="3">
        <v>6.7999999999999996E-3</v>
      </c>
    </row>
    <row r="268" spans="1:4">
      <c r="A268" s="20" t="s">
        <v>321</v>
      </c>
      <c r="B268" s="20">
        <v>342</v>
      </c>
      <c r="C268" s="20" t="str">
        <f t="shared" si="4"/>
        <v>CD46-m342</v>
      </c>
      <c r="D268" s="3">
        <v>6.7999999999999996E-3</v>
      </c>
    </row>
    <row r="269" spans="1:4">
      <c r="A269" s="20" t="s">
        <v>321</v>
      </c>
      <c r="B269" s="20">
        <v>343</v>
      </c>
      <c r="C269" s="20" t="str">
        <f t="shared" si="4"/>
        <v>CD46-m343</v>
      </c>
      <c r="D269" s="3">
        <v>1.46E-2</v>
      </c>
    </row>
    <row r="270" spans="1:4">
      <c r="A270" s="20" t="s">
        <v>321</v>
      </c>
      <c r="B270" s="20">
        <v>344</v>
      </c>
      <c r="C270" s="20" t="str">
        <f t="shared" si="4"/>
        <v>CD46-m344</v>
      </c>
      <c r="D270" s="3">
        <v>6.7999999999999996E-3</v>
      </c>
    </row>
    <row r="271" spans="1:4">
      <c r="A271" s="20" t="s">
        <v>321</v>
      </c>
      <c r="B271" s="20">
        <v>345</v>
      </c>
      <c r="C271" s="20" t="str">
        <f t="shared" si="4"/>
        <v>CD46-m345</v>
      </c>
      <c r="D271" s="3">
        <v>3.0061</v>
      </c>
    </row>
    <row r="272" spans="1:4">
      <c r="A272" s="20" t="s">
        <v>321</v>
      </c>
      <c r="B272" s="20">
        <v>347</v>
      </c>
      <c r="C272" s="20" t="str">
        <f t="shared" si="4"/>
        <v>CD46-m347</v>
      </c>
      <c r="D272" s="3">
        <v>64.444299999999998</v>
      </c>
    </row>
    <row r="273" spans="1:4">
      <c r="A273" s="20" t="s">
        <v>321</v>
      </c>
      <c r="B273" s="20">
        <v>348</v>
      </c>
      <c r="C273" s="20" t="str">
        <f t="shared" si="4"/>
        <v>CD46-m348</v>
      </c>
      <c r="D273" s="3">
        <v>33.495699999999999</v>
      </c>
    </row>
    <row r="274" spans="1:4">
      <c r="A274" s="20" t="s">
        <v>321</v>
      </c>
      <c r="B274" s="20">
        <v>349</v>
      </c>
      <c r="C274" s="20" t="str">
        <f t="shared" si="4"/>
        <v>CD46-m349</v>
      </c>
      <c r="D274" s="3">
        <v>58.387500000000003</v>
      </c>
    </row>
    <row r="275" spans="1:4">
      <c r="A275" s="20" t="s">
        <v>321</v>
      </c>
      <c r="B275" s="20">
        <v>350</v>
      </c>
      <c r="C275" s="20" t="str">
        <f t="shared" si="4"/>
        <v>CD46-m350</v>
      </c>
      <c r="D275" s="3">
        <v>30.2867</v>
      </c>
    </row>
    <row r="276" spans="1:4">
      <c r="A276" s="20" t="s">
        <v>321</v>
      </c>
      <c r="B276" s="20">
        <v>353</v>
      </c>
      <c r="C276" s="20" t="str">
        <f t="shared" si="4"/>
        <v>CD46-m353</v>
      </c>
      <c r="D276" s="3">
        <v>52.506</v>
      </c>
    </row>
    <row r="277" spans="1:4">
      <c r="A277" s="20" t="s">
        <v>321</v>
      </c>
      <c r="B277" s="20">
        <v>354</v>
      </c>
      <c r="C277" s="20" t="str">
        <f t="shared" si="4"/>
        <v>CD46-m354</v>
      </c>
      <c r="D277" s="3">
        <v>27.495000000000001</v>
      </c>
    </row>
    <row r="278" spans="1:4">
      <c r="A278" s="20" t="s">
        <v>321</v>
      </c>
      <c r="B278" s="20">
        <v>355</v>
      </c>
      <c r="C278" s="20" t="str">
        <f t="shared" si="4"/>
        <v>CD46-m355</v>
      </c>
      <c r="D278" s="3">
        <v>39.857300000000002</v>
      </c>
    </row>
    <row r="279" spans="1:4">
      <c r="A279" s="20" t="s">
        <v>321</v>
      </c>
      <c r="B279" s="20">
        <v>356</v>
      </c>
      <c r="C279" s="20" t="str">
        <f t="shared" si="4"/>
        <v>CD46-m356</v>
      </c>
      <c r="D279" s="3">
        <v>102.99939999999999</v>
      </c>
    </row>
    <row r="280" spans="1:4">
      <c r="A280" s="20" t="s">
        <v>321</v>
      </c>
      <c r="B280" s="20">
        <v>357</v>
      </c>
      <c r="C280" s="20" t="str">
        <f t="shared" si="4"/>
        <v>CD46-m357</v>
      </c>
      <c r="D280" s="3">
        <v>0.13650000000000001</v>
      </c>
    </row>
    <row r="281" spans="1:4">
      <c r="A281" s="20" t="s">
        <v>321</v>
      </c>
      <c r="B281" s="20">
        <v>358</v>
      </c>
      <c r="C281" s="20" t="str">
        <f t="shared" si="4"/>
        <v>CD46-m358</v>
      </c>
      <c r="D281" s="3">
        <v>6.7999999999999996E-3</v>
      </c>
    </row>
    <row r="282" spans="1:4">
      <c r="A282" s="20" t="s">
        <v>321</v>
      </c>
      <c r="B282" s="20">
        <v>359</v>
      </c>
      <c r="C282" s="20" t="str">
        <f t="shared" si="4"/>
        <v>CD46-m359</v>
      </c>
      <c r="D282" s="3">
        <v>1.8100000000000002E-2</v>
      </c>
    </row>
    <row r="283" spans="1:4">
      <c r="A283" s="20" t="s">
        <v>321</v>
      </c>
      <c r="B283" s="20">
        <v>361</v>
      </c>
      <c r="C283" s="20" t="str">
        <f t="shared" si="4"/>
        <v>CD46-m361</v>
      </c>
      <c r="D283" s="3">
        <v>6.7999999999999996E-3</v>
      </c>
    </row>
    <row r="284" spans="1:4">
      <c r="A284" s="20" t="s">
        <v>321</v>
      </c>
      <c r="B284" s="20">
        <v>362</v>
      </c>
      <c r="C284" s="20" t="str">
        <f t="shared" si="4"/>
        <v>CD46-m362</v>
      </c>
      <c r="D284" s="3">
        <v>146.03970000000001</v>
      </c>
    </row>
    <row r="285" spans="1:4">
      <c r="A285" s="20" t="s">
        <v>321</v>
      </c>
      <c r="B285" s="20">
        <v>363</v>
      </c>
      <c r="C285" s="20" t="str">
        <f t="shared" si="4"/>
        <v>CD46-m363</v>
      </c>
      <c r="D285" s="3">
        <v>32.348999999999997</v>
      </c>
    </row>
    <row r="286" spans="1:4">
      <c r="A286" s="20" t="s">
        <v>321</v>
      </c>
      <c r="B286" s="20">
        <v>364</v>
      </c>
      <c r="C286" s="20" t="str">
        <f t="shared" si="4"/>
        <v>CD46-m364</v>
      </c>
      <c r="D286" s="3">
        <v>61.776600000000002</v>
      </c>
    </row>
    <row r="287" spans="1:4">
      <c r="A287" s="20" t="s">
        <v>321</v>
      </c>
      <c r="B287" s="20">
        <v>365</v>
      </c>
      <c r="C287" s="20" t="str">
        <f t="shared" si="4"/>
        <v>CD46-m365</v>
      </c>
      <c r="D287" s="3">
        <v>47.994700000000002</v>
      </c>
    </row>
    <row r="288" spans="1:4">
      <c r="A288" s="20" t="s">
        <v>321</v>
      </c>
      <c r="B288" s="20">
        <v>367</v>
      </c>
      <c r="C288" s="20" t="str">
        <f t="shared" si="4"/>
        <v>CD46-m367</v>
      </c>
      <c r="D288" s="3">
        <v>82.684399999999997</v>
      </c>
    </row>
    <row r="289" spans="1:4">
      <c r="A289" s="20" t="s">
        <v>321</v>
      </c>
      <c r="B289" s="20">
        <v>369</v>
      </c>
      <c r="C289" s="20" t="str">
        <f t="shared" si="4"/>
        <v>CD46-m369</v>
      </c>
      <c r="D289" s="3">
        <v>102.6913</v>
      </c>
    </row>
    <row r="290" spans="1:4">
      <c r="A290" s="20" t="s">
        <v>321</v>
      </c>
      <c r="B290" s="20">
        <v>370</v>
      </c>
      <c r="C290" s="20" t="str">
        <f t="shared" si="4"/>
        <v>CD46-m370</v>
      </c>
      <c r="D290" s="3">
        <v>58.5779</v>
      </c>
    </row>
    <row r="291" spans="1:4">
      <c r="A291" s="20" t="s">
        <v>321</v>
      </c>
      <c r="B291" s="20">
        <v>372</v>
      </c>
      <c r="C291" s="20" t="str">
        <f t="shared" si="4"/>
        <v>CD46-m372</v>
      </c>
      <c r="D291" s="3">
        <v>18.250599999999999</v>
      </c>
    </row>
    <row r="292" spans="1:4">
      <c r="A292" s="20" t="s">
        <v>321</v>
      </c>
      <c r="B292" s="20">
        <v>373</v>
      </c>
      <c r="C292" s="20" t="str">
        <f t="shared" si="4"/>
        <v>CD46-m373</v>
      </c>
      <c r="D292" s="3">
        <v>110.548</v>
      </c>
    </row>
    <row r="293" spans="1:4">
      <c r="A293" s="20" t="s">
        <v>321</v>
      </c>
      <c r="B293" s="20">
        <v>374</v>
      </c>
      <c r="C293" s="20" t="str">
        <f t="shared" si="4"/>
        <v>CD46-m374</v>
      </c>
      <c r="D293" s="3">
        <v>22.676100000000002</v>
      </c>
    </row>
    <row r="294" spans="1:4">
      <c r="A294" s="20" t="s">
        <v>321</v>
      </c>
      <c r="B294" s="20">
        <v>375</v>
      </c>
      <c r="C294" s="20" t="str">
        <f t="shared" si="4"/>
        <v>CD46-m375</v>
      </c>
      <c r="D294" s="3">
        <v>57.98</v>
      </c>
    </row>
    <row r="295" spans="1:4">
      <c r="A295" s="20" t="s">
        <v>321</v>
      </c>
      <c r="B295" s="20">
        <v>376</v>
      </c>
      <c r="C295" s="20" t="str">
        <f t="shared" si="4"/>
        <v>CD46-m376</v>
      </c>
      <c r="D295" s="3">
        <v>36.976300000000002</v>
      </c>
    </row>
    <row r="296" spans="1:4">
      <c r="A296" s="20" t="s">
        <v>321</v>
      </c>
      <c r="B296" s="20">
        <v>377</v>
      </c>
      <c r="C296" s="20" t="str">
        <f t="shared" si="4"/>
        <v>CD46-m377</v>
      </c>
      <c r="D296" s="3">
        <v>14.627700000000001</v>
      </c>
    </row>
    <row r="297" spans="1:4">
      <c r="A297" s="20" t="s">
        <v>321</v>
      </c>
      <c r="B297" s="20">
        <v>378</v>
      </c>
      <c r="C297" s="20" t="str">
        <f t="shared" si="4"/>
        <v>CD46-m378</v>
      </c>
      <c r="D297" s="3">
        <v>39.246899999999997</v>
      </c>
    </row>
    <row r="298" spans="1:4">
      <c r="A298" s="20" t="s">
        <v>321</v>
      </c>
      <c r="B298" s="20">
        <v>380</v>
      </c>
      <c r="C298" s="20" t="str">
        <f t="shared" si="4"/>
        <v>CD46-m380</v>
      </c>
      <c r="D298" s="3">
        <v>39.430300000000003</v>
      </c>
    </row>
    <row r="299" spans="1:4">
      <c r="A299" s="20" t="s">
        <v>321</v>
      </c>
      <c r="B299" s="20">
        <v>381</v>
      </c>
      <c r="C299" s="20" t="str">
        <f t="shared" si="4"/>
        <v>CD46-m381</v>
      </c>
      <c r="D299" s="3">
        <v>30.273800000000001</v>
      </c>
    </row>
    <row r="300" spans="1:4">
      <c r="A300" s="20" t="s">
        <v>321</v>
      </c>
      <c r="B300" s="20">
        <v>385</v>
      </c>
      <c r="C300" s="20" t="str">
        <f t="shared" ref="C300:C363" si="5">_xlfn.CONCAT(A300,"-m",B300)</f>
        <v>CD46-m385</v>
      </c>
      <c r="D300" s="3">
        <v>6.7999999999999996E-3</v>
      </c>
    </row>
    <row r="301" spans="1:4">
      <c r="A301" s="20" t="s">
        <v>321</v>
      </c>
      <c r="B301" s="20">
        <v>386</v>
      </c>
      <c r="C301" s="20" t="str">
        <f t="shared" si="5"/>
        <v>CD46-m386</v>
      </c>
      <c r="D301" s="3">
        <v>6.7999999999999996E-3</v>
      </c>
    </row>
    <row r="302" spans="1:4">
      <c r="A302" s="20" t="s">
        <v>321</v>
      </c>
      <c r="B302" s="20">
        <v>387</v>
      </c>
      <c r="C302" s="20" t="str">
        <f t="shared" si="5"/>
        <v>CD46-m387</v>
      </c>
      <c r="D302" s="3">
        <v>6.7999999999999996E-3</v>
      </c>
    </row>
    <row r="303" spans="1:4">
      <c r="A303" s="20" t="s">
        <v>321</v>
      </c>
      <c r="B303" s="20">
        <v>389</v>
      </c>
      <c r="C303" s="20" t="str">
        <f t="shared" si="5"/>
        <v>CD46-m389</v>
      </c>
      <c r="D303" s="3">
        <v>6.7999999999999996E-3</v>
      </c>
    </row>
    <row r="304" spans="1:4">
      <c r="A304" s="20" t="s">
        <v>321</v>
      </c>
      <c r="B304" s="20">
        <v>393</v>
      </c>
      <c r="C304" s="20" t="str">
        <f t="shared" si="5"/>
        <v>CD46-m393</v>
      </c>
      <c r="D304" s="3">
        <v>6.7999999999999996E-3</v>
      </c>
    </row>
    <row r="305" spans="1:78">
      <c r="A305" s="20" t="s">
        <v>321</v>
      </c>
      <c r="B305" s="20">
        <v>394</v>
      </c>
      <c r="C305" s="20" t="str">
        <f t="shared" si="5"/>
        <v>CD46-m394</v>
      </c>
      <c r="D305" s="3">
        <v>100.61239999999999</v>
      </c>
    </row>
    <row r="306" spans="1:78">
      <c r="A306" s="20" t="s">
        <v>321</v>
      </c>
      <c r="B306" s="20">
        <v>396</v>
      </c>
      <c r="C306" s="20" t="str">
        <f t="shared" si="5"/>
        <v>CD46-m396</v>
      </c>
      <c r="D306" s="3">
        <v>3.6126</v>
      </c>
    </row>
    <row r="307" spans="1:78">
      <c r="A307" s="20" t="s">
        <v>321</v>
      </c>
      <c r="B307" s="20">
        <v>397</v>
      </c>
      <c r="C307" s="20" t="str">
        <f t="shared" si="5"/>
        <v>CD46-m397</v>
      </c>
      <c r="D307" s="3">
        <v>10.085800000000001</v>
      </c>
    </row>
    <row r="308" spans="1:78">
      <c r="A308" s="20" t="s">
        <v>321</v>
      </c>
      <c r="B308" s="20">
        <v>399</v>
      </c>
      <c r="C308" s="20" t="str">
        <f t="shared" si="5"/>
        <v>CD46-m399</v>
      </c>
      <c r="D308" s="3">
        <v>15.190099999999999</v>
      </c>
    </row>
    <row r="309" spans="1:78">
      <c r="A309" s="20" t="s">
        <v>321</v>
      </c>
      <c r="B309" s="20">
        <v>400</v>
      </c>
      <c r="C309" s="20" t="str">
        <f t="shared" si="5"/>
        <v>CD46-m400</v>
      </c>
      <c r="D309" s="3">
        <v>23.422000000000001</v>
      </c>
    </row>
    <row r="310" spans="1:78">
      <c r="A310" s="20" t="s">
        <v>321</v>
      </c>
      <c r="B310" s="20">
        <v>392</v>
      </c>
      <c r="C310" s="20" t="str">
        <f t="shared" si="5"/>
        <v>CD46-m392</v>
      </c>
      <c r="D310" s="3">
        <v>26.4772</v>
      </c>
    </row>
    <row r="311" spans="1:78">
      <c r="A311" s="20" t="s">
        <v>321</v>
      </c>
      <c r="B311" s="20">
        <v>402</v>
      </c>
      <c r="C311" s="20" t="str">
        <f t="shared" si="5"/>
        <v>CD46-m402</v>
      </c>
      <c r="D311" s="3">
        <v>20.7454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>
      <c r="A312" s="20" t="s">
        <v>322</v>
      </c>
      <c r="B312" s="20">
        <v>66</v>
      </c>
      <c r="C312" s="20" t="str">
        <f>_xlfn.CONCAT(A312,"-m0",B312)</f>
        <v>CD50-m066</v>
      </c>
      <c r="D312" s="3">
        <v>54.849800000000002</v>
      </c>
    </row>
    <row r="313" spans="1:78">
      <c r="A313" s="20" t="s">
        <v>322</v>
      </c>
      <c r="B313" s="20">
        <v>67</v>
      </c>
      <c r="C313" s="20" t="str">
        <f t="shared" ref="C313:C331" si="6">_xlfn.CONCAT(A313,"-m0",B313)</f>
        <v>CD50-m067</v>
      </c>
      <c r="D313" s="3">
        <v>11.476000000000001</v>
      </c>
    </row>
    <row r="314" spans="1:78">
      <c r="A314" s="20" t="s">
        <v>322</v>
      </c>
      <c r="B314" s="20">
        <v>68</v>
      </c>
      <c r="C314" s="20" t="str">
        <f t="shared" si="6"/>
        <v>CD50-m068</v>
      </c>
      <c r="D314" s="3">
        <v>39.002200000000002</v>
      </c>
    </row>
    <row r="315" spans="1:78">
      <c r="A315" s="20" t="s">
        <v>322</v>
      </c>
      <c r="B315" s="20">
        <v>69</v>
      </c>
      <c r="C315" s="20" t="str">
        <f t="shared" si="6"/>
        <v>CD50-m069</v>
      </c>
      <c r="D315" s="3">
        <v>66.062399999999997</v>
      </c>
    </row>
    <row r="316" spans="1:78">
      <c r="A316" s="20" t="s">
        <v>322</v>
      </c>
      <c r="B316" s="20">
        <v>71</v>
      </c>
      <c r="C316" s="20" t="str">
        <f t="shared" si="6"/>
        <v>CD50-m071</v>
      </c>
      <c r="D316" s="3">
        <v>48.898099999999999</v>
      </c>
    </row>
    <row r="317" spans="1:78">
      <c r="A317" s="20" t="s">
        <v>322</v>
      </c>
      <c r="B317" s="20">
        <v>72</v>
      </c>
      <c r="C317" s="20" t="str">
        <f t="shared" si="6"/>
        <v>CD50-m072</v>
      </c>
      <c r="D317" s="3">
        <v>35.896099999999997</v>
      </c>
    </row>
    <row r="318" spans="1:78">
      <c r="A318" s="20" t="s">
        <v>322</v>
      </c>
      <c r="B318" s="20">
        <v>73</v>
      </c>
      <c r="C318" s="20" t="str">
        <f t="shared" si="6"/>
        <v>CD50-m073</v>
      </c>
      <c r="D318" s="3">
        <v>76.163600000000002</v>
      </c>
    </row>
    <row r="319" spans="1:78">
      <c r="A319" s="20" t="s">
        <v>322</v>
      </c>
      <c r="B319" s="20">
        <v>74</v>
      </c>
      <c r="C319" s="20" t="str">
        <f t="shared" si="6"/>
        <v>CD50-m074</v>
      </c>
      <c r="D319" s="3">
        <v>63.350900000000003</v>
      </c>
    </row>
    <row r="320" spans="1:78">
      <c r="A320" s="20" t="s">
        <v>322</v>
      </c>
      <c r="B320" s="20">
        <v>86</v>
      </c>
      <c r="C320" s="20" t="str">
        <f t="shared" si="6"/>
        <v>CD50-m086</v>
      </c>
      <c r="D320" s="3">
        <v>62.250900000000001</v>
      </c>
    </row>
    <row r="321" spans="1:4">
      <c r="A321" s="20" t="s">
        <v>322</v>
      </c>
      <c r="B321" s="20">
        <v>87</v>
      </c>
      <c r="C321" s="20" t="str">
        <f t="shared" si="6"/>
        <v>CD50-m087</v>
      </c>
      <c r="D321" s="3">
        <v>52.539400000000001</v>
      </c>
    </row>
    <row r="322" spans="1:4">
      <c r="A322" s="20" t="s">
        <v>322</v>
      </c>
      <c r="B322" s="20">
        <v>88</v>
      </c>
      <c r="C322" s="20" t="str">
        <f t="shared" si="6"/>
        <v>CD50-m088</v>
      </c>
      <c r="D322" s="3">
        <v>60.138399999999997</v>
      </c>
    </row>
    <row r="323" spans="1:4">
      <c r="A323" s="20" t="s">
        <v>322</v>
      </c>
      <c r="B323" s="20">
        <v>89</v>
      </c>
      <c r="C323" s="20" t="str">
        <f t="shared" si="6"/>
        <v>CD50-m089</v>
      </c>
      <c r="D323" s="3">
        <v>60.665399999999998</v>
      </c>
    </row>
    <row r="324" spans="1:4">
      <c r="A324" s="20" t="s">
        <v>322</v>
      </c>
      <c r="B324" s="20">
        <v>90</v>
      </c>
      <c r="C324" s="20" t="str">
        <f t="shared" si="6"/>
        <v>CD50-m090</v>
      </c>
      <c r="D324" s="3">
        <v>49.027000000000001</v>
      </c>
    </row>
    <row r="325" spans="1:4">
      <c r="A325" s="20" t="s">
        <v>322</v>
      </c>
      <c r="B325" s="20">
        <v>91</v>
      </c>
      <c r="C325" s="20" t="str">
        <f t="shared" si="6"/>
        <v>CD50-m091</v>
      </c>
      <c r="D325" s="3">
        <v>57.704999999999998</v>
      </c>
    </row>
    <row r="326" spans="1:4">
      <c r="A326" s="20" t="s">
        <v>322</v>
      </c>
      <c r="B326" s="20">
        <v>92</v>
      </c>
      <c r="C326" s="20" t="str">
        <f t="shared" si="6"/>
        <v>CD50-m092</v>
      </c>
      <c r="D326" s="3">
        <v>63.851100000000002</v>
      </c>
    </row>
    <row r="327" spans="1:4">
      <c r="A327" s="20" t="s">
        <v>322</v>
      </c>
      <c r="B327" s="20">
        <v>93</v>
      </c>
      <c r="C327" s="20" t="str">
        <f t="shared" si="6"/>
        <v>CD50-m093</v>
      </c>
      <c r="D327" s="3">
        <v>39.186500000000002</v>
      </c>
    </row>
    <row r="328" spans="1:4">
      <c r="A328" s="20" t="s">
        <v>322</v>
      </c>
      <c r="B328" s="20">
        <v>95</v>
      </c>
      <c r="C328" s="20" t="str">
        <f t="shared" si="6"/>
        <v>CD50-m095</v>
      </c>
      <c r="D328" s="3">
        <v>71.453500000000005</v>
      </c>
    </row>
    <row r="329" spans="1:4">
      <c r="A329" s="20" t="s">
        <v>322</v>
      </c>
      <c r="B329" s="20">
        <v>97</v>
      </c>
      <c r="C329" s="20" t="str">
        <f t="shared" si="6"/>
        <v>CD50-m097</v>
      </c>
      <c r="D329" s="3">
        <v>73.357399999999998</v>
      </c>
    </row>
    <row r="330" spans="1:4">
      <c r="A330" s="20" t="s">
        <v>322</v>
      </c>
      <c r="B330" s="20">
        <v>98</v>
      </c>
      <c r="C330" s="20" t="str">
        <f t="shared" si="6"/>
        <v>CD50-m098</v>
      </c>
      <c r="D330" s="3">
        <v>39.125799999999998</v>
      </c>
    </row>
    <row r="331" spans="1:4">
      <c r="A331" s="20" t="s">
        <v>322</v>
      </c>
      <c r="B331" s="20">
        <v>99</v>
      </c>
      <c r="C331" s="20" t="str">
        <f t="shared" si="6"/>
        <v>CD50-m099</v>
      </c>
      <c r="D331" s="3">
        <v>41.640500000000003</v>
      </c>
    </row>
    <row r="332" spans="1:4">
      <c r="A332" s="20" t="s">
        <v>322</v>
      </c>
      <c r="B332" s="20">
        <v>100</v>
      </c>
      <c r="C332" s="20" t="str">
        <f t="shared" si="5"/>
        <v>CD50-m100</v>
      </c>
      <c r="D332" s="3">
        <v>45.808399999999999</v>
      </c>
    </row>
    <row r="333" spans="1:4">
      <c r="A333" s="20" t="s">
        <v>322</v>
      </c>
      <c r="B333" s="20">
        <v>108</v>
      </c>
      <c r="C333" s="20" t="str">
        <f t="shared" si="5"/>
        <v>CD50-m108</v>
      </c>
      <c r="D333" s="3">
        <v>31.6829</v>
      </c>
    </row>
    <row r="334" spans="1:4">
      <c r="A334" s="20" t="s">
        <v>322</v>
      </c>
      <c r="B334" s="20">
        <v>109</v>
      </c>
      <c r="C334" s="20" t="str">
        <f t="shared" si="5"/>
        <v>CD50-m109</v>
      </c>
      <c r="D334" s="3">
        <v>43.685899999999997</v>
      </c>
    </row>
    <row r="335" spans="1:4">
      <c r="A335" s="20" t="s">
        <v>322</v>
      </c>
      <c r="B335" s="20">
        <v>110</v>
      </c>
      <c r="C335" s="20" t="str">
        <f t="shared" si="5"/>
        <v>CD50-m110</v>
      </c>
      <c r="D335" s="3">
        <v>59.841700000000003</v>
      </c>
    </row>
    <row r="336" spans="1:4">
      <c r="A336" s="20" t="s">
        <v>322</v>
      </c>
      <c r="B336" s="20">
        <v>112</v>
      </c>
      <c r="C336" s="20" t="str">
        <f t="shared" si="5"/>
        <v>CD50-m112</v>
      </c>
      <c r="D336" s="3">
        <v>43.833599999999997</v>
      </c>
    </row>
    <row r="337" spans="1:4">
      <c r="A337" s="20" t="s">
        <v>322</v>
      </c>
      <c r="B337" s="20">
        <v>126</v>
      </c>
      <c r="C337" s="20" t="str">
        <f t="shared" si="5"/>
        <v>CD50-m126</v>
      </c>
      <c r="D337" s="3">
        <v>44.8705</v>
      </c>
    </row>
    <row r="338" spans="1:4">
      <c r="A338" s="20" t="s">
        <v>322</v>
      </c>
      <c r="B338" s="20">
        <v>113</v>
      </c>
      <c r="C338" s="20" t="str">
        <f t="shared" si="5"/>
        <v>CD50-m113</v>
      </c>
      <c r="D338" s="3">
        <v>56.292400000000001</v>
      </c>
    </row>
    <row r="339" spans="1:4">
      <c r="A339" s="20" t="s">
        <v>322</v>
      </c>
      <c r="B339" s="20">
        <v>114</v>
      </c>
      <c r="C339" s="20" t="str">
        <f t="shared" si="5"/>
        <v>CD50-m114</v>
      </c>
      <c r="D339" s="3">
        <v>22.038900000000002</v>
      </c>
    </row>
    <row r="340" spans="1:4">
      <c r="A340" s="20" t="s">
        <v>322</v>
      </c>
      <c r="B340" s="20">
        <v>115</v>
      </c>
      <c r="C340" s="20" t="str">
        <f t="shared" si="5"/>
        <v>CD50-m115</v>
      </c>
      <c r="D340" s="3">
        <v>24.993600000000001</v>
      </c>
    </row>
    <row r="341" spans="1:4">
      <c r="A341" s="20" t="s">
        <v>322</v>
      </c>
      <c r="B341" s="20">
        <v>116</v>
      </c>
      <c r="C341" s="20" t="str">
        <f t="shared" si="5"/>
        <v>CD50-m116</v>
      </c>
      <c r="D341" s="3">
        <v>54.431600000000003</v>
      </c>
    </row>
    <row r="342" spans="1:4">
      <c r="A342" s="20" t="s">
        <v>322</v>
      </c>
      <c r="B342" s="20">
        <v>117</v>
      </c>
      <c r="C342" s="20" t="str">
        <f t="shared" si="5"/>
        <v>CD50-m117</v>
      </c>
      <c r="D342" s="3">
        <v>28.9983</v>
      </c>
    </row>
    <row r="343" spans="1:4">
      <c r="A343" s="20" t="s">
        <v>322</v>
      </c>
      <c r="B343" s="20">
        <v>118</v>
      </c>
      <c r="C343" s="20" t="str">
        <f t="shared" si="5"/>
        <v>CD50-m118</v>
      </c>
      <c r="D343" s="3">
        <v>15.816000000000001</v>
      </c>
    </row>
    <row r="344" spans="1:4">
      <c r="A344" s="20" t="s">
        <v>322</v>
      </c>
      <c r="B344" s="20">
        <v>119</v>
      </c>
      <c r="C344" s="20" t="str">
        <f t="shared" si="5"/>
        <v>CD50-m119</v>
      </c>
      <c r="D344" s="3">
        <v>27.656199999999998</v>
      </c>
    </row>
    <row r="345" spans="1:4">
      <c r="A345" s="20" t="s">
        <v>322</v>
      </c>
      <c r="B345" s="20">
        <v>120</v>
      </c>
      <c r="C345" s="20" t="str">
        <f t="shared" si="5"/>
        <v>CD50-m120</v>
      </c>
      <c r="D345" s="3">
        <v>46.297199999999997</v>
      </c>
    </row>
    <row r="346" spans="1:4">
      <c r="A346" s="20" t="s">
        <v>322</v>
      </c>
      <c r="B346" s="20">
        <v>122</v>
      </c>
      <c r="C346" s="20" t="str">
        <f t="shared" si="5"/>
        <v>CD50-m122</v>
      </c>
      <c r="D346" s="3">
        <v>50.125500000000002</v>
      </c>
    </row>
    <row r="347" spans="1:4">
      <c r="A347" s="20" t="s">
        <v>322</v>
      </c>
      <c r="B347" s="20">
        <v>130</v>
      </c>
      <c r="C347" s="20" t="str">
        <f t="shared" si="5"/>
        <v>CD50-m130</v>
      </c>
      <c r="D347" s="3">
        <v>75.0655</v>
      </c>
    </row>
    <row r="348" spans="1:4">
      <c r="A348" s="20" t="s">
        <v>322</v>
      </c>
      <c r="B348" s="20">
        <v>131</v>
      </c>
      <c r="C348" s="20" t="str">
        <f t="shared" si="5"/>
        <v>CD50-m131</v>
      </c>
      <c r="D348" s="3">
        <v>21.203199999999999</v>
      </c>
    </row>
    <row r="349" spans="1:4">
      <c r="A349" s="20" t="s">
        <v>322</v>
      </c>
      <c r="B349" s="20">
        <v>133</v>
      </c>
      <c r="C349" s="20" t="str">
        <f t="shared" si="5"/>
        <v>CD50-m133</v>
      </c>
      <c r="D349" s="3">
        <v>47.284500000000001</v>
      </c>
    </row>
    <row r="350" spans="1:4">
      <c r="A350" s="20" t="s">
        <v>322</v>
      </c>
      <c r="B350" s="20">
        <v>134</v>
      </c>
      <c r="C350" s="20" t="str">
        <f t="shared" si="5"/>
        <v>CD50-m134</v>
      </c>
      <c r="D350" s="3">
        <v>41.203600000000002</v>
      </c>
    </row>
    <row r="351" spans="1:4">
      <c r="A351" s="20" t="s">
        <v>322</v>
      </c>
      <c r="B351" s="20">
        <v>135</v>
      </c>
      <c r="C351" s="20" t="str">
        <f t="shared" si="5"/>
        <v>CD50-m135</v>
      </c>
      <c r="D351" s="3">
        <v>29.652999999999999</v>
      </c>
    </row>
    <row r="352" spans="1:4">
      <c r="A352" s="20" t="s">
        <v>322</v>
      </c>
      <c r="B352" s="20">
        <v>136</v>
      </c>
      <c r="C352" s="20" t="str">
        <f t="shared" si="5"/>
        <v>CD50-m136</v>
      </c>
      <c r="D352" s="3">
        <v>66.373800000000003</v>
      </c>
    </row>
    <row r="353" spans="1:4">
      <c r="A353" s="20" t="s">
        <v>322</v>
      </c>
      <c r="B353" s="20">
        <v>137</v>
      </c>
      <c r="C353" s="20" t="str">
        <f t="shared" si="5"/>
        <v>CD50-m137</v>
      </c>
      <c r="D353" s="3">
        <v>46.688299999999998</v>
      </c>
    </row>
    <row r="354" spans="1:4">
      <c r="A354" s="20" t="s">
        <v>322</v>
      </c>
      <c r="B354" s="20">
        <v>138</v>
      </c>
      <c r="C354" s="20" t="str">
        <f t="shared" si="5"/>
        <v>CD50-m138</v>
      </c>
      <c r="D354" s="3">
        <v>8.7096999999999998</v>
      </c>
    </row>
    <row r="355" spans="1:4">
      <c r="A355" s="20" t="s">
        <v>322</v>
      </c>
      <c r="B355" s="20">
        <v>139</v>
      </c>
      <c r="C355" s="20" t="str">
        <f t="shared" si="5"/>
        <v>CD50-m139</v>
      </c>
      <c r="D355" s="3">
        <v>68.3917</v>
      </c>
    </row>
    <row r="356" spans="1:4">
      <c r="A356" s="20" t="s">
        <v>322</v>
      </c>
      <c r="B356" s="20">
        <v>147</v>
      </c>
      <c r="C356" s="20" t="str">
        <f t="shared" si="5"/>
        <v>CD50-m147</v>
      </c>
      <c r="D356" s="3">
        <v>59.307099999999998</v>
      </c>
    </row>
    <row r="357" spans="1:4">
      <c r="A357" s="20" t="s">
        <v>322</v>
      </c>
      <c r="B357" s="20">
        <v>148</v>
      </c>
      <c r="C357" s="20" t="str">
        <f t="shared" si="5"/>
        <v>CD50-m148</v>
      </c>
      <c r="D357" s="3">
        <v>0.4597</v>
      </c>
    </row>
    <row r="358" spans="1:4">
      <c r="A358" s="20" t="s">
        <v>322</v>
      </c>
      <c r="B358" s="20">
        <v>149</v>
      </c>
      <c r="C358" s="20" t="str">
        <f t="shared" si="5"/>
        <v>CD50-m149</v>
      </c>
      <c r="D358" s="3">
        <v>53.820399999999999</v>
      </c>
    </row>
    <row r="359" spans="1:4">
      <c r="A359" s="20" t="s">
        <v>322</v>
      </c>
      <c r="B359" s="20">
        <v>150</v>
      </c>
      <c r="C359" s="20" t="str">
        <f t="shared" si="5"/>
        <v>CD50-m150</v>
      </c>
      <c r="D359" s="3">
        <v>45.237000000000002</v>
      </c>
    </row>
    <row r="360" spans="1:4">
      <c r="A360" s="20" t="s">
        <v>322</v>
      </c>
      <c r="B360" s="20">
        <v>151</v>
      </c>
      <c r="C360" s="20" t="str">
        <f t="shared" si="5"/>
        <v>CD50-m151</v>
      </c>
      <c r="D360" s="3">
        <v>64.163600000000002</v>
      </c>
    </row>
    <row r="361" spans="1:4">
      <c r="A361" s="20" t="s">
        <v>322</v>
      </c>
      <c r="B361" s="20">
        <v>152</v>
      </c>
      <c r="C361" s="20" t="str">
        <f t="shared" si="5"/>
        <v>CD50-m152</v>
      </c>
      <c r="D361" s="3">
        <v>65.427400000000006</v>
      </c>
    </row>
    <row r="362" spans="1:4">
      <c r="A362" s="20" t="s">
        <v>322</v>
      </c>
      <c r="B362" s="20">
        <v>153</v>
      </c>
      <c r="C362" s="20" t="str">
        <f t="shared" si="5"/>
        <v>CD50-m153</v>
      </c>
      <c r="D362" s="3">
        <v>49.408299999999997</v>
      </c>
    </row>
    <row r="363" spans="1:4">
      <c r="A363" s="20" t="s">
        <v>322</v>
      </c>
      <c r="B363" s="20">
        <v>154</v>
      </c>
      <c r="C363" s="20" t="str">
        <f t="shared" si="5"/>
        <v>CD50-m154</v>
      </c>
      <c r="D363" s="3">
        <v>55.127400000000002</v>
      </c>
    </row>
    <row r="364" spans="1:4">
      <c r="A364" s="20" t="s">
        <v>322</v>
      </c>
      <c r="B364" s="20">
        <v>155</v>
      </c>
      <c r="C364" s="20" t="str">
        <f t="shared" ref="C364:C427" si="7">_xlfn.CONCAT(A364,"-m",B364)</f>
        <v>CD50-m155</v>
      </c>
      <c r="D364" s="3">
        <v>82.4405</v>
      </c>
    </row>
    <row r="365" spans="1:4">
      <c r="A365" s="20" t="s">
        <v>322</v>
      </c>
      <c r="B365" s="20">
        <v>156</v>
      </c>
      <c r="C365" s="20" t="str">
        <f t="shared" si="7"/>
        <v>CD50-m156</v>
      </c>
      <c r="D365" s="3">
        <v>49.260100000000001</v>
      </c>
    </row>
    <row r="366" spans="1:4">
      <c r="A366" s="20" t="s">
        <v>322</v>
      </c>
      <c r="B366" s="20">
        <v>161</v>
      </c>
      <c r="C366" s="20" t="str">
        <f t="shared" si="7"/>
        <v>CD50-m161</v>
      </c>
      <c r="D366" s="3">
        <v>72.207400000000007</v>
      </c>
    </row>
    <row r="367" spans="1:4">
      <c r="A367" s="20" t="s">
        <v>322</v>
      </c>
      <c r="B367" s="20">
        <v>163</v>
      </c>
      <c r="C367" s="20" t="str">
        <f t="shared" si="7"/>
        <v>CD50-m163</v>
      </c>
      <c r="D367" s="3">
        <v>66.601600000000005</v>
      </c>
    </row>
    <row r="368" spans="1:4">
      <c r="A368" s="20" t="s">
        <v>322</v>
      </c>
      <c r="B368" s="20">
        <v>166</v>
      </c>
      <c r="C368" s="20" t="str">
        <f t="shared" si="7"/>
        <v>CD50-m166</v>
      </c>
      <c r="D368" s="3">
        <v>81.611900000000006</v>
      </c>
    </row>
    <row r="369" spans="1:4">
      <c r="A369" s="20" t="s">
        <v>322</v>
      </c>
      <c r="B369" s="20">
        <v>167</v>
      </c>
      <c r="C369" s="20" t="str">
        <f t="shared" si="7"/>
        <v>CD50-m167</v>
      </c>
      <c r="D369" s="3">
        <v>59.385199999999998</v>
      </c>
    </row>
    <row r="370" spans="1:4">
      <c r="A370" s="20" t="s">
        <v>322</v>
      </c>
      <c r="B370" s="20">
        <v>168</v>
      </c>
      <c r="C370" s="20" t="str">
        <f t="shared" si="7"/>
        <v>CD50-m168</v>
      </c>
      <c r="D370" s="3">
        <v>69.786600000000007</v>
      </c>
    </row>
    <row r="371" spans="1:4">
      <c r="A371" s="20" t="s">
        <v>322</v>
      </c>
      <c r="B371" s="20">
        <v>169</v>
      </c>
      <c r="C371" s="20" t="str">
        <f t="shared" si="7"/>
        <v>CD50-m169</v>
      </c>
      <c r="D371" s="3">
        <v>71.588899999999995</v>
      </c>
    </row>
    <row r="372" spans="1:4">
      <c r="A372" s="20" t="s">
        <v>322</v>
      </c>
      <c r="B372" s="20">
        <v>170</v>
      </c>
      <c r="C372" s="20" t="str">
        <f t="shared" si="7"/>
        <v>CD50-m170</v>
      </c>
      <c r="D372" s="3">
        <v>48.267899999999997</v>
      </c>
    </row>
    <row r="373" spans="1:4">
      <c r="A373" s="20" t="s">
        <v>322</v>
      </c>
      <c r="B373" s="20">
        <v>172</v>
      </c>
      <c r="C373" s="20" t="str">
        <f t="shared" si="7"/>
        <v>CD50-m172</v>
      </c>
      <c r="D373" s="3">
        <v>87.125699999999995</v>
      </c>
    </row>
    <row r="374" spans="1:4">
      <c r="A374" s="20" t="s">
        <v>322</v>
      </c>
      <c r="B374" s="20">
        <v>175</v>
      </c>
      <c r="C374" s="20" t="str">
        <f t="shared" si="7"/>
        <v>CD50-m175</v>
      </c>
      <c r="D374" s="3">
        <v>74.036299999999997</v>
      </c>
    </row>
    <row r="375" spans="1:4">
      <c r="A375" s="20" t="s">
        <v>322</v>
      </c>
      <c r="B375" s="20">
        <v>176</v>
      </c>
      <c r="C375" s="20" t="str">
        <f t="shared" si="7"/>
        <v>CD50-m176</v>
      </c>
      <c r="D375" s="3">
        <v>46.3611</v>
      </c>
    </row>
    <row r="376" spans="1:4">
      <c r="A376" s="20" t="s">
        <v>322</v>
      </c>
      <c r="B376" s="20">
        <v>181</v>
      </c>
      <c r="C376" s="20" t="str">
        <f t="shared" si="7"/>
        <v>CD50-m181</v>
      </c>
      <c r="D376" s="3">
        <v>57.919400000000003</v>
      </c>
    </row>
    <row r="377" spans="1:4">
      <c r="A377" s="20" t="s">
        <v>322</v>
      </c>
      <c r="B377" s="20">
        <v>183</v>
      </c>
      <c r="C377" s="20" t="str">
        <f t="shared" si="7"/>
        <v>CD50-m183</v>
      </c>
      <c r="D377" s="3">
        <v>43.238199999999999</v>
      </c>
    </row>
    <row r="378" spans="1:4">
      <c r="A378" s="20" t="s">
        <v>322</v>
      </c>
      <c r="B378" s="20">
        <v>184</v>
      </c>
      <c r="C378" s="20" t="str">
        <f t="shared" si="7"/>
        <v>CD50-m184</v>
      </c>
      <c r="D378" s="3">
        <v>55.787500000000001</v>
      </c>
    </row>
    <row r="379" spans="1:4">
      <c r="A379" s="20" t="s">
        <v>322</v>
      </c>
      <c r="B379" s="20">
        <v>185</v>
      </c>
      <c r="C379" s="20" t="str">
        <f t="shared" si="7"/>
        <v>CD50-m185</v>
      </c>
      <c r="D379" s="3">
        <v>62.9206</v>
      </c>
    </row>
    <row r="380" spans="1:4">
      <c r="A380" s="20" t="s">
        <v>322</v>
      </c>
      <c r="B380" s="20">
        <v>186</v>
      </c>
      <c r="C380" s="20" t="str">
        <f t="shared" si="7"/>
        <v>CD50-m186</v>
      </c>
      <c r="D380" s="3">
        <v>48.907800000000002</v>
      </c>
    </row>
    <row r="381" spans="1:4">
      <c r="A381" s="20" t="s">
        <v>322</v>
      </c>
      <c r="B381" s="20">
        <v>187</v>
      </c>
      <c r="C381" s="20" t="str">
        <f t="shared" si="7"/>
        <v>CD50-m187</v>
      </c>
      <c r="D381" s="3">
        <v>67.391599999999997</v>
      </c>
    </row>
    <row r="382" spans="1:4">
      <c r="A382" s="20" t="s">
        <v>322</v>
      </c>
      <c r="B382" s="20">
        <v>188</v>
      </c>
      <c r="C382" s="20" t="str">
        <f t="shared" si="7"/>
        <v>CD50-m188</v>
      </c>
      <c r="D382" s="3">
        <v>67.866500000000002</v>
      </c>
    </row>
    <row r="383" spans="1:4">
      <c r="A383" s="20" t="s">
        <v>322</v>
      </c>
      <c r="B383" s="20">
        <v>189</v>
      </c>
      <c r="C383" s="20" t="str">
        <f t="shared" si="7"/>
        <v>CD50-m189</v>
      </c>
      <c r="D383" s="3">
        <v>46.440300000000001</v>
      </c>
    </row>
    <row r="384" spans="1:4">
      <c r="A384" s="20" t="s">
        <v>322</v>
      </c>
      <c r="B384" s="20">
        <v>190</v>
      </c>
      <c r="C384" s="20" t="str">
        <f t="shared" si="7"/>
        <v>CD50-m190</v>
      </c>
      <c r="D384" s="3">
        <v>46.499299999999998</v>
      </c>
    </row>
    <row r="385" spans="1:83">
      <c r="A385" s="20" t="s">
        <v>322</v>
      </c>
      <c r="B385" s="20">
        <v>191</v>
      </c>
      <c r="C385" s="20" t="str">
        <f t="shared" si="7"/>
        <v>CD50-m191</v>
      </c>
      <c r="D385" s="3">
        <v>78.524799999999999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</row>
    <row r="386" spans="1:83">
      <c r="A386" s="20" t="s">
        <v>323</v>
      </c>
      <c r="B386" s="20">
        <v>653</v>
      </c>
      <c r="C386" s="20" t="str">
        <f t="shared" si="7"/>
        <v>CD56-m653</v>
      </c>
      <c r="D386" s="3">
        <v>38.501100000000001</v>
      </c>
    </row>
    <row r="387" spans="1:83">
      <c r="A387" s="20" t="s">
        <v>323</v>
      </c>
      <c r="B387" s="20">
        <v>673</v>
      </c>
      <c r="C387" s="20" t="str">
        <f t="shared" si="7"/>
        <v>CD56-m673</v>
      </c>
      <c r="D387" s="3">
        <v>48.312800000000003</v>
      </c>
    </row>
    <row r="388" spans="1:83">
      <c r="A388" s="20" t="s">
        <v>323</v>
      </c>
      <c r="B388" s="20">
        <v>675</v>
      </c>
      <c r="C388" s="20" t="str">
        <f t="shared" si="7"/>
        <v>CD56-m675</v>
      </c>
      <c r="D388" s="3">
        <v>36.746600000000001</v>
      </c>
    </row>
    <row r="389" spans="1:83">
      <c r="A389" s="20" t="s">
        <v>323</v>
      </c>
      <c r="B389" s="20">
        <v>670</v>
      </c>
      <c r="C389" s="20" t="str">
        <f t="shared" si="7"/>
        <v>CD56-m670</v>
      </c>
      <c r="D389" s="3">
        <v>31.552800000000001</v>
      </c>
    </row>
    <row r="390" spans="1:83">
      <c r="A390" s="20" t="s">
        <v>323</v>
      </c>
      <c r="B390" s="20">
        <v>671</v>
      </c>
      <c r="C390" s="20" t="str">
        <f t="shared" si="7"/>
        <v>CD56-m671</v>
      </c>
      <c r="D390" s="3">
        <v>33.646299999999997</v>
      </c>
    </row>
    <row r="391" spans="1:83">
      <c r="A391" s="20" t="s">
        <v>323</v>
      </c>
      <c r="B391" s="20">
        <v>678</v>
      </c>
      <c r="C391" s="20" t="str">
        <f t="shared" si="7"/>
        <v>CD56-m678</v>
      </c>
      <c r="D391" s="3">
        <v>21.9693</v>
      </c>
    </row>
    <row r="392" spans="1:83">
      <c r="A392" s="20" t="s">
        <v>323</v>
      </c>
      <c r="B392" s="20">
        <v>703</v>
      </c>
      <c r="C392" s="20" t="str">
        <f t="shared" si="7"/>
        <v>CD56-m703</v>
      </c>
      <c r="D392" s="3">
        <v>5.9188000000000001</v>
      </c>
    </row>
    <row r="393" spans="1:83">
      <c r="A393" s="20" t="s">
        <v>323</v>
      </c>
      <c r="B393" s="20">
        <v>704</v>
      </c>
      <c r="C393" s="20" t="str">
        <f t="shared" si="7"/>
        <v>CD56-m704</v>
      </c>
      <c r="D393" s="3">
        <v>3.9824000000000002</v>
      </c>
    </row>
    <row r="394" spans="1:83">
      <c r="A394" s="20" t="s">
        <v>323</v>
      </c>
      <c r="B394" s="20">
        <v>705</v>
      </c>
      <c r="C394" s="20" t="str">
        <f t="shared" si="7"/>
        <v>CD56-m705</v>
      </c>
      <c r="D394" s="3">
        <v>1.0686</v>
      </c>
    </row>
    <row r="395" spans="1:83">
      <c r="A395" s="20" t="s">
        <v>323</v>
      </c>
      <c r="B395" s="20">
        <v>706</v>
      </c>
      <c r="C395" s="20" t="str">
        <f t="shared" si="7"/>
        <v>CD56-m706</v>
      </c>
      <c r="D395" s="3">
        <v>12.155099999999999</v>
      </c>
    </row>
    <row r="396" spans="1:83">
      <c r="A396" s="20" t="s">
        <v>323</v>
      </c>
      <c r="B396" s="20">
        <v>707</v>
      </c>
      <c r="C396" s="20" t="str">
        <f t="shared" si="7"/>
        <v>CD56-m707</v>
      </c>
      <c r="D396" s="3">
        <v>2.9773999999999998</v>
      </c>
    </row>
    <row r="397" spans="1:83">
      <c r="A397" s="20" t="s">
        <v>323</v>
      </c>
      <c r="B397" s="20">
        <v>708</v>
      </c>
      <c r="C397" s="20" t="str">
        <f t="shared" si="7"/>
        <v>CD56-m708</v>
      </c>
      <c r="D397" s="3">
        <v>27.469000000000001</v>
      </c>
    </row>
    <row r="398" spans="1:83">
      <c r="A398" s="20" t="s">
        <v>323</v>
      </c>
      <c r="B398" s="20">
        <v>709</v>
      </c>
      <c r="C398" s="20" t="str">
        <f t="shared" si="7"/>
        <v>CD56-m709</v>
      </c>
      <c r="D398" s="3">
        <v>20.896699999999999</v>
      </c>
    </row>
    <row r="399" spans="1:83">
      <c r="A399" s="20" t="s">
        <v>323</v>
      </c>
      <c r="B399" s="20">
        <v>710</v>
      </c>
      <c r="C399" s="20" t="str">
        <f t="shared" si="7"/>
        <v>CD56-m710</v>
      </c>
      <c r="D399" s="3">
        <v>25.903099999999998</v>
      </c>
    </row>
    <row r="400" spans="1:83">
      <c r="A400" s="20" t="s">
        <v>323</v>
      </c>
      <c r="B400" s="20">
        <v>711</v>
      </c>
      <c r="C400" s="20" t="str">
        <f t="shared" si="7"/>
        <v>CD56-m711</v>
      </c>
      <c r="D400" s="3">
        <v>28.487400000000001</v>
      </c>
    </row>
    <row r="401" spans="1:4">
      <c r="A401" s="20" t="s">
        <v>323</v>
      </c>
      <c r="B401" s="20">
        <v>712</v>
      </c>
      <c r="C401" s="20" t="str">
        <f t="shared" si="7"/>
        <v>CD56-m712</v>
      </c>
      <c r="D401" s="3">
        <v>15.769500000000001</v>
      </c>
    </row>
    <row r="402" spans="1:4">
      <c r="A402" s="20" t="s">
        <v>323</v>
      </c>
      <c r="B402" s="20">
        <v>713</v>
      </c>
      <c r="C402" s="20" t="str">
        <f t="shared" si="7"/>
        <v>CD56-m713</v>
      </c>
      <c r="D402" s="3">
        <v>13.289099999999999</v>
      </c>
    </row>
    <row r="403" spans="1:4">
      <c r="A403" s="20" t="s">
        <v>323</v>
      </c>
      <c r="B403" s="20">
        <v>602</v>
      </c>
      <c r="C403" s="20" t="str">
        <f t="shared" si="7"/>
        <v>CD56-m602</v>
      </c>
      <c r="D403" s="3">
        <v>30.302600000000002</v>
      </c>
    </row>
    <row r="404" spans="1:4">
      <c r="A404" s="20" t="s">
        <v>323</v>
      </c>
      <c r="B404" s="20">
        <v>604</v>
      </c>
      <c r="C404" s="20" t="str">
        <f t="shared" si="7"/>
        <v>CD56-m604</v>
      </c>
      <c r="D404" s="3">
        <v>10.1777</v>
      </c>
    </row>
    <row r="405" spans="1:4">
      <c r="A405" s="20" t="s">
        <v>323</v>
      </c>
      <c r="B405" s="20">
        <v>610</v>
      </c>
      <c r="C405" s="20" t="str">
        <f t="shared" si="7"/>
        <v>CD56-m610</v>
      </c>
      <c r="D405" s="3">
        <v>4.3737000000000004</v>
      </c>
    </row>
    <row r="406" spans="1:4">
      <c r="A406" s="20" t="s">
        <v>323</v>
      </c>
      <c r="B406" s="20">
        <v>595</v>
      </c>
      <c r="C406" s="20" t="str">
        <f t="shared" si="7"/>
        <v>CD56-m595</v>
      </c>
      <c r="D406" s="3">
        <v>19.374700000000001</v>
      </c>
    </row>
    <row r="407" spans="1:4">
      <c r="A407" s="20" t="s">
        <v>323</v>
      </c>
      <c r="B407" s="20">
        <v>598</v>
      </c>
      <c r="C407" s="20" t="str">
        <f t="shared" si="7"/>
        <v>CD56-m598</v>
      </c>
      <c r="D407" s="3">
        <v>21.534700000000001</v>
      </c>
    </row>
    <row r="408" spans="1:4">
      <c r="A408" s="20" t="s">
        <v>323</v>
      </c>
      <c r="B408" s="20">
        <v>608</v>
      </c>
      <c r="C408" s="20" t="str">
        <f t="shared" si="7"/>
        <v>CD56-m608</v>
      </c>
      <c r="D408" s="3">
        <v>25.108499999999999</v>
      </c>
    </row>
    <row r="409" spans="1:4">
      <c r="A409" s="20" t="s">
        <v>323</v>
      </c>
      <c r="B409" s="20">
        <v>644</v>
      </c>
      <c r="C409" s="20" t="str">
        <f t="shared" si="7"/>
        <v>CD56-m644</v>
      </c>
      <c r="D409" s="3">
        <v>23.552299999999999</v>
      </c>
    </row>
    <row r="410" spans="1:4">
      <c r="A410" s="20" t="s">
        <v>323</v>
      </c>
      <c r="B410" s="20">
        <v>662</v>
      </c>
      <c r="C410" s="20" t="str">
        <f t="shared" si="7"/>
        <v>CD56-m662</v>
      </c>
      <c r="D410" s="3">
        <v>27.979600000000001</v>
      </c>
    </row>
    <row r="411" spans="1:4">
      <c r="A411" s="20" t="s">
        <v>323</v>
      </c>
      <c r="B411" s="20">
        <v>663</v>
      </c>
      <c r="C411" s="20" t="str">
        <f t="shared" si="7"/>
        <v>CD56-m663</v>
      </c>
      <c r="D411" s="3">
        <v>29.908799999999999</v>
      </c>
    </row>
    <row r="412" spans="1:4">
      <c r="A412" s="20" t="s">
        <v>323</v>
      </c>
      <c r="B412" s="20">
        <v>672</v>
      </c>
      <c r="C412" s="20" t="str">
        <f t="shared" si="7"/>
        <v>CD56-m672</v>
      </c>
      <c r="D412" s="3">
        <v>9.7940000000000005</v>
      </c>
    </row>
    <row r="413" spans="1:4">
      <c r="A413" s="20" t="s">
        <v>323</v>
      </c>
      <c r="B413" s="20">
        <v>624</v>
      </c>
      <c r="C413" s="20" t="str">
        <f t="shared" si="7"/>
        <v>CD56-m624</v>
      </c>
      <c r="D413" s="3">
        <v>10.642899999999999</v>
      </c>
    </row>
    <row r="414" spans="1:4">
      <c r="A414" s="20" t="s">
        <v>323</v>
      </c>
      <c r="B414" s="20">
        <v>633</v>
      </c>
      <c r="C414" s="20" t="str">
        <f t="shared" si="7"/>
        <v>CD56-m633</v>
      </c>
      <c r="D414" s="3">
        <v>13.1213</v>
      </c>
    </row>
    <row r="415" spans="1:4">
      <c r="A415" s="20" t="s">
        <v>323</v>
      </c>
      <c r="B415" s="20">
        <v>636</v>
      </c>
      <c r="C415" s="20" t="str">
        <f t="shared" si="7"/>
        <v>CD56-m636</v>
      </c>
      <c r="D415" s="3">
        <v>8.9220000000000006</v>
      </c>
    </row>
    <row r="416" spans="1:4">
      <c r="A416" s="20" t="s">
        <v>323</v>
      </c>
      <c r="B416" s="20">
        <v>664</v>
      </c>
      <c r="C416" s="20" t="str">
        <f t="shared" si="7"/>
        <v>CD56-m664</v>
      </c>
      <c r="D416" s="3">
        <v>26.4512</v>
      </c>
    </row>
    <row r="417" spans="1:4">
      <c r="A417" s="20" t="s">
        <v>323</v>
      </c>
      <c r="B417" s="20">
        <v>681</v>
      </c>
      <c r="C417" s="20" t="str">
        <f t="shared" si="7"/>
        <v>CD56-m681</v>
      </c>
      <c r="D417" s="3">
        <v>29.191299999999998</v>
      </c>
    </row>
    <row r="418" spans="1:4">
      <c r="A418" s="20" t="s">
        <v>323</v>
      </c>
      <c r="B418" s="20">
        <v>682</v>
      </c>
      <c r="C418" s="20" t="str">
        <f t="shared" si="7"/>
        <v>CD56-m682</v>
      </c>
      <c r="D418" s="3">
        <v>23.741</v>
      </c>
    </row>
    <row r="419" spans="1:4">
      <c r="A419" s="20" t="s">
        <v>323</v>
      </c>
      <c r="B419" s="20">
        <v>683</v>
      </c>
      <c r="C419" s="20" t="str">
        <f t="shared" si="7"/>
        <v>CD56-m683</v>
      </c>
      <c r="D419" s="3">
        <v>3.0125000000000002</v>
      </c>
    </row>
    <row r="420" spans="1:4">
      <c r="A420" s="20" t="s">
        <v>323</v>
      </c>
      <c r="B420" s="20">
        <v>684</v>
      </c>
      <c r="C420" s="20" t="str">
        <f t="shared" si="7"/>
        <v>CD56-m684</v>
      </c>
      <c r="D420" s="3">
        <v>1.6817</v>
      </c>
    </row>
    <row r="421" spans="1:4">
      <c r="A421" s="20" t="s">
        <v>323</v>
      </c>
      <c r="B421" s="20">
        <v>685</v>
      </c>
      <c r="C421" s="20" t="str">
        <f t="shared" si="7"/>
        <v>CD56-m685</v>
      </c>
      <c r="D421" s="3">
        <v>5.1128999999999998</v>
      </c>
    </row>
    <row r="422" spans="1:4">
      <c r="A422" s="20" t="s">
        <v>323</v>
      </c>
      <c r="B422" s="20">
        <v>686</v>
      </c>
      <c r="C422" s="20" t="str">
        <f t="shared" si="7"/>
        <v>CD56-m686</v>
      </c>
      <c r="D422" s="3">
        <v>1.2722</v>
      </c>
    </row>
    <row r="423" spans="1:4">
      <c r="A423" s="20" t="s">
        <v>323</v>
      </c>
      <c r="B423" s="20">
        <v>687</v>
      </c>
      <c r="C423" s="20" t="str">
        <f t="shared" si="7"/>
        <v>CD56-m687</v>
      </c>
      <c r="D423" s="3">
        <v>2.8428</v>
      </c>
    </row>
    <row r="424" spans="1:4">
      <c r="A424" s="20" t="s">
        <v>323</v>
      </c>
      <c r="B424" s="20">
        <v>688</v>
      </c>
      <c r="C424" s="20" t="str">
        <f t="shared" si="7"/>
        <v>CD56-m688</v>
      </c>
      <c r="D424" s="3">
        <v>18.757300000000001</v>
      </c>
    </row>
    <row r="425" spans="1:4">
      <c r="A425" s="20" t="s">
        <v>323</v>
      </c>
      <c r="B425" s="20">
        <v>689</v>
      </c>
      <c r="C425" s="20" t="str">
        <f t="shared" si="7"/>
        <v>CD56-m689</v>
      </c>
      <c r="D425" s="3">
        <v>10.2692</v>
      </c>
    </row>
    <row r="426" spans="1:4">
      <c r="A426" s="20" t="s">
        <v>323</v>
      </c>
      <c r="B426" s="20">
        <v>690</v>
      </c>
      <c r="C426" s="20" t="str">
        <f t="shared" si="7"/>
        <v>CD56-m690</v>
      </c>
      <c r="D426" s="3">
        <v>16.9117</v>
      </c>
    </row>
    <row r="427" spans="1:4">
      <c r="A427" s="20" t="s">
        <v>323</v>
      </c>
      <c r="B427" s="20">
        <v>691</v>
      </c>
      <c r="C427" s="20" t="str">
        <f t="shared" si="7"/>
        <v>CD56-m691</v>
      </c>
      <c r="D427" s="3">
        <v>20.060600000000001</v>
      </c>
    </row>
    <row r="428" spans="1:4">
      <c r="A428" s="20" t="s">
        <v>323</v>
      </c>
      <c r="B428" s="20">
        <v>601</v>
      </c>
      <c r="C428" s="20" t="str">
        <f t="shared" ref="C428:C462" si="8">_xlfn.CONCAT(A428,"-m",B428)</f>
        <v>CD56-m601</v>
      </c>
      <c r="D428" s="3">
        <v>40.902200000000001</v>
      </c>
    </row>
    <row r="429" spans="1:4">
      <c r="A429" s="20" t="s">
        <v>323</v>
      </c>
      <c r="B429" s="20">
        <v>605</v>
      </c>
      <c r="C429" s="20" t="str">
        <f t="shared" si="8"/>
        <v>CD56-m605</v>
      </c>
      <c r="D429" s="3">
        <v>39.447299999999998</v>
      </c>
    </row>
    <row r="430" spans="1:4">
      <c r="A430" s="20" t="s">
        <v>323</v>
      </c>
      <c r="B430" s="20">
        <v>606</v>
      </c>
      <c r="C430" s="20" t="str">
        <f t="shared" si="8"/>
        <v>CD56-m606</v>
      </c>
      <c r="D430" s="3">
        <v>50.455199999999998</v>
      </c>
    </row>
    <row r="431" spans="1:4">
      <c r="A431" s="20" t="s">
        <v>323</v>
      </c>
      <c r="B431" s="20">
        <v>603</v>
      </c>
      <c r="C431" s="20" t="str">
        <f t="shared" si="8"/>
        <v>CD56-m603</v>
      </c>
      <c r="D431" s="3">
        <v>14.7349</v>
      </c>
    </row>
    <row r="432" spans="1:4">
      <c r="A432" s="20" t="s">
        <v>323</v>
      </c>
      <c r="B432" s="20">
        <v>611</v>
      </c>
      <c r="C432" s="20" t="str">
        <f t="shared" si="8"/>
        <v>CD56-m611</v>
      </c>
      <c r="D432" s="3">
        <v>41.432400000000001</v>
      </c>
    </row>
    <row r="433" spans="1:4">
      <c r="A433" s="20" t="s">
        <v>323</v>
      </c>
      <c r="B433" s="20">
        <v>617</v>
      </c>
      <c r="C433" s="20" t="str">
        <f t="shared" si="8"/>
        <v>CD56-m617</v>
      </c>
      <c r="D433" s="3">
        <v>116.136</v>
      </c>
    </row>
    <row r="434" spans="1:4">
      <c r="A434" s="20" t="s">
        <v>323</v>
      </c>
      <c r="B434" s="20">
        <v>637</v>
      </c>
      <c r="C434" s="20" t="str">
        <f t="shared" si="8"/>
        <v>CD56-m637</v>
      </c>
      <c r="D434" s="3">
        <v>25.121200000000002</v>
      </c>
    </row>
    <row r="435" spans="1:4">
      <c r="A435" s="20" t="s">
        <v>323</v>
      </c>
      <c r="B435" s="20">
        <v>645</v>
      </c>
      <c r="C435" s="20" t="str">
        <f t="shared" si="8"/>
        <v>CD56-m645</v>
      </c>
      <c r="D435" s="3">
        <v>29.654199999999999</v>
      </c>
    </row>
    <row r="436" spans="1:4">
      <c r="A436" s="20" t="s">
        <v>323</v>
      </c>
      <c r="B436" s="20">
        <v>650</v>
      </c>
      <c r="C436" s="20" t="str">
        <f t="shared" si="8"/>
        <v>CD56-m650</v>
      </c>
      <c r="D436" s="3">
        <v>3.7000999999999999</v>
      </c>
    </row>
    <row r="437" spans="1:4">
      <c r="A437" s="20" t="s">
        <v>323</v>
      </c>
      <c r="B437" s="20">
        <v>657</v>
      </c>
      <c r="C437" s="20" t="str">
        <f t="shared" si="8"/>
        <v>CD56-m657</v>
      </c>
      <c r="D437" s="3">
        <v>71.082999999999998</v>
      </c>
    </row>
    <row r="438" spans="1:4">
      <c r="A438" s="20" t="s">
        <v>323</v>
      </c>
      <c r="B438" s="20">
        <v>647</v>
      </c>
      <c r="C438" s="20" t="str">
        <f t="shared" si="8"/>
        <v>CD56-m647</v>
      </c>
      <c r="D438" s="3">
        <v>42.023600000000002</v>
      </c>
    </row>
    <row r="439" spans="1:4">
      <c r="A439" s="20" t="s">
        <v>323</v>
      </c>
      <c r="B439" s="20">
        <v>665</v>
      </c>
      <c r="C439" s="20" t="str">
        <f t="shared" si="8"/>
        <v>CD56-m665</v>
      </c>
      <c r="D439" s="3">
        <v>36.6494</v>
      </c>
    </row>
    <row r="440" spans="1:4">
      <c r="A440" s="20" t="s">
        <v>323</v>
      </c>
      <c r="B440" s="20">
        <v>668</v>
      </c>
      <c r="C440" s="20" t="str">
        <f t="shared" si="8"/>
        <v>CD56-m668</v>
      </c>
      <c r="D440" s="3">
        <v>10.738799999999999</v>
      </c>
    </row>
    <row r="441" spans="1:4">
      <c r="A441" s="20" t="s">
        <v>323</v>
      </c>
      <c r="B441" s="20">
        <v>692</v>
      </c>
      <c r="C441" s="20" t="str">
        <f t="shared" si="8"/>
        <v>CD56-m692</v>
      </c>
      <c r="D441" s="3">
        <v>36.243200000000002</v>
      </c>
    </row>
    <row r="442" spans="1:4">
      <c r="A442" s="20" t="s">
        <v>323</v>
      </c>
      <c r="B442" s="20">
        <v>693</v>
      </c>
      <c r="C442" s="20" t="str">
        <f t="shared" si="8"/>
        <v>CD56-m693</v>
      </c>
      <c r="D442" s="3">
        <v>10.2287</v>
      </c>
    </row>
    <row r="443" spans="1:4">
      <c r="A443" s="20" t="s">
        <v>323</v>
      </c>
      <c r="B443" s="20">
        <v>694</v>
      </c>
      <c r="C443" s="20" t="str">
        <f t="shared" si="8"/>
        <v>CD56-m694</v>
      </c>
      <c r="D443" s="3">
        <v>16.336600000000001</v>
      </c>
    </row>
    <row r="444" spans="1:4">
      <c r="A444" s="20" t="s">
        <v>323</v>
      </c>
      <c r="B444" s="20">
        <v>695</v>
      </c>
      <c r="C444" s="20" t="str">
        <f t="shared" si="8"/>
        <v>CD56-m695</v>
      </c>
      <c r="D444" s="3">
        <v>5.3825000000000003</v>
      </c>
    </row>
    <row r="445" spans="1:4">
      <c r="A445" s="20" t="s">
        <v>323</v>
      </c>
      <c r="B445" s="20">
        <v>696</v>
      </c>
      <c r="C445" s="20" t="str">
        <f t="shared" si="8"/>
        <v>CD56-m696</v>
      </c>
      <c r="D445" s="3">
        <v>24.215199999999999</v>
      </c>
    </row>
    <row r="446" spans="1:4">
      <c r="A446" s="20" t="s">
        <v>323</v>
      </c>
      <c r="B446" s="20">
        <v>697</v>
      </c>
      <c r="C446" s="20" t="str">
        <f t="shared" si="8"/>
        <v>CD56-m697</v>
      </c>
      <c r="D446" s="3">
        <v>27.779900000000001</v>
      </c>
    </row>
    <row r="447" spans="1:4">
      <c r="A447" s="20" t="s">
        <v>323</v>
      </c>
      <c r="B447" s="20">
        <v>698</v>
      </c>
      <c r="C447" s="20" t="str">
        <f t="shared" si="8"/>
        <v>CD56-m698</v>
      </c>
      <c r="D447" s="3">
        <v>22.4117</v>
      </c>
    </row>
    <row r="448" spans="1:4">
      <c r="A448" s="20" t="s">
        <v>323</v>
      </c>
      <c r="B448" s="20">
        <v>699</v>
      </c>
      <c r="C448" s="20" t="str">
        <f t="shared" si="8"/>
        <v>CD56-m699</v>
      </c>
      <c r="D448" s="3">
        <v>41.7348</v>
      </c>
    </row>
    <row r="449" spans="1:4">
      <c r="A449" s="20" t="s">
        <v>323</v>
      </c>
      <c r="B449" s="20">
        <v>700</v>
      </c>
      <c r="C449" s="20" t="str">
        <f t="shared" si="8"/>
        <v>CD56-m700</v>
      </c>
      <c r="D449" s="3">
        <v>28.9849</v>
      </c>
    </row>
    <row r="450" spans="1:4">
      <c r="A450" s="20" t="s">
        <v>323</v>
      </c>
      <c r="B450" s="20">
        <v>701</v>
      </c>
      <c r="C450" s="20" t="str">
        <f t="shared" si="8"/>
        <v>CD56-m701</v>
      </c>
      <c r="D450" s="3">
        <v>57.377099999999999</v>
      </c>
    </row>
    <row r="451" spans="1:4">
      <c r="A451" s="20" t="s">
        <v>323</v>
      </c>
      <c r="B451" s="20">
        <v>702</v>
      </c>
      <c r="C451" s="20" t="str">
        <f t="shared" si="8"/>
        <v>CD56-m702</v>
      </c>
      <c r="D451" s="3">
        <v>43.780799999999999</v>
      </c>
    </row>
    <row r="452" spans="1:4">
      <c r="A452" s="20" t="s">
        <v>323</v>
      </c>
      <c r="B452" s="20">
        <v>612</v>
      </c>
      <c r="C452" s="20" t="str">
        <f t="shared" si="8"/>
        <v>CD56-m612</v>
      </c>
      <c r="D452" s="3">
        <v>4.5499999999999999E-2</v>
      </c>
    </row>
    <row r="453" spans="1:4">
      <c r="A453" s="20" t="s">
        <v>323</v>
      </c>
      <c r="B453" s="20">
        <v>620</v>
      </c>
      <c r="C453" s="20" t="str">
        <f t="shared" si="8"/>
        <v>CD56-m620</v>
      </c>
      <c r="D453" s="3">
        <v>1.6E-2</v>
      </c>
    </row>
    <row r="454" spans="1:4">
      <c r="A454" s="20" t="s">
        <v>323</v>
      </c>
      <c r="B454" s="20">
        <v>618</v>
      </c>
      <c r="C454" s="20" t="str">
        <f t="shared" si="8"/>
        <v>CD56-m618</v>
      </c>
      <c r="D454" s="3">
        <v>6.7999999999999996E-3</v>
      </c>
    </row>
    <row r="455" spans="1:4">
      <c r="A455" s="20" t="s">
        <v>323</v>
      </c>
      <c r="B455" s="20">
        <v>666</v>
      </c>
      <c r="C455" s="20" t="str">
        <f t="shared" si="8"/>
        <v>CD56-m666</v>
      </c>
      <c r="D455" s="3">
        <v>6.1600000000000002E-2</v>
      </c>
    </row>
    <row r="456" spans="1:4">
      <c r="A456" s="20" t="s">
        <v>323</v>
      </c>
      <c r="B456" s="20">
        <v>669</v>
      </c>
      <c r="C456" s="20" t="str">
        <f t="shared" si="8"/>
        <v>CD56-m669</v>
      </c>
      <c r="D456" s="3">
        <v>5.0299999999999997E-2</v>
      </c>
    </row>
    <row r="457" spans="1:4">
      <c r="A457" s="20" t="s">
        <v>323</v>
      </c>
      <c r="B457" s="20">
        <v>676</v>
      </c>
      <c r="C457" s="20" t="str">
        <f t="shared" si="8"/>
        <v>CD56-m676</v>
      </c>
      <c r="D457" s="3">
        <v>1.3100000000000001E-2</v>
      </c>
    </row>
    <row r="458" spans="1:4">
      <c r="A458" s="20" t="s">
        <v>323</v>
      </c>
      <c r="B458" s="20">
        <v>680</v>
      </c>
      <c r="C458" s="20" t="str">
        <f t="shared" si="8"/>
        <v>CD56-m680</v>
      </c>
      <c r="D458" s="3">
        <v>1.0999999999999999E-2</v>
      </c>
    </row>
    <row r="459" spans="1:4">
      <c r="A459" s="20" t="s">
        <v>323</v>
      </c>
      <c r="B459" s="20">
        <v>714</v>
      </c>
      <c r="C459" s="20" t="str">
        <f t="shared" si="8"/>
        <v>CD56-m714</v>
      </c>
      <c r="D459" s="3">
        <v>7.1999999999999998E-3</v>
      </c>
    </row>
    <row r="460" spans="1:4">
      <c r="A460" s="20" t="s">
        <v>323</v>
      </c>
      <c r="B460" s="20">
        <v>715</v>
      </c>
      <c r="C460" s="20" t="str">
        <f t="shared" si="8"/>
        <v>CD56-m715</v>
      </c>
      <c r="D460" s="3">
        <v>6.7999999999999996E-3</v>
      </c>
    </row>
    <row r="461" spans="1:4">
      <c r="A461" s="20" t="s">
        <v>323</v>
      </c>
      <c r="B461" s="20">
        <v>716</v>
      </c>
      <c r="C461" s="20" t="str">
        <f t="shared" si="8"/>
        <v>CD56-m716</v>
      </c>
      <c r="D461" s="3">
        <v>6.7999999999999996E-3</v>
      </c>
    </row>
    <row r="462" spans="1:4">
      <c r="A462" s="20" t="s">
        <v>323</v>
      </c>
      <c r="B462" s="20">
        <v>717</v>
      </c>
      <c r="C462" s="20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2-783D-BC46-84A3-53A116E48E93}">
  <dimension ref="A1:E66"/>
  <sheetViews>
    <sheetView workbookViewId="0">
      <selection activeCell="C49" sqref="C49"/>
    </sheetView>
  </sheetViews>
  <sheetFormatPr baseColWidth="10" defaultRowHeight="16"/>
  <cols>
    <col min="1" max="1" width="13.1640625" bestFit="1" customWidth="1"/>
    <col min="2" max="2" width="14.5" customWidth="1"/>
    <col min="3" max="3" width="23.83203125" customWidth="1"/>
  </cols>
  <sheetData>
    <row r="1" spans="1:5" ht="17">
      <c r="A1" s="17" t="s">
        <v>259</v>
      </c>
      <c r="B1" s="17" t="s">
        <v>49</v>
      </c>
      <c r="C1" s="17" t="s">
        <v>75</v>
      </c>
      <c r="D1" s="17" t="s">
        <v>76</v>
      </c>
      <c r="E1" s="17" t="s">
        <v>77</v>
      </c>
    </row>
    <row r="2" spans="1:5" ht="17">
      <c r="A2" s="18" t="s">
        <v>336</v>
      </c>
      <c r="B2" s="22">
        <f>VLOOKUP(A2,Expression!$C$1:$D$462,2,FALSE)</f>
        <v>72.207400000000007</v>
      </c>
      <c r="C2" s="16">
        <v>3</v>
      </c>
      <c r="E2" s="16">
        <v>1</v>
      </c>
    </row>
    <row r="3" spans="1:5" ht="17">
      <c r="A3" s="18" t="s">
        <v>337</v>
      </c>
      <c r="B3" s="22">
        <f>VLOOKUP(A3,Expression!$C$1:$D$462,2,FALSE)</f>
        <v>66.601600000000005</v>
      </c>
      <c r="C3" s="16">
        <v>2</v>
      </c>
      <c r="E3" s="16">
        <v>1</v>
      </c>
    </row>
    <row r="4" spans="1:5" ht="17">
      <c r="A4" s="18" t="s">
        <v>338</v>
      </c>
      <c r="B4" s="22">
        <f>VLOOKUP(A4,Expression!$C$1:$D$462,2,FALSE)</f>
        <v>81.611900000000006</v>
      </c>
      <c r="C4" s="16">
        <v>3</v>
      </c>
      <c r="E4" s="16">
        <v>1</v>
      </c>
    </row>
    <row r="5" spans="1:5" ht="17">
      <c r="A5" s="18" t="s">
        <v>339</v>
      </c>
      <c r="B5" s="22">
        <f>VLOOKUP(A5,Expression!$C$1:$D$462,2,FALSE)</f>
        <v>59.385199999999998</v>
      </c>
      <c r="C5" s="16">
        <v>2</v>
      </c>
      <c r="E5" s="16">
        <v>1</v>
      </c>
    </row>
    <row r="6" spans="1:5" ht="17">
      <c r="A6" s="18" t="s">
        <v>340</v>
      </c>
      <c r="B6" s="22">
        <f>VLOOKUP(A6,Expression!$C$1:$D$462,2,FALSE)</f>
        <v>69.786600000000007</v>
      </c>
      <c r="C6" s="16">
        <v>3</v>
      </c>
      <c r="E6" s="16">
        <v>1</v>
      </c>
    </row>
    <row r="7" spans="1:5" ht="17">
      <c r="A7" s="18" t="s">
        <v>341</v>
      </c>
      <c r="B7" s="22">
        <f>VLOOKUP(A7,Expression!$C$1:$D$462,2,FALSE)</f>
        <v>71.588899999999995</v>
      </c>
      <c r="C7" s="16">
        <v>2</v>
      </c>
      <c r="E7" s="16">
        <v>1</v>
      </c>
    </row>
    <row r="8" spans="1:5" ht="17">
      <c r="A8" s="18" t="s">
        <v>342</v>
      </c>
      <c r="B8" s="22">
        <f>VLOOKUP(A8,Expression!$C$1:$D$462,2,FALSE)</f>
        <v>48.267899999999997</v>
      </c>
      <c r="C8" s="16">
        <v>3</v>
      </c>
      <c r="E8" s="16">
        <v>1</v>
      </c>
    </row>
    <row r="9" spans="1:5" ht="17">
      <c r="A9" s="18" t="s">
        <v>343</v>
      </c>
      <c r="B9" s="22">
        <f>VLOOKUP(A9,Expression!$C$1:$D$462,2,FALSE)</f>
        <v>87.125699999999995</v>
      </c>
      <c r="C9" s="16">
        <v>7</v>
      </c>
      <c r="E9" s="16">
        <v>1</v>
      </c>
    </row>
    <row r="10" spans="1:5" ht="17">
      <c r="A10" s="18" t="s">
        <v>344</v>
      </c>
      <c r="B10" s="22">
        <f>VLOOKUP(A10,Expression!$C$1:$D$462,2,FALSE)</f>
        <v>74.036299999999997</v>
      </c>
      <c r="C10" s="16">
        <v>5</v>
      </c>
      <c r="E10" s="16">
        <v>1</v>
      </c>
    </row>
    <row r="11" spans="1:5" ht="17">
      <c r="A11" s="18" t="s">
        <v>345</v>
      </c>
      <c r="B11" s="22">
        <f>VLOOKUP(A11,Expression!$C$1:$D$462,2,FALSE)</f>
        <v>46.3611</v>
      </c>
      <c r="C11" s="16">
        <v>5</v>
      </c>
      <c r="E11" s="16">
        <v>1</v>
      </c>
    </row>
    <row r="12" spans="1:5" ht="17">
      <c r="A12" s="18"/>
      <c r="B12" s="22"/>
      <c r="C12" s="16"/>
      <c r="D12" s="16"/>
      <c r="E12" s="16"/>
    </row>
    <row r="13" spans="1:5" ht="17">
      <c r="A13" s="18"/>
      <c r="B13" s="22"/>
      <c r="C13" s="16"/>
      <c r="D13" s="16"/>
      <c r="E13" s="16"/>
    </row>
    <row r="14" spans="1:5" ht="17">
      <c r="A14" s="18"/>
      <c r="B14" s="22"/>
      <c r="C14" s="16"/>
      <c r="D14" s="16"/>
      <c r="E14" s="16"/>
    </row>
    <row r="15" spans="1:5" ht="17">
      <c r="A15" s="18"/>
      <c r="B15" s="22"/>
      <c r="C15" s="16"/>
      <c r="D15" s="16"/>
      <c r="E15" s="16"/>
    </row>
    <row r="16" spans="1:5" ht="17">
      <c r="A16" s="18"/>
      <c r="B16" s="22"/>
      <c r="C16" s="16"/>
      <c r="D16" s="16"/>
      <c r="E16" s="16"/>
    </row>
    <row r="17" spans="1:5" ht="17">
      <c r="A17" s="18"/>
      <c r="B17" s="22"/>
      <c r="C17" s="16"/>
      <c r="D17" s="16"/>
      <c r="E17" s="16"/>
    </row>
    <row r="18" spans="1:5" ht="17">
      <c r="A18" s="18"/>
      <c r="B18" s="22"/>
      <c r="C18" s="16"/>
      <c r="D18" s="16"/>
      <c r="E18" s="16"/>
    </row>
    <row r="19" spans="1:5" ht="17">
      <c r="A19" s="18"/>
      <c r="B19" s="22"/>
      <c r="C19" s="16"/>
      <c r="D19" s="16"/>
      <c r="E19" s="16"/>
    </row>
    <row r="20" spans="1:5" ht="17">
      <c r="A20" s="18"/>
      <c r="B20" s="22"/>
      <c r="C20" s="16"/>
      <c r="D20" s="16"/>
      <c r="E20" s="16"/>
    </row>
    <row r="21" spans="1:5" ht="17">
      <c r="A21" s="18"/>
      <c r="B21" s="22"/>
      <c r="C21" s="16"/>
      <c r="D21" s="16"/>
      <c r="E21" s="16"/>
    </row>
    <row r="22" spans="1:5" ht="17">
      <c r="A22" s="18"/>
      <c r="B22" s="22"/>
      <c r="C22" s="16"/>
      <c r="D22" s="16"/>
      <c r="E22" s="16"/>
    </row>
    <row r="23" spans="1:5" ht="17">
      <c r="A23" s="18"/>
      <c r="B23" s="22"/>
      <c r="C23" s="16"/>
      <c r="D23" s="16"/>
      <c r="E23" s="16"/>
    </row>
    <row r="24" spans="1:5" ht="17">
      <c r="A24" s="18"/>
      <c r="B24" s="22"/>
      <c r="C24" s="16"/>
      <c r="D24" s="16"/>
      <c r="E24" s="16"/>
    </row>
    <row r="25" spans="1:5" ht="17">
      <c r="A25" s="18"/>
      <c r="B25" s="22"/>
      <c r="C25" s="16"/>
      <c r="D25" s="16"/>
      <c r="E25" s="16"/>
    </row>
    <row r="26" spans="1:5" ht="17">
      <c r="A26" s="18"/>
      <c r="B26" s="22"/>
      <c r="C26" s="16"/>
      <c r="D26" s="16"/>
      <c r="E26" s="16"/>
    </row>
    <row r="27" spans="1:5" ht="17">
      <c r="A27" s="18"/>
      <c r="B27" s="22"/>
      <c r="C27" s="16"/>
      <c r="D27" s="16"/>
      <c r="E27" s="16"/>
    </row>
    <row r="28" spans="1:5" ht="17">
      <c r="A28" s="18"/>
      <c r="B28" s="22"/>
      <c r="C28" s="16"/>
      <c r="D28" s="16"/>
      <c r="E28" s="16"/>
    </row>
    <row r="29" spans="1:5" ht="17">
      <c r="A29" s="18"/>
      <c r="B29" s="22"/>
      <c r="C29" s="16"/>
      <c r="D29" s="16"/>
      <c r="E29" s="16"/>
    </row>
    <row r="30" spans="1:5" ht="17">
      <c r="A30" s="18"/>
      <c r="B30" s="22"/>
      <c r="C30" s="16"/>
      <c r="D30" s="16"/>
      <c r="E30" s="16"/>
    </row>
    <row r="31" spans="1:5" ht="17">
      <c r="A31" s="18"/>
      <c r="B31" s="22"/>
      <c r="C31" s="16"/>
      <c r="D31" s="16"/>
      <c r="E31" s="16"/>
    </row>
    <row r="32" spans="1:5" ht="17">
      <c r="A32" s="18"/>
      <c r="B32" s="22"/>
      <c r="C32" s="16"/>
      <c r="D32" s="16"/>
      <c r="E32" s="16"/>
    </row>
    <row r="33" spans="1:5" ht="17">
      <c r="A33" s="18"/>
      <c r="B33" s="22"/>
      <c r="C33" s="16"/>
      <c r="D33" s="16"/>
      <c r="E33" s="16"/>
    </row>
    <row r="34" spans="1:5" ht="17">
      <c r="A34" s="18"/>
      <c r="B34" s="22"/>
      <c r="C34" s="16"/>
      <c r="D34" s="16"/>
      <c r="E34" s="16"/>
    </row>
    <row r="35" spans="1:5" ht="17">
      <c r="A35" s="18"/>
      <c r="B35" s="22"/>
      <c r="C35" s="16"/>
      <c r="D35" s="16"/>
      <c r="E35" s="16"/>
    </row>
    <row r="36" spans="1:5" ht="17">
      <c r="A36" s="18"/>
      <c r="B36" s="22"/>
      <c r="C36" s="16"/>
      <c r="D36" s="16"/>
      <c r="E36" s="16"/>
    </row>
    <row r="37" spans="1:5" ht="17">
      <c r="A37" s="18"/>
      <c r="B37" s="22"/>
      <c r="C37" s="16"/>
      <c r="D37" s="16"/>
      <c r="E37" s="16"/>
    </row>
    <row r="38" spans="1:5" ht="17">
      <c r="A38" s="18"/>
      <c r="B38" s="22"/>
      <c r="C38" s="16"/>
      <c r="D38" s="16"/>
      <c r="E38" s="16"/>
    </row>
    <row r="39" spans="1:5" ht="17">
      <c r="A39" s="18"/>
      <c r="B39" s="22"/>
      <c r="C39" s="16"/>
      <c r="D39" s="16"/>
      <c r="E39" s="16"/>
    </row>
    <row r="40" spans="1:5" ht="17">
      <c r="A40" s="18"/>
      <c r="B40" s="22"/>
      <c r="C40" s="16"/>
      <c r="D40" s="16"/>
      <c r="E40" s="16"/>
    </row>
    <row r="41" spans="1:5" ht="17">
      <c r="A41" s="18"/>
      <c r="B41" s="22"/>
      <c r="C41" s="16"/>
      <c r="D41" s="16"/>
      <c r="E41" s="16"/>
    </row>
    <row r="42" spans="1:5" ht="17">
      <c r="A42" s="18"/>
      <c r="B42" s="22"/>
      <c r="C42" s="16"/>
      <c r="D42" s="16"/>
      <c r="E42" s="16"/>
    </row>
    <row r="43" spans="1:5" ht="17">
      <c r="A43" s="18"/>
      <c r="B43" s="22"/>
      <c r="C43" s="16"/>
      <c r="D43" s="16"/>
      <c r="E43" s="16"/>
    </row>
    <row r="44" spans="1:5" ht="17">
      <c r="A44" s="18"/>
      <c r="B44" s="22"/>
      <c r="C44" s="16"/>
      <c r="D44" s="16"/>
      <c r="E44" s="16"/>
    </row>
    <row r="45" spans="1:5" ht="17">
      <c r="A45" s="18"/>
      <c r="B45" s="22"/>
      <c r="C45" s="16"/>
      <c r="D45" s="16"/>
      <c r="E45" s="16"/>
    </row>
    <row r="46" spans="1:5" ht="17">
      <c r="A46" s="18"/>
      <c r="B46" s="22"/>
      <c r="C46" s="16"/>
      <c r="D46" s="16"/>
      <c r="E46" s="16"/>
    </row>
    <row r="47" spans="1:5" ht="17">
      <c r="A47" s="18"/>
      <c r="B47" s="22"/>
      <c r="C47" s="16"/>
      <c r="D47" s="16"/>
      <c r="E47" s="16"/>
    </row>
    <row r="48" spans="1:5" ht="17">
      <c r="A48" s="18"/>
      <c r="B48" s="22"/>
      <c r="C48" s="16"/>
      <c r="D48" s="16"/>
      <c r="E48" s="16"/>
    </row>
    <row r="49" spans="1:5" ht="17">
      <c r="A49" s="18"/>
      <c r="B49" s="22"/>
      <c r="C49" s="16"/>
      <c r="D49" s="16"/>
      <c r="E49" s="16"/>
    </row>
    <row r="50" spans="1:5" ht="17">
      <c r="A50" s="18"/>
      <c r="B50" s="22"/>
      <c r="C50" s="16"/>
      <c r="D50" s="16"/>
      <c r="E50" s="16"/>
    </row>
    <row r="51" spans="1:5" ht="17">
      <c r="A51" s="18"/>
      <c r="B51" s="22"/>
      <c r="C51" s="16"/>
      <c r="D51" s="16"/>
      <c r="E51" s="16"/>
    </row>
    <row r="52" spans="1:5" ht="17">
      <c r="A52" s="18"/>
      <c r="B52" s="22"/>
      <c r="C52" s="16"/>
      <c r="D52" s="16"/>
      <c r="E52" s="16"/>
    </row>
    <row r="53" spans="1:5" ht="17">
      <c r="A53" s="18"/>
      <c r="B53" s="22"/>
      <c r="C53" s="16"/>
      <c r="D53" s="16"/>
      <c r="E53" s="16"/>
    </row>
    <row r="54" spans="1:5" ht="17">
      <c r="A54" s="18"/>
      <c r="B54" s="22"/>
      <c r="C54" s="16"/>
      <c r="D54" s="16"/>
      <c r="E54" s="16"/>
    </row>
    <row r="55" spans="1:5" ht="17">
      <c r="A55" s="18"/>
      <c r="B55" s="22"/>
      <c r="C55" s="16"/>
      <c r="D55" s="16"/>
      <c r="E55" s="16"/>
    </row>
    <row r="56" spans="1:5" ht="19">
      <c r="A56" s="8"/>
      <c r="B56" s="22"/>
      <c r="C56" s="16"/>
      <c r="E56" s="16"/>
    </row>
    <row r="57" spans="1:5" ht="17">
      <c r="A57" s="18"/>
      <c r="B57" s="22"/>
      <c r="C57" s="16"/>
      <c r="E57" s="16"/>
    </row>
    <row r="58" spans="1:5" ht="17">
      <c r="A58" s="18"/>
      <c r="B58" s="22"/>
      <c r="C58" s="16"/>
      <c r="E58" s="16"/>
    </row>
    <row r="59" spans="1:5" ht="17">
      <c r="A59" s="18"/>
      <c r="B59" s="22"/>
      <c r="C59" s="16"/>
      <c r="E59" s="16"/>
    </row>
    <row r="60" spans="1:5" ht="17">
      <c r="A60" s="18"/>
      <c r="B60" s="22"/>
      <c r="C60" s="16"/>
      <c r="E60" s="16"/>
    </row>
    <row r="61" spans="1:5" ht="17">
      <c r="A61" s="18"/>
      <c r="B61" s="22"/>
      <c r="C61" s="16"/>
      <c r="E61" s="16"/>
    </row>
    <row r="62" spans="1:5" ht="17">
      <c r="A62" s="18"/>
      <c r="B62" s="22"/>
      <c r="C62" s="16"/>
      <c r="E62" s="16"/>
    </row>
    <row r="63" spans="1:5" ht="17">
      <c r="A63" s="18"/>
      <c r="B63" s="22"/>
      <c r="C63" s="16"/>
      <c r="E63" s="16"/>
    </row>
    <row r="64" spans="1:5" ht="17">
      <c r="A64" s="18"/>
      <c r="B64" s="22"/>
      <c r="C64" s="16"/>
      <c r="E64" s="16"/>
    </row>
    <row r="65" spans="1:5" ht="17">
      <c r="A65" s="18"/>
      <c r="B65" s="22"/>
      <c r="C65" s="16"/>
      <c r="E65" s="16"/>
    </row>
    <row r="66" spans="1:5" ht="17">
      <c r="A66" s="18"/>
      <c r="B66" s="22"/>
      <c r="C66" s="16"/>
      <c r="E66" s="16"/>
    </row>
  </sheetData>
  <autoFilter ref="A1:E1" xr:uid="{4B684DB2-783D-BC46-84A3-53A116E48E9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34"/>
  <sheetViews>
    <sheetView workbookViewId="0">
      <selection sqref="A1:B11"/>
    </sheetView>
  </sheetViews>
  <sheetFormatPr baseColWidth="10" defaultRowHeight="16"/>
  <cols>
    <col min="1" max="1" width="11.6640625" bestFit="1" customWidth="1"/>
  </cols>
  <sheetData>
    <row r="1" spans="1:2">
      <c r="A1" t="s">
        <v>325</v>
      </c>
      <c r="B1" t="s">
        <v>326</v>
      </c>
    </row>
    <row r="2" spans="1:2">
      <c r="A2" t="s">
        <v>336</v>
      </c>
      <c r="B2">
        <v>15</v>
      </c>
    </row>
    <row r="3" spans="1:2">
      <c r="A3" t="s">
        <v>337</v>
      </c>
      <c r="B3">
        <v>21</v>
      </c>
    </row>
    <row r="4" spans="1:2">
      <c r="A4" t="s">
        <v>338</v>
      </c>
      <c r="B4">
        <v>23</v>
      </c>
    </row>
    <row r="5" spans="1:2">
      <c r="A5" t="s">
        <v>339</v>
      </c>
      <c r="B5">
        <v>18</v>
      </c>
    </row>
    <row r="6" spans="1:2">
      <c r="A6" t="s">
        <v>340</v>
      </c>
      <c r="B6">
        <v>17</v>
      </c>
    </row>
    <row r="7" spans="1:2">
      <c r="A7" t="s">
        <v>341</v>
      </c>
      <c r="B7">
        <v>23</v>
      </c>
    </row>
    <row r="8" spans="1:2">
      <c r="A8" t="s">
        <v>342</v>
      </c>
    </row>
    <row r="9" spans="1:2">
      <c r="A9" t="s">
        <v>343</v>
      </c>
      <c r="B9">
        <v>24</v>
      </c>
    </row>
    <row r="10" spans="1:2">
      <c r="A10" t="s">
        <v>344</v>
      </c>
      <c r="B10">
        <v>17</v>
      </c>
    </row>
    <row r="11" spans="1:2">
      <c r="A11" t="s">
        <v>345</v>
      </c>
      <c r="B11">
        <v>23</v>
      </c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RV Haplotypes Edited</vt:lpstr>
      <vt:lpstr>RD Haplotypes</vt:lpstr>
      <vt:lpstr>RV Hap Count</vt:lpstr>
      <vt:lpstr>RV Escape Paths</vt:lpstr>
      <vt:lpstr>RD Raw 0.1</vt:lpstr>
      <vt:lpstr>survival</vt:lpstr>
      <vt:lpstr>Expression</vt:lpstr>
      <vt:lpstr>RV Survival Analysis</vt:lpstr>
      <vt:lpstr>sequencing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2025-03-24T17:34:48Z</dcterms:modified>
</cp:coreProperties>
</file>