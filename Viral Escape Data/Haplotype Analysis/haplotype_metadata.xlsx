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Bioinformatics/Escapability/Escapability Score/Haplotype Analysis/"/>
    </mc:Choice>
  </mc:AlternateContent>
  <xr:revisionPtr revIDLastSave="0" documentId="13_ncr:1_{946FE6AA-0A55-0E42-82CE-08DE0484B8B9}" xr6:coauthVersionLast="47" xr6:coauthVersionMax="47" xr10:uidLastSave="{00000000-0000-0000-0000-000000000000}"/>
  <bookViews>
    <workbookView xWindow="28560" yWindow="3180" windowWidth="27700" windowHeight="16940" activeTab="3" xr2:uid="{87F47887-7D1A-FB44-A2EB-03F978B80630}"/>
  </bookViews>
  <sheets>
    <sheet name="sequencing metadata" sheetId="1" r:id="rId1"/>
    <sheet name="expression" sheetId="2" r:id="rId2"/>
    <sheet name="setpoint vl" sheetId="3" r:id="rId3"/>
    <sheet name="surviv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2" i="2" l="1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<sst xmlns="http://schemas.openxmlformats.org/spreadsheetml/2006/main" count="878" uniqueCount="329">
  <si>
    <t>sample</t>
  </si>
  <si>
    <t>week</t>
  </si>
  <si>
    <t>CD5-m260</t>
  </si>
  <si>
    <t>CD5-m263</t>
  </si>
  <si>
    <t>CD5-m264</t>
  </si>
  <si>
    <t>CD5-m265</t>
  </si>
  <si>
    <t>CD5-m269</t>
  </si>
  <si>
    <t>CD5-m271</t>
  </si>
  <si>
    <t>CD5-m272</t>
  </si>
  <si>
    <t>CD5-m273</t>
  </si>
  <si>
    <t>CD5-m281</t>
  </si>
  <si>
    <t>CD5-m285</t>
  </si>
  <si>
    <t>CD10-m880</t>
  </si>
  <si>
    <t>CD20-m020</t>
  </si>
  <si>
    <t>CD20-m021</t>
  </si>
  <si>
    <t>CD20-m022</t>
  </si>
  <si>
    <t>CD20-m023</t>
  </si>
  <si>
    <t>CD20-m026</t>
  </si>
  <si>
    <t>CD20-m027</t>
  </si>
  <si>
    <t>CD20-m028</t>
  </si>
  <si>
    <t>CD20-m034</t>
  </si>
  <si>
    <t>CD20-m038</t>
  </si>
  <si>
    <t>CD21-m010</t>
  </si>
  <si>
    <t>CD21-m017</t>
  </si>
  <si>
    <t>CD46-m331</t>
  </si>
  <si>
    <t>CD46-m332</t>
  </si>
  <si>
    <t>CD46-m333</t>
  </si>
  <si>
    <t>CD46-m334</t>
  </si>
  <si>
    <t>CD46-m336</t>
  </si>
  <si>
    <t>CD46-m337</t>
  </si>
  <si>
    <t>CD46-m339</t>
  </si>
  <si>
    <t>CD46-m340</t>
  </si>
  <si>
    <t>CD50-m131</t>
  </si>
  <si>
    <t>CD50-m134</t>
  </si>
  <si>
    <t>CD50-m136</t>
  </si>
  <si>
    <t>CD21-m998</t>
  </si>
  <si>
    <t>CD21-m999</t>
  </si>
  <si>
    <t>CD21-m002</t>
  </si>
  <si>
    <t>CD21-m003</t>
  </si>
  <si>
    <t>CD21-m004</t>
  </si>
  <si>
    <t>CD21-m006</t>
  </si>
  <si>
    <t>CD21-m007</t>
  </si>
  <si>
    <t>CD21-m008</t>
  </si>
  <si>
    <t>CD21-m009</t>
  </si>
  <si>
    <t>CD30-m193</t>
  </si>
  <si>
    <t>CD30-m195</t>
  </si>
  <si>
    <t>CD30-m196</t>
  </si>
  <si>
    <t>CD30-m197</t>
  </si>
  <si>
    <t>CD30-m203</t>
  </si>
  <si>
    <t>CD30-m204</t>
  </si>
  <si>
    <t>CD30-m205</t>
  </si>
  <si>
    <t>CD30-m206</t>
  </si>
  <si>
    <t>CD30-m207</t>
  </si>
  <si>
    <t>CD30-m228</t>
  </si>
  <si>
    <t>CD30-m229</t>
  </si>
  <si>
    <t>CD30-m230</t>
  </si>
  <si>
    <t>CD30-m231</t>
  </si>
  <si>
    <t>CD30-m232</t>
  </si>
  <si>
    <t>CD50-m066</t>
  </si>
  <si>
    <t>CD50-m067</t>
  </si>
  <si>
    <t>CD50-m068</t>
  </si>
  <si>
    <t>CD50-m069</t>
  </si>
  <si>
    <t>CD50-m071</t>
  </si>
  <si>
    <t>CD50-m072</t>
  </si>
  <si>
    <t>CD50-m073</t>
  </si>
  <si>
    <t>CD50-m074</t>
  </si>
  <si>
    <t xml:space="preserve">Experiment </t>
  </si>
  <si>
    <t>Mouse</t>
  </si>
  <si>
    <t>ID</t>
  </si>
  <si>
    <t>Geomean</t>
  </si>
  <si>
    <t>CD5</t>
  </si>
  <si>
    <t>CD10</t>
  </si>
  <si>
    <t>CD20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</si>
  <si>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</si>
  <si>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</si>
  <si>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</si>
  <si>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</si>
  <si>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</si>
  <si>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</si>
  <si>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</si>
  <si>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</si>
  <si>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</si>
  <si>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</si>
  <si>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m029</t>
  </si>
  <si>
    <t>m030</t>
  </si>
  <si>
    <t>m031</t>
  </si>
  <si>
    <t>m032</t>
  </si>
  <si>
    <t>m033</t>
  </si>
  <si>
    <t>m014</t>
  </si>
  <si>
    <t>m016</t>
  </si>
  <si>
    <t>m018</t>
  </si>
  <si>
    <t>m020</t>
  </si>
  <si>
    <t>m021</t>
  </si>
  <si>
    <t>m022</t>
  </si>
  <si>
    <t>m023</t>
  </si>
  <si>
    <t>m026</t>
  </si>
  <si>
    <t>m027</t>
  </si>
  <si>
    <t>m028</t>
  </si>
  <si>
    <t>m034</t>
  </si>
  <si>
    <t>m036</t>
  </si>
  <si>
    <t>m038</t>
  </si>
  <si>
    <t>CD21</t>
  </si>
  <si>
    <t>m998</t>
  </si>
  <si>
    <t>m999</t>
  </si>
  <si>
    <t>m002</t>
  </si>
  <si>
    <t>m003</t>
  </si>
  <si>
    <t>m015</t>
  </si>
  <si>
    <t>m017</t>
  </si>
  <si>
    <t>m019</t>
  </si>
  <si>
    <t>CD27</t>
  </si>
  <si>
    <t>m739</t>
  </si>
  <si>
    <t>m740</t>
  </si>
  <si>
    <t>m741</t>
  </si>
  <si>
    <t>m742</t>
  </si>
  <si>
    <t>m743</t>
  </si>
  <si>
    <t>m744</t>
  </si>
  <si>
    <t>m746</t>
  </si>
  <si>
    <t>m747</t>
  </si>
  <si>
    <t>m773</t>
  </si>
  <si>
    <t>m774</t>
  </si>
  <si>
    <t>m776</t>
  </si>
  <si>
    <t>m777</t>
  </si>
  <si>
    <t>m778</t>
  </si>
  <si>
    <t>m779</t>
  </si>
  <si>
    <t>m780</t>
  </si>
  <si>
    <t>m781</t>
  </si>
  <si>
    <t>m764</t>
  </si>
  <si>
    <t>m765</t>
  </si>
  <si>
    <t>m766</t>
  </si>
  <si>
    <t>m767</t>
  </si>
  <si>
    <t>m768</t>
  </si>
  <si>
    <t>m769</t>
  </si>
  <si>
    <t>m770</t>
  </si>
  <si>
    <t>m772</t>
  </si>
  <si>
    <t>m806</t>
  </si>
  <si>
    <t>m807</t>
  </si>
  <si>
    <t>m808</t>
  </si>
  <si>
    <t>m809</t>
  </si>
  <si>
    <t>m810</t>
  </si>
  <si>
    <t>m791</t>
  </si>
  <si>
    <t>m756</t>
  </si>
  <si>
    <t>m757</t>
  </si>
  <si>
    <t>m748</t>
  </si>
  <si>
    <t>m749</t>
  </si>
  <si>
    <t>m750</t>
  </si>
  <si>
    <t>m751</t>
  </si>
  <si>
    <t>m752</t>
  </si>
  <si>
    <t>m753</t>
  </si>
  <si>
    <t>m754</t>
  </si>
  <si>
    <t>m755</t>
  </si>
  <si>
    <t>m782</t>
  </si>
  <si>
    <t>m783</t>
  </si>
  <si>
    <t>m784</t>
  </si>
  <si>
    <t>m785</t>
  </si>
  <si>
    <t>m786</t>
  </si>
  <si>
    <t>m787</t>
  </si>
  <si>
    <t>m788</t>
  </si>
  <si>
    <t>m789</t>
  </si>
  <si>
    <t>m731</t>
  </si>
  <si>
    <t>m732</t>
  </si>
  <si>
    <t>m733</t>
  </si>
  <si>
    <t>m734</t>
  </si>
  <si>
    <t>m735</t>
  </si>
  <si>
    <t>m736</t>
  </si>
  <si>
    <t>m737</t>
  </si>
  <si>
    <t>m738</t>
  </si>
  <si>
    <t>m758</t>
  </si>
  <si>
    <t>m759</t>
  </si>
  <si>
    <t>m760</t>
  </si>
  <si>
    <t>m761</t>
  </si>
  <si>
    <t>m762</t>
  </si>
  <si>
    <t>m763</t>
  </si>
  <si>
    <t>m804</t>
  </si>
  <si>
    <t>m805</t>
  </si>
  <si>
    <t>m796</t>
  </si>
  <si>
    <t>m797</t>
  </si>
  <si>
    <t>m798</t>
  </si>
  <si>
    <t>m799</t>
  </si>
  <si>
    <t>m800</t>
  </si>
  <si>
    <t>m801</t>
  </si>
  <si>
    <t>m802</t>
  </si>
  <si>
    <t>m803</t>
  </si>
  <si>
    <t>CD30</t>
  </si>
  <si>
    <t>CD46</t>
  </si>
  <si>
    <t>CD50</t>
  </si>
  <si>
    <t>CD56</t>
  </si>
  <si>
    <t>SampleID</t>
  </si>
  <si>
    <t>Count of Value</t>
  </si>
  <si>
    <t>Product of Value2</t>
  </si>
  <si>
    <t>Average of Value2</t>
  </si>
  <si>
    <t>GeoMean</t>
  </si>
  <si>
    <t>CD10-m851</t>
  </si>
  <si>
    <t>CD10-m852</t>
  </si>
  <si>
    <t>CD10-m853</t>
  </si>
  <si>
    <t>CD10-m854</t>
  </si>
  <si>
    <t>CD10-m855</t>
  </si>
  <si>
    <t>CD10-m896</t>
  </si>
  <si>
    <t>CD10-m898</t>
  </si>
  <si>
    <t>CD10-m899</t>
  </si>
  <si>
    <t>CD10-m900</t>
  </si>
  <si>
    <t>CD20-m004</t>
  </si>
  <si>
    <t>CD20-m005</t>
  </si>
  <si>
    <t>CD20-m006</t>
  </si>
  <si>
    <t>CD20-m007</t>
  </si>
  <si>
    <t>CD20-m008</t>
  </si>
  <si>
    <t>CD20-m009</t>
  </si>
  <si>
    <t>CD20-m010</t>
  </si>
  <si>
    <t>CD20-m011</t>
  </si>
  <si>
    <t>CD20-m012</t>
  </si>
  <si>
    <t>CD20-m013</t>
  </si>
  <si>
    <t>CD20-m029</t>
  </si>
  <si>
    <t>CD20-m030</t>
  </si>
  <si>
    <t>CD20-m031</t>
  </si>
  <si>
    <t>CD20-m032</t>
  </si>
  <si>
    <t>CD20-m033</t>
  </si>
  <si>
    <t>Sample</t>
  </si>
  <si>
    <t>Weeks Post-AAV</t>
  </si>
  <si>
    <t>Luciferase</t>
  </si>
  <si>
    <t>VRC07</t>
  </si>
  <si>
    <t>PGDM140</t>
  </si>
  <si>
    <t>N6</t>
  </si>
  <si>
    <t>CD5-m261</t>
  </si>
  <si>
    <t>CD5-m266</t>
  </si>
  <si>
    <t>CD5-m267</t>
  </si>
  <si>
    <t>CD5-m270</t>
  </si>
  <si>
    <t>CD5-m282</t>
  </si>
  <si>
    <t>CD5-m284</t>
  </si>
  <si>
    <t>CD10-m881</t>
  </si>
  <si>
    <t>CD10-m882</t>
  </si>
  <si>
    <t>CD10-m883</t>
  </si>
  <si>
    <t>CD10-m884</t>
  </si>
  <si>
    <t>CD10- m885</t>
  </si>
  <si>
    <t>CD10-m877</t>
  </si>
  <si>
    <t>CD10- m878</t>
  </si>
  <si>
    <t>CD10-m879</t>
  </si>
  <si>
    <t>CD20-m014</t>
  </si>
  <si>
    <t>CD20-m016</t>
  </si>
  <si>
    <t>CD20-m018</t>
  </si>
  <si>
    <t>CD21-m011</t>
  </si>
  <si>
    <t>CD21-m014</t>
  </si>
  <si>
    <t>CD21-m015</t>
  </si>
  <si>
    <t>CD21-m016</t>
  </si>
  <si>
    <t>CD21-m018</t>
  </si>
  <si>
    <t>CD21-m019</t>
  </si>
  <si>
    <t>CD21-m020</t>
  </si>
  <si>
    <t>CD5-m245</t>
  </si>
  <si>
    <t>CD5-m246</t>
  </si>
  <si>
    <t>CD5-m247</t>
  </si>
  <si>
    <t>CD5-m248</t>
  </si>
  <si>
    <t>CD5-m249</t>
  </si>
  <si>
    <t>CD5-m250</t>
  </si>
  <si>
    <t>CD5-m251</t>
  </si>
  <si>
    <t>CD5-m253</t>
  </si>
  <si>
    <t>CD5-m254</t>
  </si>
  <si>
    <t>CD5-m255</t>
  </si>
  <si>
    <t>CD5-m256</t>
  </si>
  <si>
    <t>CD5-m257</t>
  </si>
  <si>
    <t>CD5-m286</t>
  </si>
  <si>
    <t>CD5-m287</t>
  </si>
  <si>
    <t>CD5-m288</t>
  </si>
  <si>
    <t>CD5-m289</t>
  </si>
  <si>
    <t>CD5-m290</t>
  </si>
  <si>
    <t>CD10-m891</t>
  </si>
  <si>
    <t>CD10-m892</t>
  </si>
  <si>
    <t>CD10-m893</t>
  </si>
  <si>
    <t>CD10-m894</t>
  </si>
  <si>
    <t>CD10-m895</t>
  </si>
  <si>
    <t>CD10-m856</t>
  </si>
  <si>
    <t>CD10-m857</t>
  </si>
  <si>
    <t>CD10-m858</t>
  </si>
  <si>
    <t>CD10-m859</t>
  </si>
  <si>
    <t>CD10-m860</t>
  </si>
  <si>
    <t>CD20-m989</t>
  </si>
  <si>
    <t>CD20-m990</t>
  </si>
  <si>
    <t>CD20-m991</t>
  </si>
  <si>
    <t>CD20-m992</t>
  </si>
  <si>
    <t>CD20-m993</t>
  </si>
  <si>
    <t>CD20-m994</t>
  </si>
  <si>
    <t>CD20-m995</t>
  </si>
  <si>
    <t>CD20-m996</t>
  </si>
  <si>
    <t>CD20-m997</t>
  </si>
  <si>
    <t>CD20-m998</t>
  </si>
  <si>
    <t>CD20-m999</t>
  </si>
  <si>
    <t>CD20-m000</t>
  </si>
  <si>
    <t>CD20-m001</t>
  </si>
  <si>
    <t>CD20-m002</t>
  </si>
  <si>
    <t>CD20-m003</t>
  </si>
  <si>
    <t>CD21-m012</t>
  </si>
  <si>
    <t>CD21-m013</t>
  </si>
  <si>
    <t>CD21-m021*</t>
  </si>
  <si>
    <t>CD21-m022</t>
  </si>
  <si>
    <t>CD21-m023</t>
  </si>
  <si>
    <t>CD21-m024</t>
  </si>
  <si>
    <t>CD21-m025</t>
  </si>
  <si>
    <t>CD21-m026</t>
  </si>
  <si>
    <t>CD46-m324</t>
  </si>
  <si>
    <t>CD46-m327*</t>
  </si>
  <si>
    <t>CD46-m328</t>
  </si>
  <si>
    <t>CD46-m330</t>
  </si>
  <si>
    <t>CD5-m283*</t>
  </si>
  <si>
    <t>CD10-m876*</t>
  </si>
  <si>
    <t>CD20-m025*</t>
  </si>
  <si>
    <t>CD20-m035*</t>
  </si>
  <si>
    <t>CD20-m036*</t>
  </si>
  <si>
    <t>CD46-m338*</t>
  </si>
  <si>
    <t>CSY41-m722</t>
  </si>
  <si>
    <t>CSY41-m723</t>
  </si>
  <si>
    <t>CSY41-m724</t>
  </si>
  <si>
    <t>CSY41-m725</t>
  </si>
  <si>
    <t>CSY41-m726</t>
  </si>
  <si>
    <t>CSY41-m727</t>
  </si>
  <si>
    <t>CSY41-m729</t>
  </si>
  <si>
    <t>CSY41-m730</t>
  </si>
  <si>
    <t>CSY41-m731</t>
  </si>
  <si>
    <t>CSY41-m774</t>
  </si>
  <si>
    <t>CD27-m783</t>
  </si>
  <si>
    <t>CD27-m784</t>
  </si>
  <si>
    <t>CD27-m785</t>
  </si>
  <si>
    <t>CD27-m786</t>
  </si>
  <si>
    <t>CD27-m787</t>
  </si>
  <si>
    <t>CD27-m788</t>
  </si>
  <si>
    <t>CD27-m789</t>
  </si>
  <si>
    <t>CD27-m806</t>
  </si>
  <si>
    <t>CD27-m807</t>
  </si>
  <si>
    <t>CD27-m808</t>
  </si>
  <si>
    <t>CD27-m809</t>
  </si>
  <si>
    <t>CD27-m810</t>
  </si>
  <si>
    <t>CD27-m756</t>
  </si>
  <si>
    <t>CD27-m757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</si>
</sst>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SourceCodePro-Regular"/>
      <family val="2"/>
    </font>
    <font>
      <sz val="12"/>
      <color rgb="FF000000"/>
      <name val="SourceCodePro-Regular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3"/>
      <name val="Arial"/>
      <family val="2"/>
    </font>
    <font>
      <sz val="11"/>
      <color theme="1"/>
      <name val="Arial"/>
      <family val="2"/>
    </font>
    <font>
      <sz val="12"/>
      <color theme="1"/>
      <name val="Aptos Narrow"/>
    </font>
    <font>
      <i/>
      <sz val="13"/>
      <color rgb="FF0000FF"/>
      <name val="Arial"/>
      <family val="2"/>
    </font>
    <font>
      <i/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9D33B-EE82-6E4E-99CE-07811E434C01}">
  <dimension ref="A1:B65"/>
  <sheetViews>
    <sheetView workbookViewId="0">
      <selection sqref="A1:B65"/>
    </sheetView>
  </sheetViews>
  <sheetFormatPr baseColWidth="10" defaultRowHeight="16"/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24</v>
      </c>
    </row>
    <row r="3" spans="1:2">
      <c r="A3" s="1" t="s">
        <v>3</v>
      </c>
      <c r="B3" s="1">
        <v>15</v>
      </c>
    </row>
    <row r="4" spans="1:2">
      <c r="A4" s="1" t="s">
        <v>4</v>
      </c>
      <c r="B4" s="1">
        <v>9</v>
      </c>
    </row>
    <row r="5" spans="1:2">
      <c r="A5" s="1" t="s">
        <v>5</v>
      </c>
      <c r="B5" s="1">
        <v>25</v>
      </c>
    </row>
    <row r="6" spans="1:2">
      <c r="A6" s="1" t="s">
        <v>6</v>
      </c>
      <c r="B6" s="1">
        <v>22</v>
      </c>
    </row>
    <row r="7" spans="1:2">
      <c r="A7" s="1" t="s">
        <v>7</v>
      </c>
      <c r="B7" s="1">
        <v>26</v>
      </c>
    </row>
    <row r="8" spans="1:2">
      <c r="A8" s="1" t="s">
        <v>8</v>
      </c>
      <c r="B8" s="1">
        <v>26</v>
      </c>
    </row>
    <row r="9" spans="1:2">
      <c r="A9" s="1" t="s">
        <v>9</v>
      </c>
      <c r="B9" s="1">
        <v>18</v>
      </c>
    </row>
    <row r="10" spans="1:2">
      <c r="A10" s="1" t="s">
        <v>10</v>
      </c>
      <c r="B10" s="1">
        <v>20</v>
      </c>
    </row>
    <row r="11" spans="1:2">
      <c r="A11" s="1" t="s">
        <v>11</v>
      </c>
      <c r="B11" s="1">
        <v>26</v>
      </c>
    </row>
    <row r="12" spans="1:2">
      <c r="A12" s="1" t="s">
        <v>12</v>
      </c>
      <c r="B12" s="1">
        <v>24</v>
      </c>
    </row>
    <row r="13" spans="1:2">
      <c r="A13" s="1" t="s">
        <v>13</v>
      </c>
      <c r="B13" s="1">
        <v>18</v>
      </c>
    </row>
    <row r="14" spans="1:2">
      <c r="A14" s="1" t="s">
        <v>14</v>
      </c>
      <c r="B14" s="1">
        <v>20</v>
      </c>
    </row>
    <row r="15" spans="1:2">
      <c r="A15" s="1" t="s">
        <v>15</v>
      </c>
      <c r="B15" s="1">
        <v>19</v>
      </c>
    </row>
    <row r="16" spans="1:2">
      <c r="A16" s="1" t="s">
        <v>16</v>
      </c>
      <c r="B16" s="1">
        <v>12</v>
      </c>
    </row>
    <row r="17" spans="1:2">
      <c r="A17" s="1" t="s">
        <v>17</v>
      </c>
      <c r="B17" s="1">
        <v>17</v>
      </c>
    </row>
    <row r="18" spans="1:2">
      <c r="A18" s="1" t="s">
        <v>18</v>
      </c>
      <c r="B18" s="1">
        <v>10</v>
      </c>
    </row>
    <row r="19" spans="1:2">
      <c r="A19" s="1" t="s">
        <v>19</v>
      </c>
      <c r="B19" s="1">
        <v>14</v>
      </c>
    </row>
    <row r="20" spans="1:2">
      <c r="A20" s="1" t="s">
        <v>20</v>
      </c>
      <c r="B20" s="1">
        <v>20</v>
      </c>
    </row>
    <row r="21" spans="1:2">
      <c r="A21" s="1" t="s">
        <v>21</v>
      </c>
      <c r="B21" s="1">
        <v>17</v>
      </c>
    </row>
    <row r="22" spans="1:2">
      <c r="A22" s="1" t="s">
        <v>22</v>
      </c>
      <c r="B22" s="1">
        <v>21</v>
      </c>
    </row>
    <row r="23" spans="1:2">
      <c r="A23" s="1" t="s">
        <v>23</v>
      </c>
      <c r="B23" s="1">
        <v>22</v>
      </c>
    </row>
    <row r="24" spans="1:2">
      <c r="A24" s="1" t="s">
        <v>24</v>
      </c>
      <c r="B24" s="1">
        <v>19</v>
      </c>
    </row>
    <row r="25" spans="1:2">
      <c r="A25" s="1" t="s">
        <v>25</v>
      </c>
      <c r="B25" s="1">
        <v>9</v>
      </c>
    </row>
    <row r="26" spans="1:2">
      <c r="A26" s="1" t="s">
        <v>26</v>
      </c>
      <c r="B26" s="1">
        <v>20</v>
      </c>
    </row>
    <row r="27" spans="1:2">
      <c r="A27" s="1" t="s">
        <v>27</v>
      </c>
      <c r="B27" s="1">
        <v>24</v>
      </c>
    </row>
    <row r="28" spans="1:2">
      <c r="A28" s="1" t="s">
        <v>28</v>
      </c>
      <c r="B28" s="1">
        <v>24</v>
      </c>
    </row>
    <row r="29" spans="1:2">
      <c r="A29" s="1" t="s">
        <v>29</v>
      </c>
      <c r="B29" s="1"/>
    </row>
    <row r="30" spans="1:2">
      <c r="A30" s="1" t="s">
        <v>30</v>
      </c>
      <c r="B30" s="1">
        <v>13</v>
      </c>
    </row>
    <row r="31" spans="1:2">
      <c r="A31" s="1" t="s">
        <v>31</v>
      </c>
      <c r="B31" s="1">
        <v>22</v>
      </c>
    </row>
    <row r="32" spans="1:2">
      <c r="A32" s="1" t="s">
        <v>32</v>
      </c>
      <c r="B32" s="1">
        <v>15</v>
      </c>
    </row>
    <row r="33" spans="1:2">
      <c r="A33" s="1" t="s">
        <v>33</v>
      </c>
      <c r="B33" s="1">
        <v>12</v>
      </c>
    </row>
    <row r="34" spans="1:2">
      <c r="A34" s="1" t="s">
        <v>34</v>
      </c>
      <c r="B34" s="1">
        <v>12</v>
      </c>
    </row>
    <row r="35" spans="1:2">
      <c r="A35" t="s">
        <v>35</v>
      </c>
      <c r="B35">
        <v>24</v>
      </c>
    </row>
    <row r="36" spans="1:2">
      <c r="A36" t="s">
        <v>36</v>
      </c>
      <c r="B36">
        <v>24</v>
      </c>
    </row>
    <row r="37" spans="1:2">
      <c r="A37" t="s">
        <v>37</v>
      </c>
      <c r="B37">
        <v>18</v>
      </c>
    </row>
    <row r="38" spans="1:2">
      <c r="A38" t="s">
        <v>38</v>
      </c>
      <c r="B38">
        <v>24</v>
      </c>
    </row>
    <row r="39" spans="1:2">
      <c r="A39" t="s">
        <v>39</v>
      </c>
      <c r="B39">
        <v>12</v>
      </c>
    </row>
    <row r="40" spans="1:2">
      <c r="A40" t="s">
        <v>40</v>
      </c>
      <c r="B40">
        <v>24</v>
      </c>
    </row>
    <row r="41" spans="1:2">
      <c r="A41" t="s">
        <v>41</v>
      </c>
      <c r="B41">
        <v>21</v>
      </c>
    </row>
    <row r="42" spans="1:2">
      <c r="A42" t="s">
        <v>42</v>
      </c>
      <c r="B42">
        <v>24</v>
      </c>
    </row>
    <row r="43" spans="1:2">
      <c r="A43" t="s">
        <v>43</v>
      </c>
      <c r="B43">
        <v>24</v>
      </c>
    </row>
    <row r="44" spans="1:2">
      <c r="A44" t="s">
        <v>44</v>
      </c>
      <c r="B44">
        <v>20</v>
      </c>
    </row>
    <row r="45" spans="1:2">
      <c r="A45" t="s">
        <v>45</v>
      </c>
      <c r="B45">
        <v>20</v>
      </c>
    </row>
    <row r="46" spans="1:2">
      <c r="A46" t="s">
        <v>46</v>
      </c>
      <c r="B46">
        <v>20</v>
      </c>
    </row>
    <row r="47" spans="1:2">
      <c r="A47" t="s">
        <v>47</v>
      </c>
      <c r="B47">
        <v>20</v>
      </c>
    </row>
    <row r="48" spans="1:2">
      <c r="A48" t="s">
        <v>48</v>
      </c>
      <c r="B48">
        <v>20</v>
      </c>
    </row>
    <row r="49" spans="1:2">
      <c r="A49" t="s">
        <v>49</v>
      </c>
      <c r="B49">
        <v>20</v>
      </c>
    </row>
    <row r="50" spans="1:2">
      <c r="A50" t="s">
        <v>50</v>
      </c>
      <c r="B50">
        <v>20</v>
      </c>
    </row>
    <row r="51" spans="1:2">
      <c r="A51" t="s">
        <v>51</v>
      </c>
    </row>
    <row r="52" spans="1:2">
      <c r="A52" t="s">
        <v>52</v>
      </c>
      <c r="B52">
        <v>20</v>
      </c>
    </row>
    <row r="53" spans="1:2">
      <c r="A53" t="s">
        <v>53</v>
      </c>
    </row>
    <row r="54" spans="1:2">
      <c r="A54" t="s">
        <v>54</v>
      </c>
      <c r="B54">
        <v>20</v>
      </c>
    </row>
    <row r="55" spans="1:2">
      <c r="A55" t="s">
        <v>55</v>
      </c>
      <c r="B55">
        <v>16</v>
      </c>
    </row>
    <row r="56" spans="1:2">
      <c r="A56" t="s">
        <v>56</v>
      </c>
      <c r="B56">
        <v>20</v>
      </c>
    </row>
    <row r="57" spans="1:2">
      <c r="A57" t="s">
        <v>57</v>
      </c>
      <c r="B57">
        <v>12</v>
      </c>
    </row>
    <row r="58" spans="1:2">
      <c r="A58" t="s">
        <v>58</v>
      </c>
      <c r="B58">
        <v>24</v>
      </c>
    </row>
    <row r="59" spans="1:2">
      <c r="A59" t="s">
        <v>59</v>
      </c>
    </row>
    <row r="60" spans="1:2">
      <c r="A60" t="s">
        <v>60</v>
      </c>
      <c r="B60">
        <v>24</v>
      </c>
    </row>
    <row r="61" spans="1:2">
      <c r="A61" t="s">
        <v>61</v>
      </c>
      <c r="B61">
        <v>24</v>
      </c>
    </row>
    <row r="62" spans="1:2">
      <c r="A62" t="s">
        <v>62</v>
      </c>
      <c r="B62">
        <v>24</v>
      </c>
    </row>
    <row r="63" spans="1:2">
      <c r="A63" t="s">
        <v>63</v>
      </c>
    </row>
    <row r="64" spans="1:2">
      <c r="A64" t="s">
        <v>64</v>
      </c>
      <c r="B64">
        <v>24</v>
      </c>
    </row>
    <row r="65" spans="1:2">
      <c r="A65" t="s">
        <v>65</v>
      </c>
      <c r="B65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EC62-A14E-EA45-A064-2B24DFD28719}">
  <dimension ref="A1:D462"/>
  <sheetViews>
    <sheetView workbookViewId="0">
      <selection sqref="A1:D462"/>
    </sheetView>
  </sheetViews>
  <sheetFormatPr baseColWidth="10" defaultRowHeight="16"/>
  <sheetData>
    <row r="1" spans="1:4">
      <c r="A1" t="s">
        <v>66</v>
      </c>
      <c r="B1" t="s">
        <v>67</v>
      </c>
      <c r="C1" t="s">
        <v>68</v>
      </c>
      <c r="D1" t="s">
        <v>69</v>
      </c>
    </row>
    <row r="2" spans="1:4">
      <c r="A2" s="2" t="s">
        <v>70</v>
      </c>
      <c r="B2" s="2">
        <v>260</v>
      </c>
      <c r="C2" s="2" t="str">
        <f>_xlfn.CONCAT(A2,"-m",B2)</f>
        <v>CD5-m260</v>
      </c>
      <c r="D2" s="3">
        <v>20.088000000000001</v>
      </c>
    </row>
    <row r="3" spans="1:4">
      <c r="A3" s="2" t="s">
        <v>70</v>
      </c>
      <c r="B3">
        <v>261</v>
      </c>
      <c r="C3" s="2" t="str">
        <f t="shared" ref="C3:C53" si="0">_xlfn.CONCAT(A3,"-m",B3)</f>
        <v>CD5-m261</v>
      </c>
      <c r="D3" s="3">
        <v>40.241900000000001</v>
      </c>
    </row>
    <row r="4" spans="1:4">
      <c r="A4" s="2" t="s">
        <v>70</v>
      </c>
      <c r="B4" s="2">
        <v>263</v>
      </c>
      <c r="C4" s="2" t="str">
        <f t="shared" si="0"/>
        <v>CD5-m263</v>
      </c>
      <c r="D4" s="3">
        <v>32.966000000000001</v>
      </c>
    </row>
    <row r="5" spans="1:4">
      <c r="A5" s="2" t="s">
        <v>70</v>
      </c>
      <c r="B5" s="2">
        <v>264</v>
      </c>
      <c r="C5" s="2" t="str">
        <f t="shared" si="0"/>
        <v>CD5-m264</v>
      </c>
      <c r="D5" s="3">
        <v>18.200299999999999</v>
      </c>
    </row>
    <row r="6" spans="1:4">
      <c r="A6" s="2" t="s">
        <v>70</v>
      </c>
      <c r="B6" s="2">
        <v>265</v>
      </c>
      <c r="C6" s="2" t="str">
        <f t="shared" si="0"/>
        <v>CD5-m265</v>
      </c>
      <c r="D6" s="3">
        <v>37.9099</v>
      </c>
    </row>
    <row r="7" spans="1:4">
      <c r="A7" s="2" t="s">
        <v>70</v>
      </c>
      <c r="B7" s="2">
        <v>266</v>
      </c>
      <c r="C7" s="2" t="str">
        <f t="shared" si="0"/>
        <v>CD5-m266</v>
      </c>
      <c r="D7" s="3">
        <v>49.792400000000001</v>
      </c>
    </row>
    <row r="8" spans="1:4">
      <c r="A8" s="2" t="s">
        <v>70</v>
      </c>
      <c r="B8" s="2">
        <v>267</v>
      </c>
      <c r="C8" s="2" t="str">
        <f t="shared" si="0"/>
        <v>CD5-m267</v>
      </c>
      <c r="D8" s="3">
        <v>41.977400000000003</v>
      </c>
    </row>
    <row r="9" spans="1:4">
      <c r="A9" s="2" t="s">
        <v>70</v>
      </c>
      <c r="B9" s="2">
        <v>269</v>
      </c>
      <c r="C9" s="2" t="str">
        <f t="shared" si="0"/>
        <v>CD5-m269</v>
      </c>
      <c r="D9" s="3">
        <v>33.626800000000003</v>
      </c>
    </row>
    <row r="10" spans="1:4">
      <c r="A10" s="2" t="s">
        <v>70</v>
      </c>
      <c r="B10" s="2">
        <v>270</v>
      </c>
      <c r="C10" s="2" t="str">
        <f t="shared" si="0"/>
        <v>CD5-m270</v>
      </c>
      <c r="D10" s="3">
        <v>50.444299999999998</v>
      </c>
    </row>
    <row r="11" spans="1:4">
      <c r="A11" s="2" t="s">
        <v>70</v>
      </c>
      <c r="B11" s="2">
        <v>271</v>
      </c>
      <c r="C11" s="2" t="str">
        <f t="shared" si="0"/>
        <v>CD5-m271</v>
      </c>
      <c r="D11" s="3">
        <v>15.9094</v>
      </c>
    </row>
    <row r="12" spans="1:4">
      <c r="A12" s="2" t="s">
        <v>70</v>
      </c>
      <c r="B12" s="2">
        <v>272</v>
      </c>
      <c r="C12" s="2" t="str">
        <f t="shared" si="0"/>
        <v>CD5-m272</v>
      </c>
      <c r="D12" s="3">
        <v>32.744700000000002</v>
      </c>
    </row>
    <row r="13" spans="1:4">
      <c r="A13" s="2" t="s">
        <v>70</v>
      </c>
      <c r="B13" s="2">
        <v>273</v>
      </c>
      <c r="C13" s="2" t="str">
        <f t="shared" si="0"/>
        <v>CD5-m273</v>
      </c>
      <c r="D13" s="3">
        <v>70.494699999999995</v>
      </c>
    </row>
    <row r="14" spans="1:4">
      <c r="A14" s="2" t="s">
        <v>70</v>
      </c>
      <c r="B14" s="2">
        <v>281</v>
      </c>
      <c r="C14" s="2" t="str">
        <f t="shared" si="0"/>
        <v>CD5-m281</v>
      </c>
      <c r="D14" s="3">
        <v>109.98560000000001</v>
      </c>
    </row>
    <row r="15" spans="1:4">
      <c r="A15" s="2" t="s">
        <v>70</v>
      </c>
      <c r="B15" s="2">
        <v>282</v>
      </c>
      <c r="C15" s="2" t="str">
        <f t="shared" si="0"/>
        <v>CD5-m282</v>
      </c>
      <c r="D15" s="3">
        <v>41.886699999999998</v>
      </c>
    </row>
    <row r="16" spans="1:4">
      <c r="A16" s="2" t="s">
        <v>70</v>
      </c>
      <c r="B16" s="2">
        <v>284</v>
      </c>
      <c r="C16" s="2" t="str">
        <f t="shared" si="0"/>
        <v>CD5-m284</v>
      </c>
      <c r="D16" s="3">
        <v>77.415400000000005</v>
      </c>
    </row>
    <row r="17" spans="1:4">
      <c r="A17" s="2" t="s">
        <v>70</v>
      </c>
      <c r="B17" s="2">
        <v>285</v>
      </c>
      <c r="C17" s="2" t="str">
        <f t="shared" si="0"/>
        <v>CD5-m285</v>
      </c>
      <c r="D17" s="3">
        <v>98.299800000000005</v>
      </c>
    </row>
    <row r="18" spans="1:4">
      <c r="A18" s="2" t="s">
        <v>71</v>
      </c>
      <c r="B18" s="2">
        <v>861</v>
      </c>
      <c r="C18" s="2" t="str">
        <f t="shared" si="0"/>
        <v>CD10-m861</v>
      </c>
      <c r="D18" s="3">
        <v>166.37209999999999</v>
      </c>
    </row>
    <row r="19" spans="1:4">
      <c r="A19" s="2" t="s">
        <v>71</v>
      </c>
      <c r="B19" s="2">
        <v>863</v>
      </c>
      <c r="C19" s="2" t="str">
        <f t="shared" si="0"/>
        <v>CD10-m863</v>
      </c>
      <c r="D19" s="3">
        <v>129.60149999999999</v>
      </c>
    </row>
    <row r="20" spans="1:4">
      <c r="A20" s="2" t="s">
        <v>71</v>
      </c>
      <c r="B20" s="2">
        <v>864</v>
      </c>
      <c r="C20" s="2" t="str">
        <f t="shared" si="0"/>
        <v>CD10-m864</v>
      </c>
      <c r="D20" s="3">
        <v>140.24780000000001</v>
      </c>
    </row>
    <row r="21" spans="1:4">
      <c r="A21" s="2" t="s">
        <v>71</v>
      </c>
      <c r="B21" s="2">
        <v>865</v>
      </c>
      <c r="C21" s="2" t="str">
        <f t="shared" si="0"/>
        <v>CD10-m865</v>
      </c>
      <c r="D21" s="3">
        <v>137.71109999999999</v>
      </c>
    </row>
    <row r="22" spans="1:4">
      <c r="A22" s="2" t="s">
        <v>71</v>
      </c>
      <c r="B22" s="2">
        <v>866</v>
      </c>
      <c r="C22" s="2" t="str">
        <f t="shared" si="0"/>
        <v>CD10-m866</v>
      </c>
      <c r="D22" s="3">
        <v>185.0607</v>
      </c>
    </row>
    <row r="23" spans="1:4">
      <c r="A23" s="2" t="s">
        <v>71</v>
      </c>
      <c r="B23" s="2">
        <v>867</v>
      </c>
      <c r="C23" s="2" t="str">
        <f t="shared" si="0"/>
        <v>CD10-m867</v>
      </c>
      <c r="D23" s="3">
        <v>165.23429999999999</v>
      </c>
    </row>
    <row r="24" spans="1:4">
      <c r="A24" s="2" t="s">
        <v>71</v>
      </c>
      <c r="B24" s="2">
        <v>868</v>
      </c>
      <c r="C24" s="2" t="str">
        <f t="shared" si="0"/>
        <v>CD10-m868</v>
      </c>
      <c r="D24" s="3">
        <v>152.9838</v>
      </c>
    </row>
    <row r="25" spans="1:4">
      <c r="A25" s="2" t="s">
        <v>71</v>
      </c>
      <c r="B25" s="2">
        <v>869</v>
      </c>
      <c r="C25" s="2" t="str">
        <f t="shared" si="0"/>
        <v>CD10-m869</v>
      </c>
      <c r="D25" s="3">
        <v>168.02199999999999</v>
      </c>
    </row>
    <row r="26" spans="1:4">
      <c r="A26" s="2" t="s">
        <v>71</v>
      </c>
      <c r="B26" s="2">
        <v>870</v>
      </c>
      <c r="C26" s="2" t="str">
        <f t="shared" si="0"/>
        <v>CD10-m870</v>
      </c>
      <c r="D26" s="3">
        <v>112.4598</v>
      </c>
    </row>
    <row r="27" spans="1:4">
      <c r="A27" s="2" t="s">
        <v>71</v>
      </c>
      <c r="B27" s="2">
        <v>881</v>
      </c>
      <c r="C27" s="2" t="str">
        <f t="shared" si="0"/>
        <v>CD10-m881</v>
      </c>
      <c r="D27" s="3">
        <v>74.972399999999993</v>
      </c>
    </row>
    <row r="28" spans="1:4">
      <c r="A28" s="2" t="s">
        <v>71</v>
      </c>
      <c r="B28" s="2">
        <v>882</v>
      </c>
      <c r="C28" s="2" t="str">
        <f t="shared" si="0"/>
        <v>CD10-m882</v>
      </c>
      <c r="D28" s="3">
        <v>57.543700000000001</v>
      </c>
    </row>
    <row r="29" spans="1:4">
      <c r="A29" s="2" t="s">
        <v>71</v>
      </c>
      <c r="B29" s="2">
        <v>883</v>
      </c>
      <c r="C29" s="2" t="str">
        <f t="shared" si="0"/>
        <v>CD10-m883</v>
      </c>
      <c r="D29" s="3">
        <v>70.523600000000002</v>
      </c>
    </row>
    <row r="30" spans="1:4">
      <c r="A30" s="2" t="s">
        <v>71</v>
      </c>
      <c r="B30" s="2">
        <v>884</v>
      </c>
      <c r="C30" s="2" t="str">
        <f t="shared" si="0"/>
        <v>CD10-m884</v>
      </c>
      <c r="D30" s="3">
        <v>52.794199999999996</v>
      </c>
    </row>
    <row r="31" spans="1:4">
      <c r="A31" s="2" t="s">
        <v>71</v>
      </c>
      <c r="B31" s="2">
        <v>885</v>
      </c>
      <c r="C31" s="2" t="str">
        <f t="shared" si="0"/>
        <v>CD10-m885</v>
      </c>
      <c r="D31" s="3">
        <v>78.052199999999999</v>
      </c>
    </row>
    <row r="32" spans="1:4">
      <c r="A32" s="2" t="s">
        <v>71</v>
      </c>
      <c r="B32" s="2">
        <v>877</v>
      </c>
      <c r="C32" s="2" t="str">
        <f t="shared" si="0"/>
        <v>CD10-m877</v>
      </c>
      <c r="D32" s="3">
        <v>70.064400000000006</v>
      </c>
    </row>
    <row r="33" spans="1:4">
      <c r="A33" s="2" t="s">
        <v>71</v>
      </c>
      <c r="B33" s="2">
        <v>878</v>
      </c>
      <c r="C33" s="2" t="str">
        <f t="shared" si="0"/>
        <v>CD10-m878</v>
      </c>
      <c r="D33" s="3">
        <v>20.588999999999999</v>
      </c>
    </row>
    <row r="34" spans="1:4">
      <c r="A34" s="2" t="s">
        <v>71</v>
      </c>
      <c r="B34" s="2">
        <v>879</v>
      </c>
      <c r="C34" s="2" t="str">
        <f t="shared" si="0"/>
        <v>CD10-m879</v>
      </c>
      <c r="D34" s="3">
        <v>78.844200000000001</v>
      </c>
    </row>
    <row r="35" spans="1:4">
      <c r="A35" s="2" t="s">
        <v>71</v>
      </c>
      <c r="B35" s="2">
        <v>880</v>
      </c>
      <c r="C35" s="2" t="str">
        <f t="shared" si="0"/>
        <v>CD10-m880</v>
      </c>
      <c r="D35" s="3">
        <v>75.524100000000004</v>
      </c>
    </row>
    <row r="36" spans="1:4">
      <c r="A36" s="2" t="s">
        <v>71</v>
      </c>
      <c r="B36" s="4">
        <v>871</v>
      </c>
      <c r="C36" s="2" t="str">
        <f t="shared" si="0"/>
        <v>CD10-m871</v>
      </c>
      <c r="D36" s="3">
        <v>1.9292</v>
      </c>
    </row>
    <row r="37" spans="1:4">
      <c r="A37" s="2" t="s">
        <v>71</v>
      </c>
      <c r="B37" s="4">
        <v>872</v>
      </c>
      <c r="C37" s="2" t="str">
        <f t="shared" si="0"/>
        <v>CD10-m872</v>
      </c>
      <c r="D37" s="3">
        <v>2.3834</v>
      </c>
    </row>
    <row r="38" spans="1:4">
      <c r="A38" s="2" t="s">
        <v>71</v>
      </c>
      <c r="B38" s="4">
        <v>873</v>
      </c>
      <c r="C38" s="2" t="str">
        <f t="shared" si="0"/>
        <v>CD10-m873</v>
      </c>
      <c r="D38" s="3">
        <v>2.8527999999999998</v>
      </c>
    </row>
    <row r="39" spans="1:4">
      <c r="A39" s="2" t="s">
        <v>71</v>
      </c>
      <c r="B39" s="4">
        <v>874</v>
      </c>
      <c r="C39" s="2" t="str">
        <f t="shared" si="0"/>
        <v>CD10-m874</v>
      </c>
      <c r="D39" s="3">
        <v>2.9828000000000001</v>
      </c>
    </row>
    <row r="40" spans="1:4">
      <c r="A40" s="2" t="s">
        <v>71</v>
      </c>
      <c r="B40" s="4">
        <v>875</v>
      </c>
      <c r="C40" s="2" t="str">
        <f t="shared" si="0"/>
        <v>CD10-m875</v>
      </c>
      <c r="D40" s="3">
        <v>1.0758000000000001</v>
      </c>
    </row>
    <row r="41" spans="1:4">
      <c r="A41" s="2" t="s">
        <v>71</v>
      </c>
      <c r="B41" s="4">
        <v>886</v>
      </c>
      <c r="C41" s="2" t="str">
        <f t="shared" si="0"/>
        <v>CD10-m886</v>
      </c>
      <c r="D41" s="3">
        <v>2.2530000000000001</v>
      </c>
    </row>
    <row r="42" spans="1:4">
      <c r="A42" s="2" t="s">
        <v>71</v>
      </c>
      <c r="B42" s="4">
        <v>887</v>
      </c>
      <c r="C42" s="2" t="str">
        <f t="shared" si="0"/>
        <v>CD10-m887</v>
      </c>
      <c r="D42" s="3">
        <v>2.6555</v>
      </c>
    </row>
    <row r="43" spans="1:4">
      <c r="A43" s="2" t="s">
        <v>71</v>
      </c>
      <c r="B43" s="4">
        <v>888</v>
      </c>
      <c r="C43" s="2" t="str">
        <f t="shared" si="0"/>
        <v>CD10-m888</v>
      </c>
      <c r="D43" s="3">
        <v>3.9266999999999999</v>
      </c>
    </row>
    <row r="44" spans="1:4">
      <c r="A44" s="2" t="s">
        <v>71</v>
      </c>
      <c r="B44" s="4">
        <v>890</v>
      </c>
      <c r="C44" s="2" t="str">
        <f t="shared" si="0"/>
        <v>CD10-m890</v>
      </c>
      <c r="D44" s="3">
        <v>4.4405000000000001</v>
      </c>
    </row>
    <row r="45" spans="1:4">
      <c r="A45" s="2" t="s">
        <v>71</v>
      </c>
      <c r="B45" s="4">
        <v>851</v>
      </c>
      <c r="C45" s="2" t="str">
        <f t="shared" si="0"/>
        <v>CD10-m851</v>
      </c>
      <c r="D45" s="3">
        <v>23.400099999999998</v>
      </c>
    </row>
    <row r="46" spans="1:4">
      <c r="A46" s="2" t="s">
        <v>71</v>
      </c>
      <c r="B46" s="4">
        <v>852</v>
      </c>
      <c r="C46" s="2" t="str">
        <f t="shared" si="0"/>
        <v>CD10-m852</v>
      </c>
      <c r="D46" s="3">
        <v>16.548300000000001</v>
      </c>
    </row>
    <row r="47" spans="1:4">
      <c r="A47" s="2" t="s">
        <v>71</v>
      </c>
      <c r="B47" s="4">
        <v>853</v>
      </c>
      <c r="C47" s="2" t="str">
        <f t="shared" si="0"/>
        <v>CD10-m853</v>
      </c>
      <c r="D47" s="3">
        <v>31.447099999999999</v>
      </c>
    </row>
    <row r="48" spans="1:4">
      <c r="A48" s="2" t="s">
        <v>71</v>
      </c>
      <c r="B48" s="4">
        <v>854</v>
      </c>
      <c r="C48" s="2" t="str">
        <f t="shared" si="0"/>
        <v>CD10-m854</v>
      </c>
      <c r="D48" s="3">
        <v>31.681899999999999</v>
      </c>
    </row>
    <row r="49" spans="1:4">
      <c r="A49" s="2" t="s">
        <v>71</v>
      </c>
      <c r="B49" s="4">
        <v>855</v>
      </c>
      <c r="C49" s="2" t="str">
        <f t="shared" si="0"/>
        <v>CD10-m855</v>
      </c>
      <c r="D49" s="3">
        <v>35.497599999999998</v>
      </c>
    </row>
    <row r="50" spans="1:4">
      <c r="A50" s="2" t="s">
        <v>71</v>
      </c>
      <c r="B50" s="4">
        <v>896</v>
      </c>
      <c r="C50" s="2" t="str">
        <f t="shared" si="0"/>
        <v>CD10-m896</v>
      </c>
      <c r="D50" s="3">
        <v>25.6005</v>
      </c>
    </row>
    <row r="51" spans="1:4">
      <c r="A51" s="2" t="s">
        <v>71</v>
      </c>
      <c r="B51" s="4">
        <v>898</v>
      </c>
      <c r="C51" s="2" t="str">
        <f t="shared" si="0"/>
        <v>CD10-m898</v>
      </c>
      <c r="D51" s="3">
        <v>9.8724000000000007</v>
      </c>
    </row>
    <row r="52" spans="1:4">
      <c r="A52" s="2" t="s">
        <v>71</v>
      </c>
      <c r="B52" s="4">
        <v>899</v>
      </c>
      <c r="C52" s="2" t="str">
        <f t="shared" si="0"/>
        <v>CD10-m899</v>
      </c>
      <c r="D52" s="3">
        <v>36.939100000000003</v>
      </c>
    </row>
    <row r="53" spans="1:4">
      <c r="A53" s="2" t="s">
        <v>71</v>
      </c>
      <c r="B53" s="4">
        <v>900</v>
      </c>
      <c r="C53" s="2" t="str">
        <f t="shared" si="0"/>
        <v>CD10-m900</v>
      </c>
      <c r="D53" s="3">
        <v>42.351599999999998</v>
      </c>
    </row>
    <row r="54" spans="1:4">
      <c r="A54" s="2" t="s">
        <v>72</v>
      </c>
      <c r="B54" s="2" t="s">
        <v>73</v>
      </c>
      <c r="C54" s="2" t="str">
        <f>_xlfn.CONCAT(A54,"-",B54)</f>
        <v>CD20-m004</v>
      </c>
      <c r="D54" s="3">
        <v>15.3163</v>
      </c>
    </row>
    <row r="55" spans="1:4">
      <c r="A55" s="2" t="s">
        <v>72</v>
      </c>
      <c r="B55" s="2" t="s">
        <v>74</v>
      </c>
      <c r="C55" s="2" t="str">
        <f t="shared" ref="C55:C118" si="1">_xlfn.CONCAT(A55,"-",B55)</f>
        <v>CD20-m005</v>
      </c>
      <c r="D55" s="3">
        <v>13.9864</v>
      </c>
    </row>
    <row r="56" spans="1:4">
      <c r="A56" s="2" t="s">
        <v>72</v>
      </c>
      <c r="B56" s="2" t="s">
        <v>75</v>
      </c>
      <c r="C56" s="2" t="str">
        <f t="shared" si="1"/>
        <v>CD20-m006</v>
      </c>
      <c r="D56" s="3">
        <v>15.93</v>
      </c>
    </row>
    <row r="57" spans="1:4">
      <c r="A57" s="2" t="s">
        <v>72</v>
      </c>
      <c r="B57" s="2" t="s">
        <v>76</v>
      </c>
      <c r="C57" s="2" t="str">
        <f t="shared" si="1"/>
        <v>CD20-m007</v>
      </c>
      <c r="D57" s="3">
        <v>11.8393</v>
      </c>
    </row>
    <row r="58" spans="1:4">
      <c r="A58" s="2" t="s">
        <v>72</v>
      </c>
      <c r="B58" s="2" t="s">
        <v>77</v>
      </c>
      <c r="C58" s="2" t="str">
        <f t="shared" si="1"/>
        <v>CD20-m008</v>
      </c>
      <c r="D58" s="3">
        <v>14.6341</v>
      </c>
    </row>
    <row r="59" spans="1:4">
      <c r="A59" s="2" t="s">
        <v>72</v>
      </c>
      <c r="B59" s="2" t="s">
        <v>78</v>
      </c>
      <c r="C59" s="2" t="str">
        <f t="shared" si="1"/>
        <v>CD20-m009</v>
      </c>
      <c r="D59" s="3">
        <v>2.3771</v>
      </c>
    </row>
    <row r="60" spans="1:4">
      <c r="A60" s="2" t="s">
        <v>72</v>
      </c>
      <c r="B60" s="2" t="s">
        <v>79</v>
      </c>
      <c r="C60" s="2" t="str">
        <f t="shared" si="1"/>
        <v>CD20-m010</v>
      </c>
      <c r="D60" s="3">
        <v>11.821300000000001</v>
      </c>
    </row>
    <row r="61" spans="1:4">
      <c r="A61" s="2" t="s">
        <v>72</v>
      </c>
      <c r="B61" s="2" t="s">
        <v>80</v>
      </c>
      <c r="C61" s="2" t="str">
        <f t="shared" si="1"/>
        <v>CD20-m011</v>
      </c>
      <c r="D61" s="3">
        <v>17.4849</v>
      </c>
    </row>
    <row r="62" spans="1:4">
      <c r="A62" s="2" t="s">
        <v>72</v>
      </c>
      <c r="B62" s="2" t="s">
        <v>81</v>
      </c>
      <c r="C62" s="2" t="str">
        <f t="shared" si="1"/>
        <v>CD20-m012</v>
      </c>
      <c r="D62" s="3">
        <v>16.798500000000001</v>
      </c>
    </row>
    <row r="63" spans="1:4">
      <c r="A63" s="2" t="s">
        <v>72</v>
      </c>
      <c r="B63" s="2" t="s">
        <v>82</v>
      </c>
      <c r="C63" s="2" t="str">
        <f t="shared" si="1"/>
        <v>CD20-m013</v>
      </c>
      <c r="D63" s="3">
        <v>14.5655</v>
      </c>
    </row>
    <row r="64" spans="1:4">
      <c r="A64" s="2" t="s">
        <v>72</v>
      </c>
      <c r="B64" s="2" t="s">
        <v>83</v>
      </c>
      <c r="C64" s="2" t="str">
        <f t="shared" si="1"/>
        <v>CD20-m029</v>
      </c>
      <c r="D64" s="3">
        <v>4.3733000000000004</v>
      </c>
    </row>
    <row r="65" spans="1:4">
      <c r="A65" s="2" t="s">
        <v>72</v>
      </c>
      <c r="B65" s="2" t="s">
        <v>84</v>
      </c>
      <c r="C65" s="2" t="str">
        <f t="shared" si="1"/>
        <v>CD20-m030</v>
      </c>
      <c r="D65" s="3">
        <v>17.680499999999999</v>
      </c>
    </row>
    <row r="66" spans="1:4">
      <c r="A66" s="2" t="s">
        <v>72</v>
      </c>
      <c r="B66" s="2" t="s">
        <v>85</v>
      </c>
      <c r="C66" s="2" t="str">
        <f t="shared" si="1"/>
        <v>CD20-m031</v>
      </c>
      <c r="D66" s="3">
        <v>19.396899999999999</v>
      </c>
    </row>
    <row r="67" spans="1:4">
      <c r="A67" s="2" t="s">
        <v>72</v>
      </c>
      <c r="B67" s="2" t="s">
        <v>86</v>
      </c>
      <c r="C67" s="2" t="str">
        <f t="shared" si="1"/>
        <v>CD20-m032</v>
      </c>
      <c r="D67" s="3">
        <v>12.42</v>
      </c>
    </row>
    <row r="68" spans="1:4">
      <c r="A68" s="2" t="s">
        <v>72</v>
      </c>
      <c r="B68" s="2" t="s">
        <v>87</v>
      </c>
      <c r="C68" s="2" t="str">
        <f t="shared" si="1"/>
        <v>CD20-m033</v>
      </c>
      <c r="D68" s="3">
        <v>20.805199999999999</v>
      </c>
    </row>
    <row r="69" spans="1:4">
      <c r="A69" s="2" t="s">
        <v>72</v>
      </c>
      <c r="B69" s="2" t="s">
        <v>88</v>
      </c>
      <c r="C69" s="2" t="str">
        <f t="shared" si="1"/>
        <v>CD20-m014</v>
      </c>
      <c r="D69" s="3">
        <v>56.426900000000003</v>
      </c>
    </row>
    <row r="70" spans="1:4">
      <c r="A70" s="2" t="s">
        <v>72</v>
      </c>
      <c r="B70" s="2" t="s">
        <v>89</v>
      </c>
      <c r="C70" s="2" t="str">
        <f t="shared" si="1"/>
        <v>CD20-m016</v>
      </c>
      <c r="D70" s="3">
        <v>39.023099999999999</v>
      </c>
    </row>
    <row r="71" spans="1:4">
      <c r="A71" s="2" t="s">
        <v>72</v>
      </c>
      <c r="B71" s="2" t="s">
        <v>90</v>
      </c>
      <c r="C71" s="2" t="str">
        <f t="shared" si="1"/>
        <v>CD20-m018</v>
      </c>
      <c r="D71" s="3">
        <v>55.668100000000003</v>
      </c>
    </row>
    <row r="72" spans="1:4">
      <c r="A72" s="2" t="s">
        <v>72</v>
      </c>
      <c r="B72" s="2" t="s">
        <v>91</v>
      </c>
      <c r="C72" s="2" t="str">
        <f t="shared" si="1"/>
        <v>CD20-m020</v>
      </c>
      <c r="D72" s="3">
        <v>59.914099999999998</v>
      </c>
    </row>
    <row r="73" spans="1:4">
      <c r="A73" s="2" t="s">
        <v>72</v>
      </c>
      <c r="B73" s="2" t="s">
        <v>92</v>
      </c>
      <c r="C73" s="2" t="str">
        <f t="shared" si="1"/>
        <v>CD20-m021</v>
      </c>
      <c r="D73" s="3">
        <v>74.613299999999995</v>
      </c>
    </row>
    <row r="74" spans="1:4">
      <c r="A74" s="2" t="s">
        <v>72</v>
      </c>
      <c r="B74" s="2" t="s">
        <v>93</v>
      </c>
      <c r="C74" s="2" t="str">
        <f t="shared" si="1"/>
        <v>CD20-m022</v>
      </c>
      <c r="D74" s="3">
        <v>39.688000000000002</v>
      </c>
    </row>
    <row r="75" spans="1:4">
      <c r="A75" s="2" t="s">
        <v>72</v>
      </c>
      <c r="B75" s="2" t="s">
        <v>94</v>
      </c>
      <c r="C75" s="2" t="str">
        <f t="shared" si="1"/>
        <v>CD20-m023</v>
      </c>
      <c r="D75" s="3">
        <v>49.747900000000001</v>
      </c>
    </row>
    <row r="76" spans="1:4">
      <c r="A76" s="2" t="s">
        <v>72</v>
      </c>
      <c r="B76" s="2" t="s">
        <v>95</v>
      </c>
      <c r="C76" s="2" t="str">
        <f t="shared" si="1"/>
        <v>CD20-m026</v>
      </c>
      <c r="D76" s="3">
        <v>49.630800000000001</v>
      </c>
    </row>
    <row r="77" spans="1:4">
      <c r="A77" s="2" t="s">
        <v>72</v>
      </c>
      <c r="B77" s="2" t="s">
        <v>96</v>
      </c>
      <c r="C77" s="2" t="str">
        <f t="shared" si="1"/>
        <v>CD20-m027</v>
      </c>
      <c r="D77" s="3">
        <v>45.046700000000001</v>
      </c>
    </row>
    <row r="78" spans="1:4">
      <c r="A78" s="2" t="s">
        <v>72</v>
      </c>
      <c r="B78" s="2" t="s">
        <v>97</v>
      </c>
      <c r="C78" s="2" t="str">
        <f t="shared" si="1"/>
        <v>CD20-m028</v>
      </c>
      <c r="D78" s="3">
        <v>65.932000000000002</v>
      </c>
    </row>
    <row r="79" spans="1:4">
      <c r="A79" s="2" t="s">
        <v>72</v>
      </c>
      <c r="B79" s="2" t="s">
        <v>98</v>
      </c>
      <c r="C79" s="2" t="str">
        <f t="shared" si="1"/>
        <v>CD20-m034</v>
      </c>
      <c r="D79" s="3">
        <v>69.819299999999998</v>
      </c>
    </row>
    <row r="80" spans="1:4">
      <c r="A80" s="2" t="s">
        <v>72</v>
      </c>
      <c r="B80" s="2" t="s">
        <v>99</v>
      </c>
      <c r="C80" s="2" t="str">
        <f t="shared" si="1"/>
        <v>CD20-m036</v>
      </c>
      <c r="D80" s="3">
        <v>8.2527000000000008</v>
      </c>
    </row>
    <row r="81" spans="1:4">
      <c r="A81" s="2" t="s">
        <v>72</v>
      </c>
      <c r="B81" s="2" t="s">
        <v>100</v>
      </c>
      <c r="C81" s="2" t="str">
        <f>_xlfn.CONCAT(A81,"-",B81)</f>
        <v>CD20-m038</v>
      </c>
      <c r="D81" s="3">
        <v>77.971800000000002</v>
      </c>
    </row>
    <row r="82" spans="1:4">
      <c r="A82" s="2" t="s">
        <v>101</v>
      </c>
      <c r="B82" s="2" t="s">
        <v>102</v>
      </c>
      <c r="C82" s="2" t="str">
        <f t="shared" si="1"/>
        <v>CD21-m998</v>
      </c>
      <c r="D82" s="3">
        <v>182.155</v>
      </c>
    </row>
    <row r="83" spans="1:4">
      <c r="A83" s="2" t="s">
        <v>101</v>
      </c>
      <c r="B83" s="2" t="s">
        <v>103</v>
      </c>
      <c r="C83" s="2" t="str">
        <f t="shared" si="1"/>
        <v>CD21-m999</v>
      </c>
      <c r="D83" s="3">
        <v>204.03909999999999</v>
      </c>
    </row>
    <row r="84" spans="1:4">
      <c r="A84" s="2" t="s">
        <v>101</v>
      </c>
      <c r="B84" s="2" t="s">
        <v>104</v>
      </c>
      <c r="C84" s="2" t="str">
        <f t="shared" si="1"/>
        <v>CD21-m002</v>
      </c>
      <c r="D84" s="3">
        <v>152.66999999999999</v>
      </c>
    </row>
    <row r="85" spans="1:4">
      <c r="A85" s="2" t="s">
        <v>101</v>
      </c>
      <c r="B85" s="2" t="s">
        <v>105</v>
      </c>
      <c r="C85" s="2" t="str">
        <f t="shared" si="1"/>
        <v>CD21-m003</v>
      </c>
      <c r="D85" s="3">
        <v>159.57749999999999</v>
      </c>
    </row>
    <row r="86" spans="1:4">
      <c r="A86" s="2" t="s">
        <v>101</v>
      </c>
      <c r="B86" s="2" t="s">
        <v>73</v>
      </c>
      <c r="C86" s="2" t="str">
        <f t="shared" si="1"/>
        <v>CD21-m004</v>
      </c>
      <c r="D86" s="3">
        <v>106.9328</v>
      </c>
    </row>
    <row r="87" spans="1:4">
      <c r="A87" s="2" t="s">
        <v>101</v>
      </c>
      <c r="B87" s="2" t="s">
        <v>75</v>
      </c>
      <c r="C87" s="2" t="str">
        <f t="shared" si="1"/>
        <v>CD21-m006</v>
      </c>
      <c r="D87" s="3">
        <v>193.23</v>
      </c>
    </row>
    <row r="88" spans="1:4">
      <c r="A88" s="2" t="s">
        <v>101</v>
      </c>
      <c r="B88" s="2" t="s">
        <v>76</v>
      </c>
      <c r="C88" s="2" t="str">
        <f t="shared" si="1"/>
        <v>CD21-m007</v>
      </c>
      <c r="D88" s="3">
        <v>149.745</v>
      </c>
    </row>
    <row r="89" spans="1:4">
      <c r="A89" s="2" t="s">
        <v>101</v>
      </c>
      <c r="B89" s="2" t="s">
        <v>77</v>
      </c>
      <c r="C89" s="2" t="str">
        <f t="shared" si="1"/>
        <v>CD21-m008</v>
      </c>
      <c r="D89" s="3">
        <v>157.4675</v>
      </c>
    </row>
    <row r="90" spans="1:4">
      <c r="A90" s="2" t="s">
        <v>101</v>
      </c>
      <c r="B90" s="2" t="s">
        <v>78</v>
      </c>
      <c r="C90" s="2" t="str">
        <f t="shared" si="1"/>
        <v>CD21-m009</v>
      </c>
      <c r="D90" s="3">
        <v>189.24</v>
      </c>
    </row>
    <row r="91" spans="1:4">
      <c r="A91" s="2" t="s">
        <v>101</v>
      </c>
      <c r="B91" s="2" t="s">
        <v>79</v>
      </c>
      <c r="C91" s="2" t="str">
        <f t="shared" si="1"/>
        <v>CD21-m010</v>
      </c>
      <c r="D91" s="3">
        <v>185.36500000000001</v>
      </c>
    </row>
    <row r="92" spans="1:4">
      <c r="A92" s="2" t="s">
        <v>101</v>
      </c>
      <c r="B92" s="2" t="s">
        <v>80</v>
      </c>
      <c r="C92" s="2" t="str">
        <f t="shared" si="1"/>
        <v>CD21-m011</v>
      </c>
      <c r="D92" s="3">
        <v>203.3922</v>
      </c>
    </row>
    <row r="93" spans="1:4">
      <c r="A93" s="2" t="s">
        <v>101</v>
      </c>
      <c r="B93" s="2" t="s">
        <v>88</v>
      </c>
      <c r="C93" s="2" t="str">
        <f t="shared" si="1"/>
        <v>CD21-m014</v>
      </c>
      <c r="D93" s="3">
        <v>234.26130000000001</v>
      </c>
    </row>
    <row r="94" spans="1:4">
      <c r="A94" s="2" t="s">
        <v>101</v>
      </c>
      <c r="B94" s="2" t="s">
        <v>106</v>
      </c>
      <c r="C94" s="2" t="str">
        <f t="shared" si="1"/>
        <v>CD21-m015</v>
      </c>
      <c r="D94" s="3">
        <v>199.01130000000001</v>
      </c>
    </row>
    <row r="95" spans="1:4">
      <c r="A95" s="2" t="s">
        <v>101</v>
      </c>
      <c r="B95" s="2" t="s">
        <v>89</v>
      </c>
      <c r="C95" s="2" t="str">
        <f t="shared" si="1"/>
        <v>CD21-m016</v>
      </c>
      <c r="D95" s="3">
        <v>96.848399999999998</v>
      </c>
    </row>
    <row r="96" spans="1:4">
      <c r="A96" s="2" t="s">
        <v>101</v>
      </c>
      <c r="B96" s="2" t="s">
        <v>107</v>
      </c>
      <c r="C96" s="2" t="str">
        <f t="shared" si="1"/>
        <v>CD21-m017</v>
      </c>
      <c r="D96" s="3">
        <v>177.065</v>
      </c>
    </row>
    <row r="97" spans="1:4">
      <c r="A97" s="2" t="s">
        <v>101</v>
      </c>
      <c r="B97" s="2" t="s">
        <v>90</v>
      </c>
      <c r="C97" s="2" t="str">
        <f t="shared" si="1"/>
        <v>CD21-m018</v>
      </c>
      <c r="D97" s="3">
        <v>180.40299999999999</v>
      </c>
    </row>
    <row r="98" spans="1:4">
      <c r="A98" s="2" t="s">
        <v>101</v>
      </c>
      <c r="B98" s="2" t="s">
        <v>108</v>
      </c>
      <c r="C98" s="2" t="str">
        <f t="shared" si="1"/>
        <v>CD21-m019</v>
      </c>
      <c r="D98" s="3">
        <v>175.8484</v>
      </c>
    </row>
    <row r="99" spans="1:4">
      <c r="A99" s="2" t="s">
        <v>101</v>
      </c>
      <c r="B99" s="2" t="s">
        <v>91</v>
      </c>
      <c r="C99" s="2" t="str">
        <f t="shared" si="1"/>
        <v>CD21-m020</v>
      </c>
      <c r="D99" s="3">
        <v>162.54750000000001</v>
      </c>
    </row>
    <row r="100" spans="1:4">
      <c r="A100" s="2" t="s">
        <v>109</v>
      </c>
      <c r="B100" s="2" t="s">
        <v>110</v>
      </c>
      <c r="C100" s="2" t="str">
        <f t="shared" si="1"/>
        <v>CD27-m739</v>
      </c>
      <c r="D100" s="3">
        <v>12.9986</v>
      </c>
    </row>
    <row r="101" spans="1:4">
      <c r="A101" s="2" t="s">
        <v>109</v>
      </c>
      <c r="B101" s="2" t="s">
        <v>111</v>
      </c>
      <c r="C101" s="2" t="str">
        <f t="shared" si="1"/>
        <v>CD27-m740</v>
      </c>
      <c r="D101" s="3">
        <v>17.235399999999998</v>
      </c>
    </row>
    <row r="102" spans="1:4">
      <c r="A102" s="2" t="s">
        <v>109</v>
      </c>
      <c r="B102" s="2" t="s">
        <v>112</v>
      </c>
      <c r="C102" s="2" t="str">
        <f t="shared" si="1"/>
        <v>CD27-m741</v>
      </c>
      <c r="D102" s="3">
        <v>29.838200000000001</v>
      </c>
    </row>
    <row r="103" spans="1:4">
      <c r="A103" s="2" t="s">
        <v>109</v>
      </c>
      <c r="B103" s="2" t="s">
        <v>113</v>
      </c>
      <c r="C103" s="2" t="str">
        <f t="shared" si="1"/>
        <v>CD27-m742</v>
      </c>
      <c r="D103" s="3">
        <v>38.612099999999998</v>
      </c>
    </row>
    <row r="104" spans="1:4">
      <c r="A104" s="2" t="s">
        <v>109</v>
      </c>
      <c r="B104" s="2" t="s">
        <v>114</v>
      </c>
      <c r="C104" s="2" t="str">
        <f t="shared" si="1"/>
        <v>CD27-m743</v>
      </c>
      <c r="D104" s="3">
        <v>60.939399999999999</v>
      </c>
    </row>
    <row r="105" spans="1:4">
      <c r="A105" s="2" t="s">
        <v>109</v>
      </c>
      <c r="B105" s="2" t="s">
        <v>115</v>
      </c>
      <c r="C105" s="2" t="str">
        <f t="shared" si="1"/>
        <v>CD27-m744</v>
      </c>
      <c r="D105" s="3">
        <v>21.8675</v>
      </c>
    </row>
    <row r="106" spans="1:4">
      <c r="A106" s="2" t="s">
        <v>109</v>
      </c>
      <c r="B106" s="2" t="s">
        <v>116</v>
      </c>
      <c r="C106" s="2" t="str">
        <f t="shared" si="1"/>
        <v>CD27-m746</v>
      </c>
      <c r="D106" s="3">
        <v>24.811499999999999</v>
      </c>
    </row>
    <row r="107" spans="1:4">
      <c r="A107" s="2" t="s">
        <v>109</v>
      </c>
      <c r="B107" s="2" t="s">
        <v>117</v>
      </c>
      <c r="C107" s="2" t="str">
        <f t="shared" si="1"/>
        <v>CD27-m747</v>
      </c>
      <c r="D107" s="3">
        <v>19.161000000000001</v>
      </c>
    </row>
    <row r="108" spans="1:4">
      <c r="A108" s="2" t="s">
        <v>109</v>
      </c>
      <c r="B108" s="2" t="s">
        <v>118</v>
      </c>
      <c r="C108" s="2" t="str">
        <f t="shared" si="1"/>
        <v>CD27-m773</v>
      </c>
      <c r="D108" s="3">
        <v>45.872700000000002</v>
      </c>
    </row>
    <row r="109" spans="1:4">
      <c r="A109" s="2" t="s">
        <v>109</v>
      </c>
      <c r="B109" s="2" t="s">
        <v>119</v>
      </c>
      <c r="C109" s="2" t="str">
        <f t="shared" si="1"/>
        <v>CD27-m774</v>
      </c>
      <c r="D109" s="3">
        <v>52.709200000000003</v>
      </c>
    </row>
    <row r="110" spans="1:4">
      <c r="A110" s="2" t="s">
        <v>109</v>
      </c>
      <c r="B110" s="2" t="s">
        <v>120</v>
      </c>
      <c r="C110" s="2" t="str">
        <f t="shared" si="1"/>
        <v>CD27-m776</v>
      </c>
      <c r="D110" s="3">
        <v>35.468600000000002</v>
      </c>
    </row>
    <row r="111" spans="1:4">
      <c r="A111" s="2" t="s">
        <v>109</v>
      </c>
      <c r="B111" s="2" t="s">
        <v>121</v>
      </c>
      <c r="C111" s="2" t="str">
        <f t="shared" si="1"/>
        <v>CD27-m777</v>
      </c>
      <c r="D111" s="3">
        <v>29.818100000000001</v>
      </c>
    </row>
    <row r="112" spans="1:4">
      <c r="A112" s="2" t="s">
        <v>109</v>
      </c>
      <c r="B112" s="2" t="s">
        <v>122</v>
      </c>
      <c r="C112" s="2" t="str">
        <f t="shared" si="1"/>
        <v>CD27-m778</v>
      </c>
      <c r="D112" s="3">
        <v>232.88679999999999</v>
      </c>
    </row>
    <row r="113" spans="1:4">
      <c r="A113" s="2" t="s">
        <v>109</v>
      </c>
      <c r="B113" s="2" t="s">
        <v>123</v>
      </c>
      <c r="C113" s="2" t="str">
        <f t="shared" si="1"/>
        <v>CD27-m779</v>
      </c>
      <c r="D113" s="3">
        <v>3.3914</v>
      </c>
    </row>
    <row r="114" spans="1:4">
      <c r="A114" s="2" t="s">
        <v>109</v>
      </c>
      <c r="B114" s="2" t="s">
        <v>124</v>
      </c>
      <c r="C114" s="2" t="str">
        <f t="shared" si="1"/>
        <v>CD27-m780</v>
      </c>
      <c r="D114" s="3">
        <v>50.991500000000002</v>
      </c>
    </row>
    <row r="115" spans="1:4">
      <c r="A115" s="2" t="s">
        <v>109</v>
      </c>
      <c r="B115" s="2" t="s">
        <v>125</v>
      </c>
      <c r="C115" s="2" t="str">
        <f t="shared" si="1"/>
        <v>CD27-m781</v>
      </c>
      <c r="D115" s="3">
        <v>38.762599999999999</v>
      </c>
    </row>
    <row r="116" spans="1:4">
      <c r="A116" s="2" t="s">
        <v>109</v>
      </c>
      <c r="B116" s="2" t="s">
        <v>126</v>
      </c>
      <c r="C116" s="2" t="str">
        <f t="shared" si="1"/>
        <v>CD27-m764</v>
      </c>
      <c r="D116" s="3">
        <v>1.8391</v>
      </c>
    </row>
    <row r="117" spans="1:4">
      <c r="A117" s="2" t="s">
        <v>109</v>
      </c>
      <c r="B117" s="2" t="s">
        <v>127</v>
      </c>
      <c r="C117" s="2" t="str">
        <f t="shared" si="1"/>
        <v>CD27-m765</v>
      </c>
      <c r="D117" s="3">
        <v>5.9958999999999998</v>
      </c>
    </row>
    <row r="118" spans="1:4">
      <c r="A118" s="2" t="s">
        <v>109</v>
      </c>
      <c r="B118" s="2" t="s">
        <v>128</v>
      </c>
      <c r="C118" s="2" t="str">
        <f t="shared" si="1"/>
        <v>CD27-m766</v>
      </c>
      <c r="D118" s="3">
        <v>4.9699</v>
      </c>
    </row>
    <row r="119" spans="1:4">
      <c r="A119" s="2" t="s">
        <v>109</v>
      </c>
      <c r="B119" s="2" t="s">
        <v>129</v>
      </c>
      <c r="C119" s="2" t="str">
        <f t="shared" ref="C119:C171" si="2">_xlfn.CONCAT(A119,"-",B119)</f>
        <v>CD27-m767</v>
      </c>
      <c r="D119" s="3">
        <v>6.9737</v>
      </c>
    </row>
    <row r="120" spans="1:4">
      <c r="A120" s="2" t="s">
        <v>109</v>
      </c>
      <c r="B120" s="2" t="s">
        <v>130</v>
      </c>
      <c r="C120" s="2" t="str">
        <f t="shared" si="2"/>
        <v>CD27-m768</v>
      </c>
      <c r="D120" s="3">
        <v>2.9918</v>
      </c>
    </row>
    <row r="121" spans="1:4">
      <c r="A121" s="2" t="s">
        <v>109</v>
      </c>
      <c r="B121" s="2" t="s">
        <v>131</v>
      </c>
      <c r="C121" s="2" t="str">
        <f t="shared" si="2"/>
        <v>CD27-m769</v>
      </c>
      <c r="D121" s="3">
        <v>3.5960000000000001</v>
      </c>
    </row>
    <row r="122" spans="1:4">
      <c r="A122" s="2" t="s">
        <v>109</v>
      </c>
      <c r="B122" s="2" t="s">
        <v>132</v>
      </c>
      <c r="C122" s="2" t="str">
        <f t="shared" si="2"/>
        <v>CD27-m770</v>
      </c>
      <c r="D122" s="3">
        <v>7.5647000000000002</v>
      </c>
    </row>
    <row r="123" spans="1:4">
      <c r="A123" s="2" t="s">
        <v>109</v>
      </c>
      <c r="B123" s="2" t="s">
        <v>133</v>
      </c>
      <c r="C123" s="2" t="str">
        <f t="shared" si="2"/>
        <v>CD27-m772</v>
      </c>
      <c r="D123" s="3">
        <v>4.1256000000000004</v>
      </c>
    </row>
    <row r="124" spans="1:4">
      <c r="A124" s="2" t="s">
        <v>109</v>
      </c>
      <c r="B124" s="2" t="s">
        <v>134</v>
      </c>
      <c r="C124" s="2" t="str">
        <f t="shared" si="2"/>
        <v>CD27-m806</v>
      </c>
      <c r="D124" s="3">
        <v>6.0637999999999996</v>
      </c>
    </row>
    <row r="125" spans="1:4">
      <c r="A125" s="2" t="s">
        <v>109</v>
      </c>
      <c r="B125" s="2" t="s">
        <v>135</v>
      </c>
      <c r="C125" s="2" t="str">
        <f t="shared" si="2"/>
        <v>CD27-m807</v>
      </c>
      <c r="D125" s="3">
        <v>5.7481999999999998</v>
      </c>
    </row>
    <row r="126" spans="1:4">
      <c r="A126" s="2" t="s">
        <v>109</v>
      </c>
      <c r="B126" s="2" t="s">
        <v>136</v>
      </c>
      <c r="C126" s="2" t="str">
        <f t="shared" si="2"/>
        <v>CD27-m808</v>
      </c>
      <c r="D126" s="3">
        <v>1.732</v>
      </c>
    </row>
    <row r="127" spans="1:4">
      <c r="A127" s="2" t="s">
        <v>109</v>
      </c>
      <c r="B127" s="2" t="s">
        <v>137</v>
      </c>
      <c r="C127" s="2" t="str">
        <f t="shared" si="2"/>
        <v>CD27-m809</v>
      </c>
      <c r="D127" s="3">
        <v>1.6536</v>
      </c>
    </row>
    <row r="128" spans="1:4">
      <c r="A128" s="2" t="s">
        <v>109</v>
      </c>
      <c r="B128" s="2" t="s">
        <v>138</v>
      </c>
      <c r="C128" s="2" t="str">
        <f t="shared" si="2"/>
        <v>CD27-m810</v>
      </c>
      <c r="D128" s="3">
        <v>2.4628000000000001</v>
      </c>
    </row>
    <row r="129" spans="1:4">
      <c r="A129" s="2" t="s">
        <v>109</v>
      </c>
      <c r="B129" s="2" t="s">
        <v>139</v>
      </c>
      <c r="C129" s="2" t="str">
        <f t="shared" si="2"/>
        <v>CD27-m791</v>
      </c>
      <c r="D129" s="3">
        <v>1.5661</v>
      </c>
    </row>
    <row r="130" spans="1:4">
      <c r="A130" s="2" t="s">
        <v>109</v>
      </c>
      <c r="B130" s="2" t="s">
        <v>140</v>
      </c>
      <c r="C130" s="2" t="str">
        <f t="shared" si="2"/>
        <v>CD27-m756</v>
      </c>
      <c r="D130" s="3">
        <v>4.7881999999999998</v>
      </c>
    </row>
    <row r="131" spans="1:4">
      <c r="A131" s="2" t="s">
        <v>109</v>
      </c>
      <c r="B131" s="2" t="s">
        <v>141</v>
      </c>
      <c r="C131" s="2" t="str">
        <f t="shared" si="2"/>
        <v>CD27-m757</v>
      </c>
      <c r="D131" s="3">
        <v>5.3445</v>
      </c>
    </row>
    <row r="132" spans="1:4">
      <c r="A132" s="2" t="s">
        <v>109</v>
      </c>
      <c r="B132" s="2" t="s">
        <v>142</v>
      </c>
      <c r="C132" s="2" t="str">
        <f t="shared" si="2"/>
        <v>CD27-m748</v>
      </c>
      <c r="D132" s="3">
        <v>48.497799999999998</v>
      </c>
    </row>
    <row r="133" spans="1:4">
      <c r="A133" s="2" t="s">
        <v>109</v>
      </c>
      <c r="B133" s="2" t="s">
        <v>143</v>
      </c>
      <c r="C133" s="2" t="str">
        <f t="shared" si="2"/>
        <v>CD27-m749</v>
      </c>
      <c r="D133" s="3">
        <v>45.756100000000004</v>
      </c>
    </row>
    <row r="134" spans="1:4">
      <c r="A134" s="2" t="s">
        <v>109</v>
      </c>
      <c r="B134" s="2" t="s">
        <v>144</v>
      </c>
      <c r="C134" s="2" t="str">
        <f t="shared" si="2"/>
        <v>CD27-m750</v>
      </c>
      <c r="D134" s="3">
        <v>66.026200000000003</v>
      </c>
    </row>
    <row r="135" spans="1:4">
      <c r="A135" s="2" t="s">
        <v>109</v>
      </c>
      <c r="B135" s="2" t="s">
        <v>145</v>
      </c>
      <c r="C135" s="2" t="str">
        <f t="shared" si="2"/>
        <v>CD27-m751</v>
      </c>
      <c r="D135" s="3">
        <v>99.652100000000004</v>
      </c>
    </row>
    <row r="136" spans="1:4">
      <c r="A136" s="2" t="s">
        <v>109</v>
      </c>
      <c r="B136" s="2" t="s">
        <v>146</v>
      </c>
      <c r="C136" s="2" t="str">
        <f t="shared" si="2"/>
        <v>CD27-m752</v>
      </c>
      <c r="D136" s="3">
        <v>53.896099999999997</v>
      </c>
    </row>
    <row r="137" spans="1:4">
      <c r="A137" s="2" t="s">
        <v>109</v>
      </c>
      <c r="B137" s="2" t="s">
        <v>147</v>
      </c>
      <c r="C137" s="2" t="str">
        <f t="shared" si="2"/>
        <v>CD27-m753</v>
      </c>
      <c r="D137" s="3">
        <v>64.975700000000003</v>
      </c>
    </row>
    <row r="138" spans="1:4">
      <c r="A138" s="2" t="s">
        <v>109</v>
      </c>
      <c r="B138" s="2" t="s">
        <v>148</v>
      </c>
      <c r="C138" s="2" t="str">
        <f t="shared" si="2"/>
        <v>CD27-m754</v>
      </c>
      <c r="D138" s="3">
        <v>70.853499999999997</v>
      </c>
    </row>
    <row r="139" spans="1:4">
      <c r="A139" s="2" t="s">
        <v>109</v>
      </c>
      <c r="B139" s="2" t="s">
        <v>149</v>
      </c>
      <c r="C139" s="2" t="str">
        <f t="shared" si="2"/>
        <v>CD27-m755</v>
      </c>
      <c r="D139" s="3">
        <v>51.021599999999999</v>
      </c>
    </row>
    <row r="140" spans="1:4">
      <c r="A140" s="2" t="s">
        <v>109</v>
      </c>
      <c r="B140" s="2" t="s">
        <v>150</v>
      </c>
      <c r="C140" s="2" t="str">
        <f t="shared" si="2"/>
        <v>CD27-m782</v>
      </c>
      <c r="D140" s="3">
        <v>2.5830000000000002</v>
      </c>
    </row>
    <row r="141" spans="1:4">
      <c r="A141" s="2" t="s">
        <v>109</v>
      </c>
      <c r="B141" s="2" t="s">
        <v>151</v>
      </c>
      <c r="C141" s="2" t="str">
        <f t="shared" si="2"/>
        <v>CD27-m783</v>
      </c>
      <c r="D141" s="3">
        <v>3.4735</v>
      </c>
    </row>
    <row r="142" spans="1:4">
      <c r="A142" s="2" t="s">
        <v>109</v>
      </c>
      <c r="B142" s="2" t="s">
        <v>152</v>
      </c>
      <c r="C142" s="2" t="str">
        <f t="shared" si="2"/>
        <v>CD27-m784</v>
      </c>
      <c r="D142" s="3">
        <v>2.9980000000000002</v>
      </c>
    </row>
    <row r="143" spans="1:4">
      <c r="A143" s="2" t="s">
        <v>109</v>
      </c>
      <c r="B143" s="2" t="s">
        <v>153</v>
      </c>
      <c r="C143" s="2" t="str">
        <f t="shared" si="2"/>
        <v>CD27-m785</v>
      </c>
      <c r="D143" s="3">
        <v>5.5284000000000004</v>
      </c>
    </row>
    <row r="144" spans="1:4">
      <c r="A144" s="2" t="s">
        <v>109</v>
      </c>
      <c r="B144" s="2" t="s">
        <v>154</v>
      </c>
      <c r="C144" s="2" t="str">
        <f t="shared" si="2"/>
        <v>CD27-m786</v>
      </c>
      <c r="D144" s="3">
        <v>5.8067000000000002</v>
      </c>
    </row>
    <row r="145" spans="1:4">
      <c r="A145" s="2" t="s">
        <v>109</v>
      </c>
      <c r="B145" s="2" t="s">
        <v>155</v>
      </c>
      <c r="C145" s="2" t="str">
        <f t="shared" si="2"/>
        <v>CD27-m787</v>
      </c>
      <c r="D145" s="3">
        <v>2.9266999999999999</v>
      </c>
    </row>
    <row r="146" spans="1:4">
      <c r="A146" s="2" t="s">
        <v>109</v>
      </c>
      <c r="B146" s="2" t="s">
        <v>156</v>
      </c>
      <c r="C146" s="2" t="str">
        <f t="shared" si="2"/>
        <v>CD27-m788</v>
      </c>
      <c r="D146" s="3">
        <v>10.6381</v>
      </c>
    </row>
    <row r="147" spans="1:4">
      <c r="A147" s="2" t="s">
        <v>109</v>
      </c>
      <c r="B147" s="2" t="s">
        <v>157</v>
      </c>
      <c r="C147" s="2" t="str">
        <f t="shared" si="2"/>
        <v>CD27-m789</v>
      </c>
      <c r="D147" s="3">
        <v>8.5025999999999993</v>
      </c>
    </row>
    <row r="148" spans="1:4">
      <c r="A148" s="2" t="s">
        <v>109</v>
      </c>
      <c r="B148" s="2" t="s">
        <v>158</v>
      </c>
      <c r="C148" s="2" t="str">
        <f t="shared" si="2"/>
        <v>CD27-m731</v>
      </c>
      <c r="D148" s="3">
        <v>31.424099999999999</v>
      </c>
    </row>
    <row r="149" spans="1:4">
      <c r="A149" s="2" t="s">
        <v>109</v>
      </c>
      <c r="B149" s="2" t="s">
        <v>159</v>
      </c>
      <c r="C149" s="2" t="str">
        <f t="shared" si="2"/>
        <v>CD27-m732</v>
      </c>
      <c r="D149" s="3">
        <v>115.057</v>
      </c>
    </row>
    <row r="150" spans="1:4">
      <c r="A150" s="2" t="s">
        <v>109</v>
      </c>
      <c r="B150" s="2" t="s">
        <v>160</v>
      </c>
      <c r="C150" s="2" t="str">
        <f t="shared" si="2"/>
        <v>CD27-m733</v>
      </c>
      <c r="D150" s="3">
        <v>66.845200000000006</v>
      </c>
    </row>
    <row r="151" spans="1:4">
      <c r="A151" s="2" t="s">
        <v>109</v>
      </c>
      <c r="B151" s="2" t="s">
        <v>161</v>
      </c>
      <c r="C151" s="2" t="str">
        <f t="shared" si="2"/>
        <v>CD27-m734</v>
      </c>
      <c r="D151" s="3">
        <v>79.411500000000004</v>
      </c>
    </row>
    <row r="152" spans="1:4">
      <c r="A152" s="2" t="s">
        <v>109</v>
      </c>
      <c r="B152" s="2" t="s">
        <v>162</v>
      </c>
      <c r="C152" s="2" t="str">
        <f t="shared" si="2"/>
        <v>CD27-m735</v>
      </c>
      <c r="D152" s="3">
        <v>41.034999999999997</v>
      </c>
    </row>
    <row r="153" spans="1:4">
      <c r="A153" s="2" t="s">
        <v>109</v>
      </c>
      <c r="B153" s="2" t="s">
        <v>163</v>
      </c>
      <c r="C153" s="2" t="str">
        <f t="shared" si="2"/>
        <v>CD27-m736</v>
      </c>
      <c r="D153" s="3">
        <v>164.42230000000001</v>
      </c>
    </row>
    <row r="154" spans="1:4">
      <c r="A154" s="2" t="s">
        <v>109</v>
      </c>
      <c r="B154" s="2" t="s">
        <v>164</v>
      </c>
      <c r="C154" s="2" t="str">
        <f t="shared" si="2"/>
        <v>CD27-m737</v>
      </c>
      <c r="D154" s="3">
        <v>108.41119999999999</v>
      </c>
    </row>
    <row r="155" spans="1:4">
      <c r="A155" s="2" t="s">
        <v>109</v>
      </c>
      <c r="B155" s="2" t="s">
        <v>165</v>
      </c>
      <c r="C155" s="2" t="str">
        <f t="shared" si="2"/>
        <v>CD27-m738</v>
      </c>
      <c r="D155" s="3">
        <v>85.667500000000004</v>
      </c>
    </row>
    <row r="156" spans="1:4">
      <c r="A156" s="2" t="s">
        <v>109</v>
      </c>
      <c r="B156" s="2" t="s">
        <v>166</v>
      </c>
      <c r="C156" s="2" t="str">
        <f t="shared" si="2"/>
        <v>CD27-m758</v>
      </c>
      <c r="D156" s="3">
        <v>1.5E-3</v>
      </c>
    </row>
    <row r="157" spans="1:4">
      <c r="A157" s="2" t="s">
        <v>109</v>
      </c>
      <c r="B157" s="2" t="s">
        <v>167</v>
      </c>
      <c r="C157" s="2" t="str">
        <f t="shared" si="2"/>
        <v>CD27-m759</v>
      </c>
      <c r="D157" s="3">
        <v>1.1999999999999999E-3</v>
      </c>
    </row>
    <row r="158" spans="1:4">
      <c r="A158" s="2" t="s">
        <v>109</v>
      </c>
      <c r="B158" s="2" t="s">
        <v>168</v>
      </c>
      <c r="C158" s="2" t="str">
        <f t="shared" si="2"/>
        <v>CD27-m760</v>
      </c>
      <c r="D158" s="3">
        <v>6.9999999999999999E-4</v>
      </c>
    </row>
    <row r="159" spans="1:4">
      <c r="A159" s="2" t="s">
        <v>109</v>
      </c>
      <c r="B159" s="2" t="s">
        <v>169</v>
      </c>
      <c r="C159" s="2" t="str">
        <f t="shared" si="2"/>
        <v>CD27-m761</v>
      </c>
      <c r="D159" s="3">
        <v>6.9999999999999999E-4</v>
      </c>
    </row>
    <row r="160" spans="1:4">
      <c r="A160" s="2" t="s">
        <v>109</v>
      </c>
      <c r="B160" s="2" t="s">
        <v>170</v>
      </c>
      <c r="C160" s="2" t="str">
        <f t="shared" si="2"/>
        <v>CD27-m762</v>
      </c>
      <c r="D160" s="3">
        <v>6.9999999999999999E-4</v>
      </c>
    </row>
    <row r="161" spans="1:4">
      <c r="A161" s="2" t="s">
        <v>109</v>
      </c>
      <c r="B161" s="2" t="s">
        <v>171</v>
      </c>
      <c r="C161" s="2" t="str">
        <f t="shared" si="2"/>
        <v>CD27-m763</v>
      </c>
      <c r="D161" s="3">
        <v>1.1000000000000001E-3</v>
      </c>
    </row>
    <row r="162" spans="1:4">
      <c r="A162" s="2" t="s">
        <v>109</v>
      </c>
      <c r="B162" s="2" t="s">
        <v>172</v>
      </c>
      <c r="C162" s="2" t="str">
        <f t="shared" si="2"/>
        <v>CD27-m804</v>
      </c>
      <c r="D162" s="3">
        <v>1.1999999999999999E-3</v>
      </c>
    </row>
    <row r="163" spans="1:4">
      <c r="A163" s="2" t="s">
        <v>109</v>
      </c>
      <c r="B163" s="2" t="s">
        <v>173</v>
      </c>
      <c r="C163" s="2" t="str">
        <f>_xlfn.CONCAT(A163,"-",B163)</f>
        <v>CD27-m805</v>
      </c>
      <c r="D163" s="3">
        <v>8.0000000000000004E-4</v>
      </c>
    </row>
    <row r="164" spans="1:4">
      <c r="A164" s="2" t="s">
        <v>109</v>
      </c>
      <c r="B164" s="2" t="s">
        <v>174</v>
      </c>
      <c r="C164" s="2" t="str">
        <f t="shared" si="2"/>
        <v>CD27-m796</v>
      </c>
      <c r="D164" s="3">
        <v>0.65369999999999995</v>
      </c>
    </row>
    <row r="165" spans="1:4">
      <c r="A165" s="2" t="s">
        <v>109</v>
      </c>
      <c r="B165" s="2" t="s">
        <v>175</v>
      </c>
      <c r="C165" s="2" t="str">
        <f t="shared" si="2"/>
        <v>CD27-m797</v>
      </c>
      <c r="D165" s="3">
        <v>0.27539999999999998</v>
      </c>
    </row>
    <row r="166" spans="1:4">
      <c r="A166" s="2" t="s">
        <v>109</v>
      </c>
      <c r="B166" s="2" t="s">
        <v>176</v>
      </c>
      <c r="C166" s="2" t="str">
        <f t="shared" si="2"/>
        <v>CD27-m798</v>
      </c>
      <c r="D166" s="3">
        <v>0.24660000000000001</v>
      </c>
    </row>
    <row r="167" spans="1:4">
      <c r="A167" s="2" t="s">
        <v>109</v>
      </c>
      <c r="B167" s="2" t="s">
        <v>177</v>
      </c>
      <c r="C167" s="2" t="str">
        <f t="shared" si="2"/>
        <v>CD27-m799</v>
      </c>
      <c r="D167" s="3">
        <v>0.65049999999999997</v>
      </c>
    </row>
    <row r="168" spans="1:4">
      <c r="A168" s="2" t="s">
        <v>109</v>
      </c>
      <c r="B168" s="2" t="s">
        <v>178</v>
      </c>
      <c r="C168" s="2" t="str">
        <f t="shared" si="2"/>
        <v>CD27-m800</v>
      </c>
      <c r="D168" s="3">
        <v>0.63890000000000002</v>
      </c>
    </row>
    <row r="169" spans="1:4">
      <c r="A169" s="2" t="s">
        <v>109</v>
      </c>
      <c r="B169" s="2" t="s">
        <v>179</v>
      </c>
      <c r="C169" s="2" t="str">
        <f t="shared" si="2"/>
        <v>CD27-m801</v>
      </c>
      <c r="D169" s="3">
        <v>0.74429999999999996</v>
      </c>
    </row>
    <row r="170" spans="1:4">
      <c r="A170" s="2" t="s">
        <v>109</v>
      </c>
      <c r="B170" s="2" t="s">
        <v>180</v>
      </c>
      <c r="C170" s="2" t="str">
        <f t="shared" si="2"/>
        <v>CD27-m802</v>
      </c>
      <c r="D170" s="3">
        <v>0.78090000000000004</v>
      </c>
    </row>
    <row r="171" spans="1:4">
      <c r="A171" s="2" t="s">
        <v>109</v>
      </c>
      <c r="B171" s="2" t="s">
        <v>181</v>
      </c>
      <c r="C171" s="2" t="str">
        <f t="shared" si="2"/>
        <v>CD27-m803</v>
      </c>
      <c r="D171" s="3">
        <v>0.57869999999999999</v>
      </c>
    </row>
    <row r="172" spans="1:4">
      <c r="A172" s="2" t="s">
        <v>182</v>
      </c>
      <c r="B172" s="2">
        <v>158</v>
      </c>
      <c r="C172" s="2" t="str">
        <f t="shared" ref="C172:C235" si="3">_xlfn.CONCAT(A172,"-m",B172)</f>
        <v>CD30-m158</v>
      </c>
      <c r="D172" s="3">
        <v>586.30970000000002</v>
      </c>
    </row>
    <row r="173" spans="1:4">
      <c r="A173" s="2" t="s">
        <v>182</v>
      </c>
      <c r="B173" s="2">
        <v>159</v>
      </c>
      <c r="C173" s="2" t="str">
        <f t="shared" si="3"/>
        <v>CD30-m159</v>
      </c>
      <c r="D173" s="3">
        <v>315.02030000000002</v>
      </c>
    </row>
    <row r="174" spans="1:4">
      <c r="A174" s="2" t="s">
        <v>182</v>
      </c>
      <c r="B174" s="2">
        <v>160</v>
      </c>
      <c r="C174" s="2" t="str">
        <f t="shared" si="3"/>
        <v>CD30-m160</v>
      </c>
      <c r="D174" s="3">
        <v>347.1628</v>
      </c>
    </row>
    <row r="175" spans="1:4">
      <c r="A175" s="2" t="s">
        <v>182</v>
      </c>
      <c r="B175" s="2">
        <v>161</v>
      </c>
      <c r="C175" s="2" t="str">
        <f t="shared" si="3"/>
        <v>CD30-m161</v>
      </c>
      <c r="D175" s="3">
        <v>274.6268</v>
      </c>
    </row>
    <row r="176" spans="1:4">
      <c r="A176" s="2" t="s">
        <v>182</v>
      </c>
      <c r="B176" s="2">
        <v>162</v>
      </c>
      <c r="C176" s="2" t="str">
        <f t="shared" si="3"/>
        <v>CD30-m162</v>
      </c>
      <c r="D176" s="3">
        <v>794.05240000000003</v>
      </c>
    </row>
    <row r="177" spans="1:4">
      <c r="A177" s="2" t="s">
        <v>182</v>
      </c>
      <c r="B177" s="2">
        <v>164</v>
      </c>
      <c r="C177" s="2" t="str">
        <f t="shared" si="3"/>
        <v>CD30-m164</v>
      </c>
      <c r="D177" s="3">
        <v>244.8502</v>
      </c>
    </row>
    <row r="178" spans="1:4">
      <c r="A178" s="2" t="s">
        <v>182</v>
      </c>
      <c r="B178" s="2">
        <v>165</v>
      </c>
      <c r="C178" s="2" t="str">
        <f t="shared" si="3"/>
        <v>CD30-m165</v>
      </c>
      <c r="D178" s="3">
        <v>337.2518</v>
      </c>
    </row>
    <row r="179" spans="1:4">
      <c r="A179" s="2" t="s">
        <v>182</v>
      </c>
      <c r="B179" s="2">
        <v>166</v>
      </c>
      <c r="C179" s="2" t="str">
        <f t="shared" si="3"/>
        <v>CD30-m166</v>
      </c>
      <c r="D179" s="3">
        <v>490.1936</v>
      </c>
    </row>
    <row r="180" spans="1:4">
      <c r="A180" s="2" t="s">
        <v>182</v>
      </c>
      <c r="B180" s="2">
        <v>167</v>
      </c>
      <c r="C180" s="2" t="str">
        <f t="shared" si="3"/>
        <v>CD30-m167</v>
      </c>
      <c r="D180" s="3">
        <v>338.10590000000002</v>
      </c>
    </row>
    <row r="181" spans="1:4">
      <c r="A181" s="2" t="s">
        <v>182</v>
      </c>
      <c r="B181" s="2">
        <v>168</v>
      </c>
      <c r="C181" s="2" t="str">
        <f t="shared" si="3"/>
        <v>CD30-m168</v>
      </c>
      <c r="D181" s="3">
        <v>550.21270000000004</v>
      </c>
    </row>
    <row r="182" spans="1:4">
      <c r="A182" s="2" t="s">
        <v>182</v>
      </c>
      <c r="B182" s="2">
        <v>169</v>
      </c>
      <c r="C182" s="2" t="str">
        <f t="shared" si="3"/>
        <v>CD30-m169</v>
      </c>
      <c r="D182" s="3">
        <v>262.5437</v>
      </c>
    </row>
    <row r="183" spans="1:4">
      <c r="A183" s="2" t="s">
        <v>182</v>
      </c>
      <c r="B183" s="2">
        <v>170</v>
      </c>
      <c r="C183" s="2" t="str">
        <f t="shared" si="3"/>
        <v>CD30-m170</v>
      </c>
      <c r="D183" s="3">
        <v>341.94869999999997</v>
      </c>
    </row>
    <row r="184" spans="1:4">
      <c r="A184" s="2" t="s">
        <v>182</v>
      </c>
      <c r="B184" s="2">
        <v>171</v>
      </c>
      <c r="C184" s="2" t="str">
        <f t="shared" si="3"/>
        <v>CD30-m171</v>
      </c>
      <c r="D184" s="3">
        <v>774.48609999999996</v>
      </c>
    </row>
    <row r="185" spans="1:4">
      <c r="A185" s="2" t="s">
        <v>182</v>
      </c>
      <c r="B185" s="2">
        <v>172</v>
      </c>
      <c r="C185" s="2" t="str">
        <f t="shared" si="3"/>
        <v>CD30-m172</v>
      </c>
      <c r="D185" s="3">
        <v>725.54579999999999</v>
      </c>
    </row>
    <row r="186" spans="1:4">
      <c r="A186" s="2" t="s">
        <v>182</v>
      </c>
      <c r="B186" s="2">
        <v>173</v>
      </c>
      <c r="C186" s="2" t="str">
        <f t="shared" si="3"/>
        <v>CD30-m173</v>
      </c>
      <c r="D186" s="3">
        <v>897.23159999999996</v>
      </c>
    </row>
    <row r="187" spans="1:4">
      <c r="A187" s="2" t="s">
        <v>182</v>
      </c>
      <c r="B187" s="2">
        <v>175</v>
      </c>
      <c r="C187" s="2" t="str">
        <f t="shared" si="3"/>
        <v>CD30-m175</v>
      </c>
      <c r="D187" s="3">
        <v>147.19929999999999</v>
      </c>
    </row>
    <row r="188" spans="1:4">
      <c r="A188" s="2" t="s">
        <v>182</v>
      </c>
      <c r="B188" s="2">
        <v>176</v>
      </c>
      <c r="C188" s="2" t="str">
        <f t="shared" si="3"/>
        <v>CD30-m176</v>
      </c>
      <c r="D188" s="3">
        <v>327.46379999999999</v>
      </c>
    </row>
    <row r="189" spans="1:4">
      <c r="A189" s="2" t="s">
        <v>182</v>
      </c>
      <c r="B189" s="2">
        <v>177</v>
      </c>
      <c r="C189" s="2" t="str">
        <f t="shared" si="3"/>
        <v>CD30-m177</v>
      </c>
      <c r="D189" s="3">
        <v>543.02650000000006</v>
      </c>
    </row>
    <row r="190" spans="1:4">
      <c r="A190" s="2" t="s">
        <v>182</v>
      </c>
      <c r="B190" s="2">
        <v>178</v>
      </c>
      <c r="C190" s="2" t="str">
        <f t="shared" si="3"/>
        <v>CD30-m178</v>
      </c>
      <c r="D190" s="3">
        <v>225.8492</v>
      </c>
    </row>
    <row r="191" spans="1:4">
      <c r="A191" s="2" t="s">
        <v>182</v>
      </c>
      <c r="B191" s="2">
        <v>179</v>
      </c>
      <c r="C191" s="2" t="str">
        <f t="shared" si="3"/>
        <v>CD30-m179</v>
      </c>
      <c r="D191" s="3">
        <v>289.0564</v>
      </c>
    </row>
    <row r="192" spans="1:4">
      <c r="A192" s="2" t="s">
        <v>182</v>
      </c>
      <c r="B192" s="2">
        <v>180</v>
      </c>
      <c r="C192" s="2" t="str">
        <f t="shared" si="3"/>
        <v>CD30-m180</v>
      </c>
      <c r="D192" s="3">
        <v>156.01439999999999</v>
      </c>
    </row>
    <row r="193" spans="1:4">
      <c r="A193" s="2" t="s">
        <v>182</v>
      </c>
      <c r="B193" s="2">
        <v>181</v>
      </c>
      <c r="C193" s="2" t="str">
        <f t="shared" si="3"/>
        <v>CD30-m181</v>
      </c>
      <c r="D193" s="3">
        <v>239.7413</v>
      </c>
    </row>
    <row r="194" spans="1:4">
      <c r="A194" s="2" t="s">
        <v>182</v>
      </c>
      <c r="B194" s="2">
        <v>182</v>
      </c>
      <c r="C194" s="2" t="str">
        <f t="shared" si="3"/>
        <v>CD30-m182</v>
      </c>
      <c r="D194" s="3">
        <v>402.9237</v>
      </c>
    </row>
    <row r="195" spans="1:4">
      <c r="A195" s="2" t="s">
        <v>182</v>
      </c>
      <c r="B195" s="2">
        <v>183</v>
      </c>
      <c r="C195" s="2" t="str">
        <f t="shared" si="3"/>
        <v>CD30-m183</v>
      </c>
      <c r="D195" s="3">
        <v>264.4228</v>
      </c>
    </row>
    <row r="196" spans="1:4">
      <c r="A196" s="2" t="s">
        <v>182</v>
      </c>
      <c r="B196" s="2">
        <v>184</v>
      </c>
      <c r="C196" s="2" t="str">
        <f t="shared" si="3"/>
        <v>CD30-m184</v>
      </c>
      <c r="D196" s="3">
        <v>183.3614</v>
      </c>
    </row>
    <row r="197" spans="1:4">
      <c r="A197" s="2" t="s">
        <v>182</v>
      </c>
      <c r="B197" s="2">
        <v>185</v>
      </c>
      <c r="C197" s="2" t="str">
        <f t="shared" si="3"/>
        <v>CD30-m185</v>
      </c>
      <c r="D197" s="3">
        <v>236.3434</v>
      </c>
    </row>
    <row r="198" spans="1:4">
      <c r="A198" s="2" t="s">
        <v>182</v>
      </c>
      <c r="B198" s="2">
        <v>187</v>
      </c>
      <c r="C198" s="2" t="str">
        <f t="shared" si="3"/>
        <v>CD30-m187</v>
      </c>
      <c r="D198" s="3">
        <v>305.32709999999997</v>
      </c>
    </row>
    <row r="199" spans="1:4">
      <c r="A199" s="2" t="s">
        <v>182</v>
      </c>
      <c r="B199" s="2">
        <v>188</v>
      </c>
      <c r="C199" s="2" t="str">
        <f t="shared" si="3"/>
        <v>CD30-m188</v>
      </c>
      <c r="D199" s="3">
        <v>5.9999999999999995E-4</v>
      </c>
    </row>
    <row r="200" spans="1:4">
      <c r="A200" s="2" t="s">
        <v>182</v>
      </c>
      <c r="B200" s="2">
        <v>189</v>
      </c>
      <c r="C200" s="2" t="str">
        <f t="shared" si="3"/>
        <v>CD30-m189</v>
      </c>
      <c r="D200" s="3">
        <v>5.9999999999999995E-4</v>
      </c>
    </row>
    <row r="201" spans="1:4">
      <c r="A201" s="2" t="s">
        <v>182</v>
      </c>
      <c r="B201" s="2">
        <v>191</v>
      </c>
      <c r="C201" s="2" t="str">
        <f t="shared" si="3"/>
        <v>CD30-m191</v>
      </c>
      <c r="D201" s="3">
        <v>5.9999999999999995E-4</v>
      </c>
    </row>
    <row r="202" spans="1:4">
      <c r="A202" s="2" t="s">
        <v>182</v>
      </c>
      <c r="B202" s="2">
        <v>192</v>
      </c>
      <c r="C202" s="2" t="str">
        <f t="shared" si="3"/>
        <v>CD30-m192</v>
      </c>
      <c r="D202" s="3">
        <v>5.9999999999999995E-4</v>
      </c>
    </row>
    <row r="203" spans="1:4">
      <c r="A203" s="2" t="s">
        <v>182</v>
      </c>
      <c r="B203" s="2">
        <v>198</v>
      </c>
      <c r="C203" s="2" t="str">
        <f t="shared" si="3"/>
        <v>CD30-m198</v>
      </c>
      <c r="D203" s="3">
        <v>5.9999999999999995E-4</v>
      </c>
    </row>
    <row r="204" spans="1:4">
      <c r="A204" s="2" t="s">
        <v>182</v>
      </c>
      <c r="B204" s="2">
        <v>200</v>
      </c>
      <c r="C204" s="2" t="str">
        <f t="shared" si="3"/>
        <v>CD30-m200</v>
      </c>
      <c r="D204" s="3">
        <v>5.9999999999999995E-4</v>
      </c>
    </row>
    <row r="205" spans="1:4">
      <c r="A205" s="2" t="s">
        <v>182</v>
      </c>
      <c r="B205" s="2">
        <v>201</v>
      </c>
      <c r="C205" s="2" t="str">
        <f t="shared" si="3"/>
        <v>CD30-m201</v>
      </c>
      <c r="D205" s="3">
        <v>5.9999999999999995E-4</v>
      </c>
    </row>
    <row r="206" spans="1:4">
      <c r="A206" s="2" t="s">
        <v>182</v>
      </c>
      <c r="B206" s="2">
        <v>202</v>
      </c>
      <c r="C206" s="2" t="str">
        <f t="shared" si="3"/>
        <v>CD30-m202</v>
      </c>
      <c r="D206" s="3">
        <v>5.9999999999999995E-4</v>
      </c>
    </row>
    <row r="207" spans="1:4">
      <c r="A207" s="2" t="s">
        <v>182</v>
      </c>
      <c r="B207" s="2">
        <v>248</v>
      </c>
      <c r="C207" s="2" t="str">
        <f t="shared" si="3"/>
        <v>CD30-m248</v>
      </c>
      <c r="D207" s="3">
        <v>5.9999999999999995E-4</v>
      </c>
    </row>
    <row r="208" spans="1:4">
      <c r="A208" s="2" t="s">
        <v>182</v>
      </c>
      <c r="B208" s="2">
        <v>208</v>
      </c>
      <c r="C208" s="2" t="str">
        <f t="shared" si="3"/>
        <v>CD30-m208</v>
      </c>
      <c r="D208" s="3">
        <v>5.9999999999999995E-4</v>
      </c>
    </row>
    <row r="209" spans="1:4">
      <c r="A209" s="2" t="s">
        <v>182</v>
      </c>
      <c r="B209" s="2">
        <v>209</v>
      </c>
      <c r="C209" s="2" t="str">
        <f t="shared" si="3"/>
        <v>CD30-m209</v>
      </c>
      <c r="D209" s="3">
        <v>0.1258</v>
      </c>
    </row>
    <row r="210" spans="1:4">
      <c r="A210" s="2" t="s">
        <v>182</v>
      </c>
      <c r="B210" s="2">
        <v>210</v>
      </c>
      <c r="C210" s="2" t="str">
        <f t="shared" si="3"/>
        <v>CD30-m210</v>
      </c>
      <c r="D210" s="3">
        <v>5.9999999999999995E-4</v>
      </c>
    </row>
    <row r="211" spans="1:4">
      <c r="A211" s="2" t="s">
        <v>182</v>
      </c>
      <c r="B211" s="2">
        <v>211</v>
      </c>
      <c r="C211" s="2" t="str">
        <f t="shared" si="3"/>
        <v>CD30-m211</v>
      </c>
      <c r="D211" s="3">
        <v>0.1918</v>
      </c>
    </row>
    <row r="212" spans="1:4">
      <c r="A212" s="2" t="s">
        <v>182</v>
      </c>
      <c r="B212" s="2">
        <v>212</v>
      </c>
      <c r="C212" s="2" t="str">
        <f t="shared" si="3"/>
        <v>CD30-m212</v>
      </c>
      <c r="D212" s="3">
        <v>5.9999999999999995E-4</v>
      </c>
    </row>
    <row r="213" spans="1:4">
      <c r="A213" s="2" t="s">
        <v>182</v>
      </c>
      <c r="B213" s="2">
        <v>213</v>
      </c>
      <c r="C213" s="2" t="str">
        <f t="shared" si="3"/>
        <v>CD30-m213</v>
      </c>
      <c r="D213" s="3">
        <v>683.24900000000002</v>
      </c>
    </row>
    <row r="214" spans="1:4">
      <c r="A214" s="2" t="s">
        <v>182</v>
      </c>
      <c r="B214" s="2">
        <v>215</v>
      </c>
      <c r="C214" s="2" t="str">
        <f t="shared" si="3"/>
        <v>CD30-m215</v>
      </c>
      <c r="D214" s="3">
        <v>461.9239</v>
      </c>
    </row>
    <row r="215" spans="1:4">
      <c r="A215" s="2" t="s">
        <v>182</v>
      </c>
      <c r="B215" s="2">
        <v>216</v>
      </c>
      <c r="C215" s="2" t="str">
        <f t="shared" si="3"/>
        <v>CD30-m216</v>
      </c>
      <c r="D215" s="3">
        <v>580.46420000000001</v>
      </c>
    </row>
    <row r="216" spans="1:4">
      <c r="A216" s="2" t="s">
        <v>182</v>
      </c>
      <c r="B216" s="2">
        <v>217</v>
      </c>
      <c r="C216" s="2" t="str">
        <f t="shared" si="3"/>
        <v>CD30-m217</v>
      </c>
      <c r="D216" s="3">
        <v>617.44939999999997</v>
      </c>
    </row>
    <row r="217" spans="1:4">
      <c r="A217" s="2" t="s">
        <v>182</v>
      </c>
      <c r="B217" s="2">
        <v>218</v>
      </c>
      <c r="C217" s="2" t="str">
        <f t="shared" si="3"/>
        <v>CD30-m218</v>
      </c>
      <c r="D217" s="3">
        <v>497.5693</v>
      </c>
    </row>
    <row r="218" spans="1:4">
      <c r="A218" s="2" t="s">
        <v>182</v>
      </c>
      <c r="B218" s="2">
        <v>219</v>
      </c>
      <c r="C218" s="2" t="str">
        <f t="shared" si="3"/>
        <v>CD30-m219</v>
      </c>
      <c r="D218" s="3">
        <v>470.80239999999998</v>
      </c>
    </row>
    <row r="219" spans="1:4">
      <c r="A219" s="2" t="s">
        <v>182</v>
      </c>
      <c r="B219" s="2">
        <v>220</v>
      </c>
      <c r="C219" s="2" t="str">
        <f t="shared" si="3"/>
        <v>CD30-m220</v>
      </c>
      <c r="D219" s="3">
        <v>528.7346</v>
      </c>
    </row>
    <row r="220" spans="1:4">
      <c r="A220" s="2" t="s">
        <v>182</v>
      </c>
      <c r="B220" s="2">
        <v>221</v>
      </c>
      <c r="C220" s="2" t="str">
        <f t="shared" si="3"/>
        <v>CD30-m221</v>
      </c>
      <c r="D220" s="3">
        <v>798.88959999999997</v>
      </c>
    </row>
    <row r="221" spans="1:4">
      <c r="A221" s="2" t="s">
        <v>182</v>
      </c>
      <c r="B221" s="2">
        <v>222</v>
      </c>
      <c r="C221" s="2" t="str">
        <f t="shared" si="3"/>
        <v>CD30-m222</v>
      </c>
      <c r="D221" s="3">
        <v>168.0641</v>
      </c>
    </row>
    <row r="222" spans="1:4">
      <c r="A222" s="2" t="s">
        <v>182</v>
      </c>
      <c r="B222" s="2">
        <v>223</v>
      </c>
      <c r="C222" s="2" t="str">
        <f t="shared" si="3"/>
        <v>CD30-m223</v>
      </c>
      <c r="D222" s="3">
        <v>404.34039999999999</v>
      </c>
    </row>
    <row r="223" spans="1:4">
      <c r="A223" s="2" t="s">
        <v>182</v>
      </c>
      <c r="B223" s="2">
        <v>224</v>
      </c>
      <c r="C223" s="2" t="str">
        <f t="shared" si="3"/>
        <v>CD30-m224</v>
      </c>
      <c r="D223" s="3">
        <v>371.32139999999998</v>
      </c>
    </row>
    <row r="224" spans="1:4">
      <c r="A224" s="2" t="s">
        <v>182</v>
      </c>
      <c r="B224" s="2">
        <v>226</v>
      </c>
      <c r="C224" s="2" t="str">
        <f t="shared" si="3"/>
        <v>CD30-m226</v>
      </c>
      <c r="D224" s="3">
        <v>527.88400000000001</v>
      </c>
    </row>
    <row r="225" spans="1:4">
      <c r="A225" s="2" t="s">
        <v>182</v>
      </c>
      <c r="B225" s="2">
        <v>227</v>
      </c>
      <c r="C225" s="2" t="str">
        <f t="shared" si="3"/>
        <v>CD30-m227</v>
      </c>
      <c r="D225" s="3">
        <v>473.60910000000001</v>
      </c>
    </row>
    <row r="226" spans="1:4">
      <c r="A226" s="2" t="s">
        <v>182</v>
      </c>
      <c r="B226" s="2">
        <v>252</v>
      </c>
      <c r="C226" s="2" t="str">
        <f t="shared" si="3"/>
        <v>CD30-m252</v>
      </c>
      <c r="D226" s="3">
        <v>474.07420000000002</v>
      </c>
    </row>
    <row r="227" spans="1:4">
      <c r="A227" s="2" t="s">
        <v>182</v>
      </c>
      <c r="B227" s="2">
        <v>233</v>
      </c>
      <c r="C227" s="2" t="str">
        <f t="shared" si="3"/>
        <v>CD30-m233</v>
      </c>
      <c r="D227" s="3">
        <v>5.9999999999999995E-4</v>
      </c>
    </row>
    <row r="228" spans="1:4">
      <c r="A228" s="2" t="s">
        <v>182</v>
      </c>
      <c r="B228" s="2">
        <v>234</v>
      </c>
      <c r="C228" s="2" t="str">
        <f t="shared" si="3"/>
        <v>CD30-m234</v>
      </c>
      <c r="D228" s="3">
        <v>7.0000000000000001E-3</v>
      </c>
    </row>
    <row r="229" spans="1:4">
      <c r="A229" s="2" t="s">
        <v>182</v>
      </c>
      <c r="B229" s="2">
        <v>235</v>
      </c>
      <c r="C229" s="2" t="str">
        <f t="shared" si="3"/>
        <v>CD30-m235</v>
      </c>
      <c r="D229" s="3">
        <v>5.9999999999999995E-4</v>
      </c>
    </row>
    <row r="230" spans="1:4">
      <c r="A230" s="2" t="s">
        <v>182</v>
      </c>
      <c r="B230" s="2">
        <v>236</v>
      </c>
      <c r="C230" s="2" t="str">
        <f t="shared" si="3"/>
        <v>CD30-m236</v>
      </c>
      <c r="D230" s="3">
        <v>5.9999999999999995E-4</v>
      </c>
    </row>
    <row r="231" spans="1:4">
      <c r="A231" s="2" t="s">
        <v>182</v>
      </c>
      <c r="B231" s="2">
        <v>237</v>
      </c>
      <c r="C231" s="2" t="str">
        <f t="shared" si="3"/>
        <v>CD30-m237</v>
      </c>
      <c r="D231" s="3">
        <v>5.9999999999999995E-4</v>
      </c>
    </row>
    <row r="232" spans="1:4">
      <c r="A232" s="2" t="s">
        <v>182</v>
      </c>
      <c r="B232" s="2">
        <v>238</v>
      </c>
      <c r="C232" s="2" t="str">
        <f t="shared" si="3"/>
        <v>CD30-m238</v>
      </c>
      <c r="D232" s="3">
        <v>5.9999999999999995E-4</v>
      </c>
    </row>
    <row r="233" spans="1:4">
      <c r="A233" s="2" t="s">
        <v>182</v>
      </c>
      <c r="B233" s="2">
        <v>239</v>
      </c>
      <c r="C233" s="2" t="str">
        <f t="shared" si="3"/>
        <v>CD30-m239</v>
      </c>
      <c r="D233" s="3">
        <v>5.9999999999999995E-4</v>
      </c>
    </row>
    <row r="234" spans="1:4">
      <c r="A234" s="2" t="s">
        <v>182</v>
      </c>
      <c r="B234" s="2">
        <v>242</v>
      </c>
      <c r="C234" s="2" t="str">
        <f t="shared" si="3"/>
        <v>CD30-m242</v>
      </c>
      <c r="D234" s="3">
        <v>1.06E-2</v>
      </c>
    </row>
    <row r="235" spans="1:4">
      <c r="A235" s="2" t="s">
        <v>182</v>
      </c>
      <c r="B235" s="2">
        <v>243</v>
      </c>
      <c r="C235" s="2" t="str">
        <f t="shared" si="3"/>
        <v>CD30-m243</v>
      </c>
      <c r="D235" s="3">
        <v>5.9999999999999995E-4</v>
      </c>
    </row>
    <row r="236" spans="1:4">
      <c r="A236" s="2" t="s">
        <v>182</v>
      </c>
      <c r="B236" s="2">
        <v>244</v>
      </c>
      <c r="C236" s="2" t="str">
        <f t="shared" ref="C236:C299" si="4">_xlfn.CONCAT(A236,"-m",B236)</f>
        <v>CD30-m244</v>
      </c>
      <c r="D236" s="3">
        <v>5.9999999999999995E-4</v>
      </c>
    </row>
    <row r="237" spans="1:4">
      <c r="A237" s="2" t="s">
        <v>182</v>
      </c>
      <c r="B237" s="2">
        <v>245</v>
      </c>
      <c r="C237" s="2" t="str">
        <f t="shared" si="4"/>
        <v>CD30-m245</v>
      </c>
      <c r="D237" s="3">
        <v>5.9999999999999995E-4</v>
      </c>
    </row>
    <row r="238" spans="1:4">
      <c r="A238" s="2" t="s">
        <v>182</v>
      </c>
      <c r="B238" s="2">
        <v>246</v>
      </c>
      <c r="C238" s="2" t="str">
        <f t="shared" si="4"/>
        <v>CD30-m246</v>
      </c>
      <c r="D238" s="3">
        <v>5.9999999999999995E-4</v>
      </c>
    </row>
    <row r="239" spans="1:4">
      <c r="A239" s="2" t="s">
        <v>182</v>
      </c>
      <c r="B239" s="2">
        <v>247</v>
      </c>
      <c r="C239" s="2" t="str">
        <f t="shared" si="4"/>
        <v>CD30-m247</v>
      </c>
      <c r="D239" s="3">
        <v>5.9999999999999995E-4</v>
      </c>
    </row>
    <row r="240" spans="1:4">
      <c r="A240" s="2" t="s">
        <v>182</v>
      </c>
      <c r="B240" s="2">
        <v>193</v>
      </c>
      <c r="C240" s="2" t="str">
        <f t="shared" si="4"/>
        <v>CD30-m193</v>
      </c>
      <c r="D240" s="3">
        <v>181.98429999999999</v>
      </c>
    </row>
    <row r="241" spans="1:4">
      <c r="A241" s="2" t="s">
        <v>182</v>
      </c>
      <c r="B241" s="2">
        <v>195</v>
      </c>
      <c r="C241" s="2" t="str">
        <f t="shared" si="4"/>
        <v>CD30-m195</v>
      </c>
      <c r="D241" s="3">
        <v>235.21420000000001</v>
      </c>
    </row>
    <row r="242" spans="1:4">
      <c r="A242" s="2" t="s">
        <v>182</v>
      </c>
      <c r="B242" s="2">
        <v>196</v>
      </c>
      <c r="C242" s="2" t="str">
        <f t="shared" si="4"/>
        <v>CD30-m196</v>
      </c>
      <c r="D242" s="3">
        <v>347.66399999999999</v>
      </c>
    </row>
    <row r="243" spans="1:4">
      <c r="A243" s="2" t="s">
        <v>182</v>
      </c>
      <c r="B243" s="2">
        <v>197</v>
      </c>
      <c r="C243" s="2" t="str">
        <f t="shared" si="4"/>
        <v>CD30-m197</v>
      </c>
      <c r="D243" s="3">
        <v>347.61880000000002</v>
      </c>
    </row>
    <row r="244" spans="1:4">
      <c r="A244" s="2" t="s">
        <v>182</v>
      </c>
      <c r="B244" s="2">
        <v>203</v>
      </c>
      <c r="C244" s="2" t="str">
        <f t="shared" si="4"/>
        <v>CD30-m203</v>
      </c>
      <c r="D244" s="3">
        <v>253.77510000000001</v>
      </c>
    </row>
    <row r="245" spans="1:4">
      <c r="A245" s="2" t="s">
        <v>182</v>
      </c>
      <c r="B245" s="2">
        <v>204</v>
      </c>
      <c r="C245" s="2" t="str">
        <f t="shared" si="4"/>
        <v>CD30-m204</v>
      </c>
      <c r="D245" s="3">
        <v>488.88589999999999</v>
      </c>
    </row>
    <row r="246" spans="1:4">
      <c r="A246" s="2" t="s">
        <v>182</v>
      </c>
      <c r="B246" s="2">
        <v>205</v>
      </c>
      <c r="C246" s="2" t="str">
        <f t="shared" si="4"/>
        <v>CD30-m205</v>
      </c>
      <c r="D246" s="3">
        <v>297.62110000000001</v>
      </c>
    </row>
    <row r="247" spans="1:4">
      <c r="A247" s="2" t="s">
        <v>182</v>
      </c>
      <c r="B247" s="2">
        <v>206</v>
      </c>
      <c r="C247" s="2" t="str">
        <f t="shared" si="4"/>
        <v>CD30-m206</v>
      </c>
      <c r="D247" s="3">
        <v>296.12400000000002</v>
      </c>
    </row>
    <row r="248" spans="1:4">
      <c r="A248" s="2" t="s">
        <v>182</v>
      </c>
      <c r="B248" s="2">
        <v>207</v>
      </c>
      <c r="C248" s="2" t="str">
        <f t="shared" si="4"/>
        <v>CD30-m207</v>
      </c>
      <c r="D248" s="3">
        <v>520.05820000000006</v>
      </c>
    </row>
    <row r="249" spans="1:4">
      <c r="A249" s="2" t="s">
        <v>182</v>
      </c>
      <c r="B249" s="2">
        <v>228</v>
      </c>
      <c r="C249" s="2" t="str">
        <f t="shared" si="4"/>
        <v>CD30-m228</v>
      </c>
      <c r="D249" s="3">
        <v>209.6798</v>
      </c>
    </row>
    <row r="250" spans="1:4">
      <c r="A250" s="2" t="s">
        <v>182</v>
      </c>
      <c r="B250" s="2">
        <v>229</v>
      </c>
      <c r="C250" s="2" t="str">
        <f t="shared" si="4"/>
        <v>CD30-m229</v>
      </c>
      <c r="D250" s="3">
        <v>397.8603</v>
      </c>
    </row>
    <row r="251" spans="1:4">
      <c r="A251" s="2" t="s">
        <v>182</v>
      </c>
      <c r="B251" s="2">
        <v>230</v>
      </c>
      <c r="C251" s="2" t="str">
        <f t="shared" si="4"/>
        <v>CD30-m230</v>
      </c>
      <c r="D251" s="3">
        <v>307.74650000000003</v>
      </c>
    </row>
    <row r="252" spans="1:4">
      <c r="A252" s="2" t="s">
        <v>182</v>
      </c>
      <c r="B252" s="2">
        <v>231</v>
      </c>
      <c r="C252" s="2" t="str">
        <f t="shared" si="4"/>
        <v>CD30-m231</v>
      </c>
      <c r="D252" s="3">
        <v>396.31380000000001</v>
      </c>
    </row>
    <row r="253" spans="1:4">
      <c r="A253" s="2" t="s">
        <v>182</v>
      </c>
      <c r="B253" s="2">
        <v>232</v>
      </c>
      <c r="C253" s="2" t="str">
        <f t="shared" si="4"/>
        <v>CD30-m232</v>
      </c>
      <c r="D253" s="3">
        <v>372.30329999999998</v>
      </c>
    </row>
    <row r="254" spans="1:4">
      <c r="A254" s="2" t="s">
        <v>183</v>
      </c>
      <c r="B254" s="2">
        <v>324</v>
      </c>
      <c r="C254" s="2" t="str">
        <f t="shared" si="4"/>
        <v>CD46-m324</v>
      </c>
      <c r="D254" s="3">
        <v>6.7999999999999996E-3</v>
      </c>
    </row>
    <row r="255" spans="1:4">
      <c r="A255" s="2" t="s">
        <v>183</v>
      </c>
      <c r="B255" s="2">
        <v>327</v>
      </c>
      <c r="C255" s="2" t="str">
        <f t="shared" si="4"/>
        <v>CD46-m327</v>
      </c>
      <c r="D255" s="3">
        <v>6.7999999999999996E-3</v>
      </c>
    </row>
    <row r="256" spans="1:4">
      <c r="A256" s="2" t="s">
        <v>183</v>
      </c>
      <c r="B256" s="2">
        <v>328</v>
      </c>
      <c r="C256" s="2" t="str">
        <f t="shared" si="4"/>
        <v>CD46-m328</v>
      </c>
      <c r="D256" s="3">
        <v>6.7999999999999996E-3</v>
      </c>
    </row>
    <row r="257" spans="1:4">
      <c r="A257" s="2" t="s">
        <v>183</v>
      </c>
      <c r="B257" s="2">
        <v>330</v>
      </c>
      <c r="C257" s="2" t="str">
        <f t="shared" si="4"/>
        <v>CD46-m330</v>
      </c>
      <c r="D257" s="3">
        <v>1.5599999999999999E-2</v>
      </c>
    </row>
    <row r="258" spans="1:4">
      <c r="A258" s="2" t="s">
        <v>183</v>
      </c>
      <c r="B258" s="2">
        <v>331</v>
      </c>
      <c r="C258" s="2" t="str">
        <f t="shared" si="4"/>
        <v>CD46-m331</v>
      </c>
      <c r="D258" s="3">
        <v>79.352699999999999</v>
      </c>
    </row>
    <row r="259" spans="1:4">
      <c r="A259" s="2" t="s">
        <v>183</v>
      </c>
      <c r="B259" s="2">
        <v>332</v>
      </c>
      <c r="C259" s="2" t="str">
        <f t="shared" si="4"/>
        <v>CD46-m332</v>
      </c>
      <c r="D259" s="3">
        <v>34.323700000000002</v>
      </c>
    </row>
    <row r="260" spans="1:4">
      <c r="A260" s="2" t="s">
        <v>183</v>
      </c>
      <c r="B260" s="2">
        <v>333</v>
      </c>
      <c r="C260" s="2" t="str">
        <f t="shared" si="4"/>
        <v>CD46-m333</v>
      </c>
      <c r="D260" s="3">
        <v>71.940799999999996</v>
      </c>
    </row>
    <row r="261" spans="1:4">
      <c r="A261" s="2" t="s">
        <v>183</v>
      </c>
      <c r="B261" s="2">
        <v>334</v>
      </c>
      <c r="C261" s="2" t="str">
        <f t="shared" si="4"/>
        <v>CD46-m334</v>
      </c>
      <c r="D261" s="3">
        <v>73.215900000000005</v>
      </c>
    </row>
    <row r="262" spans="1:4">
      <c r="A262" s="2" t="s">
        <v>183</v>
      </c>
      <c r="B262" s="2">
        <v>336</v>
      </c>
      <c r="C262" s="2" t="str">
        <f t="shared" si="4"/>
        <v>CD46-m336</v>
      </c>
      <c r="D262" s="3">
        <v>79.2136</v>
      </c>
    </row>
    <row r="263" spans="1:4">
      <c r="A263" s="2" t="s">
        <v>183</v>
      </c>
      <c r="B263" s="2">
        <v>337</v>
      </c>
      <c r="C263" s="2" t="str">
        <f t="shared" si="4"/>
        <v>CD46-m337</v>
      </c>
      <c r="D263" s="3">
        <v>59.510100000000001</v>
      </c>
    </row>
    <row r="264" spans="1:4">
      <c r="A264" s="2" t="s">
        <v>183</v>
      </c>
      <c r="B264" s="2">
        <v>338</v>
      </c>
      <c r="C264" s="2" t="str">
        <f t="shared" si="4"/>
        <v>CD46-m338</v>
      </c>
      <c r="D264" s="3">
        <v>13.974</v>
      </c>
    </row>
    <row r="265" spans="1:4">
      <c r="A265" s="2" t="s">
        <v>183</v>
      </c>
      <c r="B265" s="2">
        <v>339</v>
      </c>
      <c r="C265" s="2" t="str">
        <f t="shared" si="4"/>
        <v>CD46-m339</v>
      </c>
      <c r="D265" s="3">
        <v>45.259599999999999</v>
      </c>
    </row>
    <row r="266" spans="1:4">
      <c r="A266" s="2" t="s">
        <v>183</v>
      </c>
      <c r="B266" s="2">
        <v>340</v>
      </c>
      <c r="C266" s="2" t="str">
        <f t="shared" si="4"/>
        <v>CD46-m340</v>
      </c>
      <c r="D266" s="3">
        <v>86.195300000000003</v>
      </c>
    </row>
    <row r="267" spans="1:4">
      <c r="A267" s="2" t="s">
        <v>183</v>
      </c>
      <c r="B267" s="2">
        <v>341</v>
      </c>
      <c r="C267" s="2" t="str">
        <f t="shared" si="4"/>
        <v>CD46-m341</v>
      </c>
      <c r="D267" s="3">
        <v>6.7999999999999996E-3</v>
      </c>
    </row>
    <row r="268" spans="1:4">
      <c r="A268" s="2" t="s">
        <v>183</v>
      </c>
      <c r="B268" s="2">
        <v>342</v>
      </c>
      <c r="C268" s="2" t="str">
        <f t="shared" si="4"/>
        <v>CD46-m342</v>
      </c>
      <c r="D268" s="3">
        <v>6.7999999999999996E-3</v>
      </c>
    </row>
    <row r="269" spans="1:4">
      <c r="A269" s="2" t="s">
        <v>183</v>
      </c>
      <c r="B269" s="2">
        <v>343</v>
      </c>
      <c r="C269" s="2" t="str">
        <f t="shared" si="4"/>
        <v>CD46-m343</v>
      </c>
      <c r="D269" s="3">
        <v>1.46E-2</v>
      </c>
    </row>
    <row r="270" spans="1:4">
      <c r="A270" s="2" t="s">
        <v>183</v>
      </c>
      <c r="B270" s="2">
        <v>344</v>
      </c>
      <c r="C270" s="2" t="str">
        <f t="shared" si="4"/>
        <v>CD46-m344</v>
      </c>
      <c r="D270" s="3">
        <v>6.7999999999999996E-3</v>
      </c>
    </row>
    <row r="271" spans="1:4">
      <c r="A271" s="2" t="s">
        <v>183</v>
      </c>
      <c r="B271" s="2">
        <v>345</v>
      </c>
      <c r="C271" s="2" t="str">
        <f t="shared" si="4"/>
        <v>CD46-m345</v>
      </c>
      <c r="D271" s="3">
        <v>3.0061</v>
      </c>
    </row>
    <row r="272" spans="1:4">
      <c r="A272" s="2" t="s">
        <v>183</v>
      </c>
      <c r="B272" s="2">
        <v>347</v>
      </c>
      <c r="C272" s="2" t="str">
        <f t="shared" si="4"/>
        <v>CD46-m347</v>
      </c>
      <c r="D272" s="3">
        <v>64.444299999999998</v>
      </c>
    </row>
    <row r="273" spans="1:4">
      <c r="A273" s="2" t="s">
        <v>183</v>
      </c>
      <c r="B273" s="2">
        <v>348</v>
      </c>
      <c r="C273" s="2" t="str">
        <f t="shared" si="4"/>
        <v>CD46-m348</v>
      </c>
      <c r="D273" s="3">
        <v>33.495699999999999</v>
      </c>
    </row>
    <row r="274" spans="1:4">
      <c r="A274" s="2" t="s">
        <v>183</v>
      </c>
      <c r="B274" s="2">
        <v>349</v>
      </c>
      <c r="C274" s="2" t="str">
        <f t="shared" si="4"/>
        <v>CD46-m349</v>
      </c>
      <c r="D274" s="3">
        <v>58.387500000000003</v>
      </c>
    </row>
    <row r="275" spans="1:4">
      <c r="A275" s="2" t="s">
        <v>183</v>
      </c>
      <c r="B275" s="2">
        <v>350</v>
      </c>
      <c r="C275" s="2" t="str">
        <f t="shared" si="4"/>
        <v>CD46-m350</v>
      </c>
      <c r="D275" s="3">
        <v>30.2867</v>
      </c>
    </row>
    <row r="276" spans="1:4">
      <c r="A276" s="2" t="s">
        <v>183</v>
      </c>
      <c r="B276" s="2">
        <v>353</v>
      </c>
      <c r="C276" s="2" t="str">
        <f t="shared" si="4"/>
        <v>CD46-m353</v>
      </c>
      <c r="D276" s="3">
        <v>52.506</v>
      </c>
    </row>
    <row r="277" spans="1:4">
      <c r="A277" s="2" t="s">
        <v>183</v>
      </c>
      <c r="B277" s="2">
        <v>354</v>
      </c>
      <c r="C277" s="2" t="str">
        <f t="shared" si="4"/>
        <v>CD46-m354</v>
      </c>
      <c r="D277" s="3">
        <v>27.495000000000001</v>
      </c>
    </row>
    <row r="278" spans="1:4">
      <c r="A278" s="2" t="s">
        <v>183</v>
      </c>
      <c r="B278" s="2">
        <v>355</v>
      </c>
      <c r="C278" s="2" t="str">
        <f t="shared" si="4"/>
        <v>CD46-m355</v>
      </c>
      <c r="D278" s="3">
        <v>39.857300000000002</v>
      </c>
    </row>
    <row r="279" spans="1:4">
      <c r="A279" s="2" t="s">
        <v>183</v>
      </c>
      <c r="B279" s="2">
        <v>356</v>
      </c>
      <c r="C279" s="2" t="str">
        <f t="shared" si="4"/>
        <v>CD46-m356</v>
      </c>
      <c r="D279" s="3">
        <v>102.99939999999999</v>
      </c>
    </row>
    <row r="280" spans="1:4">
      <c r="A280" s="2" t="s">
        <v>183</v>
      </c>
      <c r="B280" s="2">
        <v>357</v>
      </c>
      <c r="C280" s="2" t="str">
        <f t="shared" si="4"/>
        <v>CD46-m357</v>
      </c>
      <c r="D280" s="3">
        <v>0.13650000000000001</v>
      </c>
    </row>
    <row r="281" spans="1:4">
      <c r="A281" s="2" t="s">
        <v>183</v>
      </c>
      <c r="B281" s="2">
        <v>358</v>
      </c>
      <c r="C281" s="2" t="str">
        <f t="shared" si="4"/>
        <v>CD46-m358</v>
      </c>
      <c r="D281" s="3">
        <v>6.7999999999999996E-3</v>
      </c>
    </row>
    <row r="282" spans="1:4">
      <c r="A282" s="2" t="s">
        <v>183</v>
      </c>
      <c r="B282" s="2">
        <v>359</v>
      </c>
      <c r="C282" s="2" t="str">
        <f t="shared" si="4"/>
        <v>CD46-m359</v>
      </c>
      <c r="D282" s="3">
        <v>1.8100000000000002E-2</v>
      </c>
    </row>
    <row r="283" spans="1:4">
      <c r="A283" s="2" t="s">
        <v>183</v>
      </c>
      <c r="B283" s="2">
        <v>361</v>
      </c>
      <c r="C283" s="2" t="str">
        <f t="shared" si="4"/>
        <v>CD46-m361</v>
      </c>
      <c r="D283" s="3">
        <v>6.7999999999999996E-3</v>
      </c>
    </row>
    <row r="284" spans="1:4">
      <c r="A284" s="2" t="s">
        <v>183</v>
      </c>
      <c r="B284" s="2">
        <v>362</v>
      </c>
      <c r="C284" s="2" t="str">
        <f t="shared" si="4"/>
        <v>CD46-m362</v>
      </c>
      <c r="D284" s="3">
        <v>146.03970000000001</v>
      </c>
    </row>
    <row r="285" spans="1:4">
      <c r="A285" s="2" t="s">
        <v>183</v>
      </c>
      <c r="B285" s="2">
        <v>363</v>
      </c>
      <c r="C285" s="2" t="str">
        <f t="shared" si="4"/>
        <v>CD46-m363</v>
      </c>
      <c r="D285" s="3">
        <v>32.348999999999997</v>
      </c>
    </row>
    <row r="286" spans="1:4">
      <c r="A286" s="2" t="s">
        <v>183</v>
      </c>
      <c r="B286" s="2">
        <v>364</v>
      </c>
      <c r="C286" s="2" t="str">
        <f t="shared" si="4"/>
        <v>CD46-m364</v>
      </c>
      <c r="D286" s="3">
        <v>61.776600000000002</v>
      </c>
    </row>
    <row r="287" spans="1:4">
      <c r="A287" s="2" t="s">
        <v>183</v>
      </c>
      <c r="B287" s="2">
        <v>365</v>
      </c>
      <c r="C287" s="2" t="str">
        <f t="shared" si="4"/>
        <v>CD46-m365</v>
      </c>
      <c r="D287" s="3">
        <v>47.994700000000002</v>
      </c>
    </row>
    <row r="288" spans="1:4">
      <c r="A288" s="2" t="s">
        <v>183</v>
      </c>
      <c r="B288" s="2">
        <v>367</v>
      </c>
      <c r="C288" s="2" t="str">
        <f t="shared" si="4"/>
        <v>CD46-m367</v>
      </c>
      <c r="D288" s="3">
        <v>82.684399999999997</v>
      </c>
    </row>
    <row r="289" spans="1:4">
      <c r="A289" s="2" t="s">
        <v>183</v>
      </c>
      <c r="B289" s="2">
        <v>369</v>
      </c>
      <c r="C289" s="2" t="str">
        <f t="shared" si="4"/>
        <v>CD46-m369</v>
      </c>
      <c r="D289" s="3">
        <v>102.6913</v>
      </c>
    </row>
    <row r="290" spans="1:4">
      <c r="A290" s="2" t="s">
        <v>183</v>
      </c>
      <c r="B290" s="2">
        <v>370</v>
      </c>
      <c r="C290" s="2" t="str">
        <f t="shared" si="4"/>
        <v>CD46-m370</v>
      </c>
      <c r="D290" s="3">
        <v>58.5779</v>
      </c>
    </row>
    <row r="291" spans="1:4">
      <c r="A291" s="2" t="s">
        <v>183</v>
      </c>
      <c r="B291" s="2">
        <v>372</v>
      </c>
      <c r="C291" s="2" t="str">
        <f t="shared" si="4"/>
        <v>CD46-m372</v>
      </c>
      <c r="D291" s="3">
        <v>18.250599999999999</v>
      </c>
    </row>
    <row r="292" spans="1:4">
      <c r="A292" s="2" t="s">
        <v>183</v>
      </c>
      <c r="B292" s="2">
        <v>373</v>
      </c>
      <c r="C292" s="2" t="str">
        <f t="shared" si="4"/>
        <v>CD46-m373</v>
      </c>
      <c r="D292" s="3">
        <v>110.548</v>
      </c>
    </row>
    <row r="293" spans="1:4">
      <c r="A293" s="2" t="s">
        <v>183</v>
      </c>
      <c r="B293" s="2">
        <v>374</v>
      </c>
      <c r="C293" s="2" t="str">
        <f t="shared" si="4"/>
        <v>CD46-m374</v>
      </c>
      <c r="D293" s="3">
        <v>22.676100000000002</v>
      </c>
    </row>
    <row r="294" spans="1:4">
      <c r="A294" s="2" t="s">
        <v>183</v>
      </c>
      <c r="B294" s="2">
        <v>375</v>
      </c>
      <c r="C294" s="2" t="str">
        <f t="shared" si="4"/>
        <v>CD46-m375</v>
      </c>
      <c r="D294" s="3">
        <v>57.98</v>
      </c>
    </row>
    <row r="295" spans="1:4">
      <c r="A295" s="2" t="s">
        <v>183</v>
      </c>
      <c r="B295" s="2">
        <v>376</v>
      </c>
      <c r="C295" s="2" t="str">
        <f t="shared" si="4"/>
        <v>CD46-m376</v>
      </c>
      <c r="D295" s="3">
        <v>36.976300000000002</v>
      </c>
    </row>
    <row r="296" spans="1:4">
      <c r="A296" s="2" t="s">
        <v>183</v>
      </c>
      <c r="B296" s="2">
        <v>377</v>
      </c>
      <c r="C296" s="2" t="str">
        <f t="shared" si="4"/>
        <v>CD46-m377</v>
      </c>
      <c r="D296" s="3">
        <v>14.627700000000001</v>
      </c>
    </row>
    <row r="297" spans="1:4">
      <c r="A297" s="2" t="s">
        <v>183</v>
      </c>
      <c r="B297" s="2">
        <v>378</v>
      </c>
      <c r="C297" s="2" t="str">
        <f t="shared" si="4"/>
        <v>CD46-m378</v>
      </c>
      <c r="D297" s="3">
        <v>39.246899999999997</v>
      </c>
    </row>
    <row r="298" spans="1:4">
      <c r="A298" s="2" t="s">
        <v>183</v>
      </c>
      <c r="B298" s="2">
        <v>380</v>
      </c>
      <c r="C298" s="2" t="str">
        <f t="shared" si="4"/>
        <v>CD46-m380</v>
      </c>
      <c r="D298" s="3">
        <v>39.430300000000003</v>
      </c>
    </row>
    <row r="299" spans="1:4">
      <c r="A299" s="2" t="s">
        <v>183</v>
      </c>
      <c r="B299" s="2">
        <v>381</v>
      </c>
      <c r="C299" s="2" t="str">
        <f t="shared" si="4"/>
        <v>CD46-m381</v>
      </c>
      <c r="D299" s="3">
        <v>30.273800000000001</v>
      </c>
    </row>
    <row r="300" spans="1:4">
      <c r="A300" s="2" t="s">
        <v>183</v>
      </c>
      <c r="B300" s="2">
        <v>385</v>
      </c>
      <c r="C300" s="2" t="str">
        <f t="shared" ref="C300:C363" si="5">_xlfn.CONCAT(A300,"-m",B300)</f>
        <v>CD46-m385</v>
      </c>
      <c r="D300" s="3">
        <v>6.7999999999999996E-3</v>
      </c>
    </row>
    <row r="301" spans="1:4">
      <c r="A301" s="2" t="s">
        <v>183</v>
      </c>
      <c r="B301" s="2">
        <v>386</v>
      </c>
      <c r="C301" s="2" t="str">
        <f t="shared" si="5"/>
        <v>CD46-m386</v>
      </c>
      <c r="D301" s="3">
        <v>6.7999999999999996E-3</v>
      </c>
    </row>
    <row r="302" spans="1:4">
      <c r="A302" s="2" t="s">
        <v>183</v>
      </c>
      <c r="B302" s="2">
        <v>387</v>
      </c>
      <c r="C302" s="2" t="str">
        <f t="shared" si="5"/>
        <v>CD46-m387</v>
      </c>
      <c r="D302" s="3">
        <v>6.7999999999999996E-3</v>
      </c>
    </row>
    <row r="303" spans="1:4">
      <c r="A303" s="2" t="s">
        <v>183</v>
      </c>
      <c r="B303" s="2">
        <v>389</v>
      </c>
      <c r="C303" s="2" t="str">
        <f t="shared" si="5"/>
        <v>CD46-m389</v>
      </c>
      <c r="D303" s="3">
        <v>6.7999999999999996E-3</v>
      </c>
    </row>
    <row r="304" spans="1:4">
      <c r="A304" s="2" t="s">
        <v>183</v>
      </c>
      <c r="B304" s="2">
        <v>393</v>
      </c>
      <c r="C304" s="2" t="str">
        <f t="shared" si="5"/>
        <v>CD46-m393</v>
      </c>
      <c r="D304" s="3">
        <v>6.7999999999999996E-3</v>
      </c>
    </row>
    <row r="305" spans="1:4">
      <c r="A305" s="2" t="s">
        <v>183</v>
      </c>
      <c r="B305" s="2">
        <v>394</v>
      </c>
      <c r="C305" s="2" t="str">
        <f t="shared" si="5"/>
        <v>CD46-m394</v>
      </c>
      <c r="D305" s="3">
        <v>100.61239999999999</v>
      </c>
    </row>
    <row r="306" spans="1:4">
      <c r="A306" s="2" t="s">
        <v>183</v>
      </c>
      <c r="B306" s="2">
        <v>396</v>
      </c>
      <c r="C306" s="2" t="str">
        <f t="shared" si="5"/>
        <v>CD46-m396</v>
      </c>
      <c r="D306" s="3">
        <v>3.6126</v>
      </c>
    </row>
    <row r="307" spans="1:4">
      <c r="A307" s="2" t="s">
        <v>183</v>
      </c>
      <c r="B307" s="2">
        <v>397</v>
      </c>
      <c r="C307" s="2" t="str">
        <f t="shared" si="5"/>
        <v>CD46-m397</v>
      </c>
      <c r="D307" s="3">
        <v>10.085800000000001</v>
      </c>
    </row>
    <row r="308" spans="1:4">
      <c r="A308" s="2" t="s">
        <v>183</v>
      </c>
      <c r="B308" s="2">
        <v>399</v>
      </c>
      <c r="C308" s="2" t="str">
        <f t="shared" si="5"/>
        <v>CD46-m399</v>
      </c>
      <c r="D308" s="3">
        <v>15.190099999999999</v>
      </c>
    </row>
    <row r="309" spans="1:4">
      <c r="A309" s="2" t="s">
        <v>183</v>
      </c>
      <c r="B309" s="2">
        <v>400</v>
      </c>
      <c r="C309" s="2" t="str">
        <f t="shared" si="5"/>
        <v>CD46-m400</v>
      </c>
      <c r="D309" s="3">
        <v>23.422000000000001</v>
      </c>
    </row>
    <row r="310" spans="1:4">
      <c r="A310" s="2" t="s">
        <v>183</v>
      </c>
      <c r="B310" s="2">
        <v>392</v>
      </c>
      <c r="C310" s="2" t="str">
        <f t="shared" si="5"/>
        <v>CD46-m392</v>
      </c>
      <c r="D310" s="3">
        <v>26.4772</v>
      </c>
    </row>
    <row r="311" spans="1:4">
      <c r="A311" s="2" t="s">
        <v>183</v>
      </c>
      <c r="B311" s="2">
        <v>402</v>
      </c>
      <c r="C311" s="2" t="str">
        <f t="shared" si="5"/>
        <v>CD46-m402</v>
      </c>
      <c r="D311" s="3">
        <v>20.7454</v>
      </c>
    </row>
    <row r="312" spans="1:4">
      <c r="A312" s="2" t="s">
        <v>184</v>
      </c>
      <c r="B312" s="2">
        <v>66</v>
      </c>
      <c r="C312" s="2" t="str">
        <f>_xlfn.CONCAT(A312,"-m0",B312)</f>
        <v>CD50-m066</v>
      </c>
      <c r="D312" s="3">
        <v>54.849800000000002</v>
      </c>
    </row>
    <row r="313" spans="1:4">
      <c r="A313" s="2" t="s">
        <v>184</v>
      </c>
      <c r="B313" s="2">
        <v>67</v>
      </c>
      <c r="C313" s="2" t="str">
        <f t="shared" ref="C313:C331" si="6">_xlfn.CONCAT(A313,"-m0",B313)</f>
        <v>CD50-m067</v>
      </c>
      <c r="D313" s="3">
        <v>11.476000000000001</v>
      </c>
    </row>
    <row r="314" spans="1:4">
      <c r="A314" s="2" t="s">
        <v>184</v>
      </c>
      <c r="B314" s="2">
        <v>68</v>
      </c>
      <c r="C314" s="2" t="str">
        <f t="shared" si="6"/>
        <v>CD50-m068</v>
      </c>
      <c r="D314" s="3">
        <v>39.002200000000002</v>
      </c>
    </row>
    <row r="315" spans="1:4">
      <c r="A315" s="2" t="s">
        <v>184</v>
      </c>
      <c r="B315" s="2">
        <v>69</v>
      </c>
      <c r="C315" s="2" t="str">
        <f t="shared" si="6"/>
        <v>CD50-m069</v>
      </c>
      <c r="D315" s="3">
        <v>66.062399999999997</v>
      </c>
    </row>
    <row r="316" spans="1:4">
      <c r="A316" s="2" t="s">
        <v>184</v>
      </c>
      <c r="B316" s="2">
        <v>71</v>
      </c>
      <c r="C316" s="2" t="str">
        <f t="shared" si="6"/>
        <v>CD50-m071</v>
      </c>
      <c r="D316" s="3">
        <v>48.898099999999999</v>
      </c>
    </row>
    <row r="317" spans="1:4">
      <c r="A317" s="2" t="s">
        <v>184</v>
      </c>
      <c r="B317" s="2">
        <v>72</v>
      </c>
      <c r="C317" s="2" t="str">
        <f t="shared" si="6"/>
        <v>CD50-m072</v>
      </c>
      <c r="D317" s="3">
        <v>35.896099999999997</v>
      </c>
    </row>
    <row r="318" spans="1:4">
      <c r="A318" s="2" t="s">
        <v>184</v>
      </c>
      <c r="B318" s="2">
        <v>73</v>
      </c>
      <c r="C318" s="2" t="str">
        <f t="shared" si="6"/>
        <v>CD50-m073</v>
      </c>
      <c r="D318" s="3">
        <v>76.163600000000002</v>
      </c>
    </row>
    <row r="319" spans="1:4">
      <c r="A319" s="2" t="s">
        <v>184</v>
      </c>
      <c r="B319" s="2">
        <v>74</v>
      </c>
      <c r="C319" s="2" t="str">
        <f t="shared" si="6"/>
        <v>CD50-m074</v>
      </c>
      <c r="D319" s="3">
        <v>63.350900000000003</v>
      </c>
    </row>
    <row r="320" spans="1:4">
      <c r="A320" s="2" t="s">
        <v>184</v>
      </c>
      <c r="B320" s="2">
        <v>86</v>
      </c>
      <c r="C320" s="2" t="str">
        <f t="shared" si="6"/>
        <v>CD50-m086</v>
      </c>
      <c r="D320" s="3">
        <v>62.250900000000001</v>
      </c>
    </row>
    <row r="321" spans="1:4">
      <c r="A321" s="2" t="s">
        <v>184</v>
      </c>
      <c r="B321" s="2">
        <v>87</v>
      </c>
      <c r="C321" s="2" t="str">
        <f t="shared" si="6"/>
        <v>CD50-m087</v>
      </c>
      <c r="D321" s="3">
        <v>52.539400000000001</v>
      </c>
    </row>
    <row r="322" spans="1:4">
      <c r="A322" s="2" t="s">
        <v>184</v>
      </c>
      <c r="B322" s="2">
        <v>88</v>
      </c>
      <c r="C322" s="2" t="str">
        <f t="shared" si="6"/>
        <v>CD50-m088</v>
      </c>
      <c r="D322" s="3">
        <v>60.138399999999997</v>
      </c>
    </row>
    <row r="323" spans="1:4">
      <c r="A323" s="2" t="s">
        <v>184</v>
      </c>
      <c r="B323" s="2">
        <v>89</v>
      </c>
      <c r="C323" s="2" t="str">
        <f t="shared" si="6"/>
        <v>CD50-m089</v>
      </c>
      <c r="D323" s="3">
        <v>60.665399999999998</v>
      </c>
    </row>
    <row r="324" spans="1:4">
      <c r="A324" s="2" t="s">
        <v>184</v>
      </c>
      <c r="B324" s="2">
        <v>90</v>
      </c>
      <c r="C324" s="2" t="str">
        <f t="shared" si="6"/>
        <v>CD50-m090</v>
      </c>
      <c r="D324" s="3">
        <v>49.027000000000001</v>
      </c>
    </row>
    <row r="325" spans="1:4">
      <c r="A325" s="2" t="s">
        <v>184</v>
      </c>
      <c r="B325" s="2">
        <v>91</v>
      </c>
      <c r="C325" s="2" t="str">
        <f t="shared" si="6"/>
        <v>CD50-m091</v>
      </c>
      <c r="D325" s="3">
        <v>57.704999999999998</v>
      </c>
    </row>
    <row r="326" spans="1:4">
      <c r="A326" s="2" t="s">
        <v>184</v>
      </c>
      <c r="B326" s="2">
        <v>92</v>
      </c>
      <c r="C326" s="2" t="str">
        <f t="shared" si="6"/>
        <v>CD50-m092</v>
      </c>
      <c r="D326" s="3">
        <v>63.851100000000002</v>
      </c>
    </row>
    <row r="327" spans="1:4">
      <c r="A327" s="2" t="s">
        <v>184</v>
      </c>
      <c r="B327" s="2">
        <v>93</v>
      </c>
      <c r="C327" s="2" t="str">
        <f t="shared" si="6"/>
        <v>CD50-m093</v>
      </c>
      <c r="D327" s="3">
        <v>39.186500000000002</v>
      </c>
    </row>
    <row r="328" spans="1:4">
      <c r="A328" s="2" t="s">
        <v>184</v>
      </c>
      <c r="B328" s="2">
        <v>95</v>
      </c>
      <c r="C328" s="2" t="str">
        <f t="shared" si="6"/>
        <v>CD50-m095</v>
      </c>
      <c r="D328" s="3">
        <v>71.453500000000005</v>
      </c>
    </row>
    <row r="329" spans="1:4">
      <c r="A329" s="2" t="s">
        <v>184</v>
      </c>
      <c r="B329" s="2">
        <v>97</v>
      </c>
      <c r="C329" s="2" t="str">
        <f t="shared" si="6"/>
        <v>CD50-m097</v>
      </c>
      <c r="D329" s="3">
        <v>73.357399999999998</v>
      </c>
    </row>
    <row r="330" spans="1:4">
      <c r="A330" s="2" t="s">
        <v>184</v>
      </c>
      <c r="B330" s="2">
        <v>98</v>
      </c>
      <c r="C330" s="2" t="str">
        <f t="shared" si="6"/>
        <v>CD50-m098</v>
      </c>
      <c r="D330" s="3">
        <v>39.125799999999998</v>
      </c>
    </row>
    <row r="331" spans="1:4">
      <c r="A331" s="2" t="s">
        <v>184</v>
      </c>
      <c r="B331" s="2">
        <v>99</v>
      </c>
      <c r="C331" s="2" t="str">
        <f t="shared" si="6"/>
        <v>CD50-m099</v>
      </c>
      <c r="D331" s="3">
        <v>41.640500000000003</v>
      </c>
    </row>
    <row r="332" spans="1:4">
      <c r="A332" s="2" t="s">
        <v>184</v>
      </c>
      <c r="B332" s="2">
        <v>100</v>
      </c>
      <c r="C332" s="2" t="str">
        <f t="shared" si="5"/>
        <v>CD50-m100</v>
      </c>
      <c r="D332" s="3">
        <v>45.808399999999999</v>
      </c>
    </row>
    <row r="333" spans="1:4">
      <c r="A333" s="2" t="s">
        <v>184</v>
      </c>
      <c r="B333" s="2">
        <v>108</v>
      </c>
      <c r="C333" s="2" t="str">
        <f t="shared" si="5"/>
        <v>CD50-m108</v>
      </c>
      <c r="D333" s="3">
        <v>31.6829</v>
      </c>
    </row>
    <row r="334" spans="1:4">
      <c r="A334" s="2" t="s">
        <v>184</v>
      </c>
      <c r="B334" s="2">
        <v>109</v>
      </c>
      <c r="C334" s="2" t="str">
        <f t="shared" si="5"/>
        <v>CD50-m109</v>
      </c>
      <c r="D334" s="3">
        <v>43.685899999999997</v>
      </c>
    </row>
    <row r="335" spans="1:4">
      <c r="A335" s="2" t="s">
        <v>184</v>
      </c>
      <c r="B335" s="2">
        <v>110</v>
      </c>
      <c r="C335" s="2" t="str">
        <f t="shared" si="5"/>
        <v>CD50-m110</v>
      </c>
      <c r="D335" s="3">
        <v>59.841700000000003</v>
      </c>
    </row>
    <row r="336" spans="1:4">
      <c r="A336" s="2" t="s">
        <v>184</v>
      </c>
      <c r="B336" s="2">
        <v>112</v>
      </c>
      <c r="C336" s="2" t="str">
        <f t="shared" si="5"/>
        <v>CD50-m112</v>
      </c>
      <c r="D336" s="3">
        <v>43.833599999999997</v>
      </c>
    </row>
    <row r="337" spans="1:4">
      <c r="A337" s="2" t="s">
        <v>184</v>
      </c>
      <c r="B337" s="2">
        <v>126</v>
      </c>
      <c r="C337" s="2" t="str">
        <f t="shared" si="5"/>
        <v>CD50-m126</v>
      </c>
      <c r="D337" s="3">
        <v>44.8705</v>
      </c>
    </row>
    <row r="338" spans="1:4">
      <c r="A338" s="2" t="s">
        <v>184</v>
      </c>
      <c r="B338" s="2">
        <v>113</v>
      </c>
      <c r="C338" s="2" t="str">
        <f t="shared" si="5"/>
        <v>CD50-m113</v>
      </c>
      <c r="D338" s="3">
        <v>56.292400000000001</v>
      </c>
    </row>
    <row r="339" spans="1:4">
      <c r="A339" s="2" t="s">
        <v>184</v>
      </c>
      <c r="B339" s="2">
        <v>114</v>
      </c>
      <c r="C339" s="2" t="str">
        <f t="shared" si="5"/>
        <v>CD50-m114</v>
      </c>
      <c r="D339" s="3">
        <v>22.038900000000002</v>
      </c>
    </row>
    <row r="340" spans="1:4">
      <c r="A340" s="2" t="s">
        <v>184</v>
      </c>
      <c r="B340" s="2">
        <v>115</v>
      </c>
      <c r="C340" s="2" t="str">
        <f t="shared" si="5"/>
        <v>CD50-m115</v>
      </c>
      <c r="D340" s="3">
        <v>24.993600000000001</v>
      </c>
    </row>
    <row r="341" spans="1:4">
      <c r="A341" s="2" t="s">
        <v>184</v>
      </c>
      <c r="B341" s="2">
        <v>116</v>
      </c>
      <c r="C341" s="2" t="str">
        <f t="shared" si="5"/>
        <v>CD50-m116</v>
      </c>
      <c r="D341" s="3">
        <v>54.431600000000003</v>
      </c>
    </row>
    <row r="342" spans="1:4">
      <c r="A342" s="2" t="s">
        <v>184</v>
      </c>
      <c r="B342" s="2">
        <v>117</v>
      </c>
      <c r="C342" s="2" t="str">
        <f t="shared" si="5"/>
        <v>CD50-m117</v>
      </c>
      <c r="D342" s="3">
        <v>28.9983</v>
      </c>
    </row>
    <row r="343" spans="1:4">
      <c r="A343" s="2" t="s">
        <v>184</v>
      </c>
      <c r="B343" s="2">
        <v>118</v>
      </c>
      <c r="C343" s="2" t="str">
        <f t="shared" si="5"/>
        <v>CD50-m118</v>
      </c>
      <c r="D343" s="3">
        <v>15.816000000000001</v>
      </c>
    </row>
    <row r="344" spans="1:4">
      <c r="A344" s="2" t="s">
        <v>184</v>
      </c>
      <c r="B344" s="2">
        <v>119</v>
      </c>
      <c r="C344" s="2" t="str">
        <f t="shared" si="5"/>
        <v>CD50-m119</v>
      </c>
      <c r="D344" s="3">
        <v>27.656199999999998</v>
      </c>
    </row>
    <row r="345" spans="1:4">
      <c r="A345" s="2" t="s">
        <v>184</v>
      </c>
      <c r="B345" s="2">
        <v>120</v>
      </c>
      <c r="C345" s="2" t="str">
        <f t="shared" si="5"/>
        <v>CD50-m120</v>
      </c>
      <c r="D345" s="3">
        <v>46.297199999999997</v>
      </c>
    </row>
    <row r="346" spans="1:4">
      <c r="A346" s="2" t="s">
        <v>184</v>
      </c>
      <c r="B346" s="2">
        <v>122</v>
      </c>
      <c r="C346" s="2" t="str">
        <f t="shared" si="5"/>
        <v>CD50-m122</v>
      </c>
      <c r="D346" s="3">
        <v>50.125500000000002</v>
      </c>
    </row>
    <row r="347" spans="1:4">
      <c r="A347" s="2" t="s">
        <v>184</v>
      </c>
      <c r="B347" s="2">
        <v>130</v>
      </c>
      <c r="C347" s="2" t="str">
        <f t="shared" si="5"/>
        <v>CD50-m130</v>
      </c>
      <c r="D347" s="3">
        <v>75.0655</v>
      </c>
    </row>
    <row r="348" spans="1:4">
      <c r="A348" s="2" t="s">
        <v>184</v>
      </c>
      <c r="B348" s="2">
        <v>131</v>
      </c>
      <c r="C348" s="2" t="str">
        <f t="shared" si="5"/>
        <v>CD50-m131</v>
      </c>
      <c r="D348" s="3">
        <v>21.203199999999999</v>
      </c>
    </row>
    <row r="349" spans="1:4">
      <c r="A349" s="2" t="s">
        <v>184</v>
      </c>
      <c r="B349" s="2">
        <v>133</v>
      </c>
      <c r="C349" s="2" t="str">
        <f t="shared" si="5"/>
        <v>CD50-m133</v>
      </c>
      <c r="D349" s="3">
        <v>47.284500000000001</v>
      </c>
    </row>
    <row r="350" spans="1:4">
      <c r="A350" s="2" t="s">
        <v>184</v>
      </c>
      <c r="B350" s="2">
        <v>134</v>
      </c>
      <c r="C350" s="2" t="str">
        <f t="shared" si="5"/>
        <v>CD50-m134</v>
      </c>
      <c r="D350" s="3">
        <v>41.203600000000002</v>
      </c>
    </row>
    <row r="351" spans="1:4">
      <c r="A351" s="2" t="s">
        <v>184</v>
      </c>
      <c r="B351" s="2">
        <v>135</v>
      </c>
      <c r="C351" s="2" t="str">
        <f t="shared" si="5"/>
        <v>CD50-m135</v>
      </c>
      <c r="D351" s="3">
        <v>29.652999999999999</v>
      </c>
    </row>
    <row r="352" spans="1:4">
      <c r="A352" s="2" t="s">
        <v>184</v>
      </c>
      <c r="B352" s="2">
        <v>136</v>
      </c>
      <c r="C352" s="2" t="str">
        <f t="shared" si="5"/>
        <v>CD50-m136</v>
      </c>
      <c r="D352" s="3">
        <v>66.373800000000003</v>
      </c>
    </row>
    <row r="353" spans="1:4">
      <c r="A353" s="2" t="s">
        <v>184</v>
      </c>
      <c r="B353" s="2">
        <v>137</v>
      </c>
      <c r="C353" s="2" t="str">
        <f t="shared" si="5"/>
        <v>CD50-m137</v>
      </c>
      <c r="D353" s="3">
        <v>46.688299999999998</v>
      </c>
    </row>
    <row r="354" spans="1:4">
      <c r="A354" s="2" t="s">
        <v>184</v>
      </c>
      <c r="B354" s="2">
        <v>138</v>
      </c>
      <c r="C354" s="2" t="str">
        <f t="shared" si="5"/>
        <v>CD50-m138</v>
      </c>
      <c r="D354" s="3">
        <v>8.7096999999999998</v>
      </c>
    </row>
    <row r="355" spans="1:4">
      <c r="A355" s="2" t="s">
        <v>184</v>
      </c>
      <c r="B355" s="2">
        <v>139</v>
      </c>
      <c r="C355" s="2" t="str">
        <f t="shared" si="5"/>
        <v>CD50-m139</v>
      </c>
      <c r="D355" s="3">
        <v>68.3917</v>
      </c>
    </row>
    <row r="356" spans="1:4">
      <c r="A356" s="2" t="s">
        <v>184</v>
      </c>
      <c r="B356" s="2">
        <v>147</v>
      </c>
      <c r="C356" s="2" t="str">
        <f t="shared" si="5"/>
        <v>CD50-m147</v>
      </c>
      <c r="D356" s="3">
        <v>59.307099999999998</v>
      </c>
    </row>
    <row r="357" spans="1:4">
      <c r="A357" s="2" t="s">
        <v>184</v>
      </c>
      <c r="B357" s="2">
        <v>148</v>
      </c>
      <c r="C357" s="2" t="str">
        <f t="shared" si="5"/>
        <v>CD50-m148</v>
      </c>
      <c r="D357" s="3">
        <v>0.4597</v>
      </c>
    </row>
    <row r="358" spans="1:4">
      <c r="A358" s="2" t="s">
        <v>184</v>
      </c>
      <c r="B358" s="2">
        <v>149</v>
      </c>
      <c r="C358" s="2" t="str">
        <f t="shared" si="5"/>
        <v>CD50-m149</v>
      </c>
      <c r="D358" s="3">
        <v>53.820399999999999</v>
      </c>
    </row>
    <row r="359" spans="1:4">
      <c r="A359" s="2" t="s">
        <v>184</v>
      </c>
      <c r="B359" s="2">
        <v>150</v>
      </c>
      <c r="C359" s="2" t="str">
        <f t="shared" si="5"/>
        <v>CD50-m150</v>
      </c>
      <c r="D359" s="3">
        <v>45.237000000000002</v>
      </c>
    </row>
    <row r="360" spans="1:4">
      <c r="A360" s="2" t="s">
        <v>184</v>
      </c>
      <c r="B360" s="2">
        <v>151</v>
      </c>
      <c r="C360" s="2" t="str">
        <f t="shared" si="5"/>
        <v>CD50-m151</v>
      </c>
      <c r="D360" s="3">
        <v>64.163600000000002</v>
      </c>
    </row>
    <row r="361" spans="1:4">
      <c r="A361" s="2" t="s">
        <v>184</v>
      </c>
      <c r="B361" s="2">
        <v>152</v>
      </c>
      <c r="C361" s="2" t="str">
        <f t="shared" si="5"/>
        <v>CD50-m152</v>
      </c>
      <c r="D361" s="3">
        <v>65.427400000000006</v>
      </c>
    </row>
    <row r="362" spans="1:4">
      <c r="A362" s="2" t="s">
        <v>184</v>
      </c>
      <c r="B362" s="2">
        <v>153</v>
      </c>
      <c r="C362" s="2" t="str">
        <f t="shared" si="5"/>
        <v>CD50-m153</v>
      </c>
      <c r="D362" s="3">
        <v>49.408299999999997</v>
      </c>
    </row>
    <row r="363" spans="1:4">
      <c r="A363" s="2" t="s">
        <v>184</v>
      </c>
      <c r="B363" s="2">
        <v>154</v>
      </c>
      <c r="C363" s="2" t="str">
        <f t="shared" si="5"/>
        <v>CD50-m154</v>
      </c>
      <c r="D363" s="3">
        <v>55.127400000000002</v>
      </c>
    </row>
    <row r="364" spans="1:4">
      <c r="A364" s="2" t="s">
        <v>184</v>
      </c>
      <c r="B364" s="2">
        <v>155</v>
      </c>
      <c r="C364" s="2" t="str">
        <f t="shared" ref="C364:C427" si="7">_xlfn.CONCAT(A364,"-m",B364)</f>
        <v>CD50-m155</v>
      </c>
      <c r="D364" s="3">
        <v>82.4405</v>
      </c>
    </row>
    <row r="365" spans="1:4">
      <c r="A365" s="2" t="s">
        <v>184</v>
      </c>
      <c r="B365" s="2">
        <v>156</v>
      </c>
      <c r="C365" s="2" t="str">
        <f t="shared" si="7"/>
        <v>CD50-m156</v>
      </c>
      <c r="D365" s="3">
        <v>49.260100000000001</v>
      </c>
    </row>
    <row r="366" spans="1:4">
      <c r="A366" s="2" t="s">
        <v>184</v>
      </c>
      <c r="B366" s="2">
        <v>161</v>
      </c>
      <c r="C366" s="2" t="str">
        <f t="shared" si="7"/>
        <v>CD50-m161</v>
      </c>
      <c r="D366" s="3">
        <v>72.207400000000007</v>
      </c>
    </row>
    <row r="367" spans="1:4">
      <c r="A367" s="2" t="s">
        <v>184</v>
      </c>
      <c r="B367" s="2">
        <v>163</v>
      </c>
      <c r="C367" s="2" t="str">
        <f t="shared" si="7"/>
        <v>CD50-m163</v>
      </c>
      <c r="D367" s="3">
        <v>66.601600000000005</v>
      </c>
    </row>
    <row r="368" spans="1:4">
      <c r="A368" s="2" t="s">
        <v>184</v>
      </c>
      <c r="B368" s="2">
        <v>166</v>
      </c>
      <c r="C368" s="2" t="str">
        <f t="shared" si="7"/>
        <v>CD50-m166</v>
      </c>
      <c r="D368" s="3">
        <v>81.611900000000006</v>
      </c>
    </row>
    <row r="369" spans="1:4">
      <c r="A369" s="2" t="s">
        <v>184</v>
      </c>
      <c r="B369" s="2">
        <v>167</v>
      </c>
      <c r="C369" s="2" t="str">
        <f t="shared" si="7"/>
        <v>CD50-m167</v>
      </c>
      <c r="D369" s="3">
        <v>59.385199999999998</v>
      </c>
    </row>
    <row r="370" spans="1:4">
      <c r="A370" s="2" t="s">
        <v>184</v>
      </c>
      <c r="B370" s="2">
        <v>168</v>
      </c>
      <c r="C370" s="2" t="str">
        <f t="shared" si="7"/>
        <v>CD50-m168</v>
      </c>
      <c r="D370" s="3">
        <v>69.786600000000007</v>
      </c>
    </row>
    <row r="371" spans="1:4">
      <c r="A371" s="2" t="s">
        <v>184</v>
      </c>
      <c r="B371" s="2">
        <v>169</v>
      </c>
      <c r="C371" s="2" t="str">
        <f t="shared" si="7"/>
        <v>CD50-m169</v>
      </c>
      <c r="D371" s="3">
        <v>71.588899999999995</v>
      </c>
    </row>
    <row r="372" spans="1:4">
      <c r="A372" s="2" t="s">
        <v>184</v>
      </c>
      <c r="B372" s="2">
        <v>170</v>
      </c>
      <c r="C372" s="2" t="str">
        <f t="shared" si="7"/>
        <v>CD50-m170</v>
      </c>
      <c r="D372" s="3">
        <v>48.267899999999997</v>
      </c>
    </row>
    <row r="373" spans="1:4">
      <c r="A373" s="2" t="s">
        <v>184</v>
      </c>
      <c r="B373" s="2">
        <v>172</v>
      </c>
      <c r="C373" s="2" t="str">
        <f t="shared" si="7"/>
        <v>CD50-m172</v>
      </c>
      <c r="D373" s="3">
        <v>87.125699999999995</v>
      </c>
    </row>
    <row r="374" spans="1:4">
      <c r="A374" s="2" t="s">
        <v>184</v>
      </c>
      <c r="B374" s="2">
        <v>175</v>
      </c>
      <c r="C374" s="2" t="str">
        <f t="shared" si="7"/>
        <v>CD50-m175</v>
      </c>
      <c r="D374" s="3">
        <v>74.036299999999997</v>
      </c>
    </row>
    <row r="375" spans="1:4">
      <c r="A375" s="2" t="s">
        <v>184</v>
      </c>
      <c r="B375" s="2">
        <v>176</v>
      </c>
      <c r="C375" s="2" t="str">
        <f t="shared" si="7"/>
        <v>CD50-m176</v>
      </c>
      <c r="D375" s="3">
        <v>46.3611</v>
      </c>
    </row>
    <row r="376" spans="1:4">
      <c r="A376" s="2" t="s">
        <v>184</v>
      </c>
      <c r="B376" s="2">
        <v>181</v>
      </c>
      <c r="C376" s="2" t="str">
        <f t="shared" si="7"/>
        <v>CD50-m181</v>
      </c>
      <c r="D376" s="3">
        <v>57.919400000000003</v>
      </c>
    </row>
    <row r="377" spans="1:4">
      <c r="A377" s="2" t="s">
        <v>184</v>
      </c>
      <c r="B377" s="2">
        <v>183</v>
      </c>
      <c r="C377" s="2" t="str">
        <f t="shared" si="7"/>
        <v>CD50-m183</v>
      </c>
      <c r="D377" s="3">
        <v>43.238199999999999</v>
      </c>
    </row>
    <row r="378" spans="1:4">
      <c r="A378" s="2" t="s">
        <v>184</v>
      </c>
      <c r="B378" s="2">
        <v>184</v>
      </c>
      <c r="C378" s="2" t="str">
        <f t="shared" si="7"/>
        <v>CD50-m184</v>
      </c>
      <c r="D378" s="3">
        <v>55.787500000000001</v>
      </c>
    </row>
    <row r="379" spans="1:4">
      <c r="A379" s="2" t="s">
        <v>184</v>
      </c>
      <c r="B379" s="2">
        <v>185</v>
      </c>
      <c r="C379" s="2" t="str">
        <f t="shared" si="7"/>
        <v>CD50-m185</v>
      </c>
      <c r="D379" s="3">
        <v>62.9206</v>
      </c>
    </row>
    <row r="380" spans="1:4">
      <c r="A380" s="2" t="s">
        <v>184</v>
      </c>
      <c r="B380" s="2">
        <v>186</v>
      </c>
      <c r="C380" s="2" t="str">
        <f t="shared" si="7"/>
        <v>CD50-m186</v>
      </c>
      <c r="D380" s="3">
        <v>48.907800000000002</v>
      </c>
    </row>
    <row r="381" spans="1:4">
      <c r="A381" s="2" t="s">
        <v>184</v>
      </c>
      <c r="B381" s="2">
        <v>187</v>
      </c>
      <c r="C381" s="2" t="str">
        <f t="shared" si="7"/>
        <v>CD50-m187</v>
      </c>
      <c r="D381" s="3">
        <v>67.391599999999997</v>
      </c>
    </row>
    <row r="382" spans="1:4">
      <c r="A382" s="2" t="s">
        <v>184</v>
      </c>
      <c r="B382" s="2">
        <v>188</v>
      </c>
      <c r="C382" s="2" t="str">
        <f t="shared" si="7"/>
        <v>CD50-m188</v>
      </c>
      <c r="D382" s="3">
        <v>67.866500000000002</v>
      </c>
    </row>
    <row r="383" spans="1:4">
      <c r="A383" s="2" t="s">
        <v>184</v>
      </c>
      <c r="B383" s="2">
        <v>189</v>
      </c>
      <c r="C383" s="2" t="str">
        <f t="shared" si="7"/>
        <v>CD50-m189</v>
      </c>
      <c r="D383" s="3">
        <v>46.440300000000001</v>
      </c>
    </row>
    <row r="384" spans="1:4">
      <c r="A384" s="2" t="s">
        <v>184</v>
      </c>
      <c r="B384" s="2">
        <v>190</v>
      </c>
      <c r="C384" s="2" t="str">
        <f t="shared" si="7"/>
        <v>CD50-m190</v>
      </c>
      <c r="D384" s="3">
        <v>46.499299999999998</v>
      </c>
    </row>
    <row r="385" spans="1:4">
      <c r="A385" s="2" t="s">
        <v>184</v>
      </c>
      <c r="B385" s="2">
        <v>191</v>
      </c>
      <c r="C385" s="2" t="str">
        <f t="shared" si="7"/>
        <v>CD50-m191</v>
      </c>
      <c r="D385" s="3">
        <v>78.524799999999999</v>
      </c>
    </row>
    <row r="386" spans="1:4">
      <c r="A386" s="2" t="s">
        <v>185</v>
      </c>
      <c r="B386" s="2">
        <v>653</v>
      </c>
      <c r="C386" s="2" t="str">
        <f t="shared" si="7"/>
        <v>CD56-m653</v>
      </c>
      <c r="D386" s="3">
        <v>38.501100000000001</v>
      </c>
    </row>
    <row r="387" spans="1:4">
      <c r="A387" s="2" t="s">
        <v>185</v>
      </c>
      <c r="B387" s="2">
        <v>673</v>
      </c>
      <c r="C387" s="2" t="str">
        <f t="shared" si="7"/>
        <v>CD56-m673</v>
      </c>
      <c r="D387" s="3">
        <v>48.312800000000003</v>
      </c>
    </row>
    <row r="388" spans="1:4">
      <c r="A388" s="2" t="s">
        <v>185</v>
      </c>
      <c r="B388" s="2">
        <v>675</v>
      </c>
      <c r="C388" s="2" t="str">
        <f t="shared" si="7"/>
        <v>CD56-m675</v>
      </c>
      <c r="D388" s="3">
        <v>36.746600000000001</v>
      </c>
    </row>
    <row r="389" spans="1:4">
      <c r="A389" s="2" t="s">
        <v>185</v>
      </c>
      <c r="B389" s="2">
        <v>670</v>
      </c>
      <c r="C389" s="2" t="str">
        <f t="shared" si="7"/>
        <v>CD56-m670</v>
      </c>
      <c r="D389" s="3">
        <v>31.552800000000001</v>
      </c>
    </row>
    <row r="390" spans="1:4">
      <c r="A390" s="2" t="s">
        <v>185</v>
      </c>
      <c r="B390" s="2">
        <v>671</v>
      </c>
      <c r="C390" s="2" t="str">
        <f t="shared" si="7"/>
        <v>CD56-m671</v>
      </c>
      <c r="D390" s="3">
        <v>33.646299999999997</v>
      </c>
    </row>
    <row r="391" spans="1:4">
      <c r="A391" s="2" t="s">
        <v>185</v>
      </c>
      <c r="B391" s="2">
        <v>678</v>
      </c>
      <c r="C391" s="2" t="str">
        <f t="shared" si="7"/>
        <v>CD56-m678</v>
      </c>
      <c r="D391" s="3">
        <v>21.9693</v>
      </c>
    </row>
    <row r="392" spans="1:4">
      <c r="A392" s="2" t="s">
        <v>185</v>
      </c>
      <c r="B392" s="2">
        <v>703</v>
      </c>
      <c r="C392" s="2" t="str">
        <f t="shared" si="7"/>
        <v>CD56-m703</v>
      </c>
      <c r="D392" s="3">
        <v>5.9188000000000001</v>
      </c>
    </row>
    <row r="393" spans="1:4">
      <c r="A393" s="2" t="s">
        <v>185</v>
      </c>
      <c r="B393" s="2">
        <v>704</v>
      </c>
      <c r="C393" s="2" t="str">
        <f t="shared" si="7"/>
        <v>CD56-m704</v>
      </c>
      <c r="D393" s="3">
        <v>3.9824000000000002</v>
      </c>
    </row>
    <row r="394" spans="1:4">
      <c r="A394" s="2" t="s">
        <v>185</v>
      </c>
      <c r="B394" s="2">
        <v>705</v>
      </c>
      <c r="C394" s="2" t="str">
        <f t="shared" si="7"/>
        <v>CD56-m705</v>
      </c>
      <c r="D394" s="3">
        <v>1.0686</v>
      </c>
    </row>
    <row r="395" spans="1:4">
      <c r="A395" s="2" t="s">
        <v>185</v>
      </c>
      <c r="B395" s="2">
        <v>706</v>
      </c>
      <c r="C395" s="2" t="str">
        <f t="shared" si="7"/>
        <v>CD56-m706</v>
      </c>
      <c r="D395" s="3">
        <v>12.155099999999999</v>
      </c>
    </row>
    <row r="396" spans="1:4">
      <c r="A396" s="2" t="s">
        <v>185</v>
      </c>
      <c r="B396" s="2">
        <v>707</v>
      </c>
      <c r="C396" s="2" t="str">
        <f t="shared" si="7"/>
        <v>CD56-m707</v>
      </c>
      <c r="D396" s="3">
        <v>2.9773999999999998</v>
      </c>
    </row>
    <row r="397" spans="1:4">
      <c r="A397" s="2" t="s">
        <v>185</v>
      </c>
      <c r="B397" s="2">
        <v>708</v>
      </c>
      <c r="C397" s="2" t="str">
        <f t="shared" si="7"/>
        <v>CD56-m708</v>
      </c>
      <c r="D397" s="3">
        <v>27.469000000000001</v>
      </c>
    </row>
    <row r="398" spans="1:4">
      <c r="A398" s="2" t="s">
        <v>185</v>
      </c>
      <c r="B398" s="2">
        <v>709</v>
      </c>
      <c r="C398" s="2" t="str">
        <f t="shared" si="7"/>
        <v>CD56-m709</v>
      </c>
      <c r="D398" s="3">
        <v>20.896699999999999</v>
      </c>
    </row>
    <row r="399" spans="1:4">
      <c r="A399" s="2" t="s">
        <v>185</v>
      </c>
      <c r="B399" s="2">
        <v>710</v>
      </c>
      <c r="C399" s="2" t="str">
        <f t="shared" si="7"/>
        <v>CD56-m710</v>
      </c>
      <c r="D399" s="3">
        <v>25.903099999999998</v>
      </c>
    </row>
    <row r="400" spans="1:4">
      <c r="A400" s="2" t="s">
        <v>185</v>
      </c>
      <c r="B400" s="2">
        <v>711</v>
      </c>
      <c r="C400" s="2" t="str">
        <f t="shared" si="7"/>
        <v>CD56-m711</v>
      </c>
      <c r="D400" s="3">
        <v>28.487400000000001</v>
      </c>
    </row>
    <row r="401" spans="1:4">
      <c r="A401" s="2" t="s">
        <v>185</v>
      </c>
      <c r="B401" s="2">
        <v>712</v>
      </c>
      <c r="C401" s="2" t="str">
        <f t="shared" si="7"/>
        <v>CD56-m712</v>
      </c>
      <c r="D401" s="3">
        <v>15.769500000000001</v>
      </c>
    </row>
    <row r="402" spans="1:4">
      <c r="A402" s="2" t="s">
        <v>185</v>
      </c>
      <c r="B402" s="2">
        <v>713</v>
      </c>
      <c r="C402" s="2" t="str">
        <f t="shared" si="7"/>
        <v>CD56-m713</v>
      </c>
      <c r="D402" s="3">
        <v>13.289099999999999</v>
      </c>
    </row>
    <row r="403" spans="1:4">
      <c r="A403" s="2" t="s">
        <v>185</v>
      </c>
      <c r="B403" s="2">
        <v>602</v>
      </c>
      <c r="C403" s="2" t="str">
        <f t="shared" si="7"/>
        <v>CD56-m602</v>
      </c>
      <c r="D403" s="3">
        <v>30.302600000000002</v>
      </c>
    </row>
    <row r="404" spans="1:4">
      <c r="A404" s="2" t="s">
        <v>185</v>
      </c>
      <c r="B404" s="2">
        <v>604</v>
      </c>
      <c r="C404" s="2" t="str">
        <f t="shared" si="7"/>
        <v>CD56-m604</v>
      </c>
      <c r="D404" s="3">
        <v>10.1777</v>
      </c>
    </row>
    <row r="405" spans="1:4">
      <c r="A405" s="2" t="s">
        <v>185</v>
      </c>
      <c r="B405" s="2">
        <v>610</v>
      </c>
      <c r="C405" s="2" t="str">
        <f t="shared" si="7"/>
        <v>CD56-m610</v>
      </c>
      <c r="D405" s="3">
        <v>4.3737000000000004</v>
      </c>
    </row>
    <row r="406" spans="1:4">
      <c r="A406" s="2" t="s">
        <v>185</v>
      </c>
      <c r="B406" s="2">
        <v>595</v>
      </c>
      <c r="C406" s="2" t="str">
        <f t="shared" si="7"/>
        <v>CD56-m595</v>
      </c>
      <c r="D406" s="3">
        <v>19.374700000000001</v>
      </c>
    </row>
    <row r="407" spans="1:4">
      <c r="A407" s="2" t="s">
        <v>185</v>
      </c>
      <c r="B407" s="2">
        <v>598</v>
      </c>
      <c r="C407" s="2" t="str">
        <f t="shared" si="7"/>
        <v>CD56-m598</v>
      </c>
      <c r="D407" s="3">
        <v>21.534700000000001</v>
      </c>
    </row>
    <row r="408" spans="1:4">
      <c r="A408" s="2" t="s">
        <v>185</v>
      </c>
      <c r="B408" s="2">
        <v>608</v>
      </c>
      <c r="C408" s="2" t="str">
        <f t="shared" si="7"/>
        <v>CD56-m608</v>
      </c>
      <c r="D408" s="3">
        <v>25.108499999999999</v>
      </c>
    </row>
    <row r="409" spans="1:4">
      <c r="A409" s="2" t="s">
        <v>185</v>
      </c>
      <c r="B409" s="2">
        <v>644</v>
      </c>
      <c r="C409" s="2" t="str">
        <f t="shared" si="7"/>
        <v>CD56-m644</v>
      </c>
      <c r="D409" s="3">
        <v>23.552299999999999</v>
      </c>
    </row>
    <row r="410" spans="1:4">
      <c r="A410" s="2" t="s">
        <v>185</v>
      </c>
      <c r="B410" s="2">
        <v>662</v>
      </c>
      <c r="C410" s="2" t="str">
        <f t="shared" si="7"/>
        <v>CD56-m662</v>
      </c>
      <c r="D410" s="3">
        <v>27.979600000000001</v>
      </c>
    </row>
    <row r="411" spans="1:4">
      <c r="A411" s="2" t="s">
        <v>185</v>
      </c>
      <c r="B411" s="2">
        <v>663</v>
      </c>
      <c r="C411" s="2" t="str">
        <f t="shared" si="7"/>
        <v>CD56-m663</v>
      </c>
      <c r="D411" s="3">
        <v>29.908799999999999</v>
      </c>
    </row>
    <row r="412" spans="1:4">
      <c r="A412" s="2" t="s">
        <v>185</v>
      </c>
      <c r="B412" s="2">
        <v>672</v>
      </c>
      <c r="C412" s="2" t="str">
        <f t="shared" si="7"/>
        <v>CD56-m672</v>
      </c>
      <c r="D412" s="3">
        <v>9.7940000000000005</v>
      </c>
    </row>
    <row r="413" spans="1:4">
      <c r="A413" s="2" t="s">
        <v>185</v>
      </c>
      <c r="B413" s="2">
        <v>624</v>
      </c>
      <c r="C413" s="2" t="str">
        <f t="shared" si="7"/>
        <v>CD56-m624</v>
      </c>
      <c r="D413" s="3">
        <v>10.642899999999999</v>
      </c>
    </row>
    <row r="414" spans="1:4">
      <c r="A414" s="2" t="s">
        <v>185</v>
      </c>
      <c r="B414" s="2">
        <v>633</v>
      </c>
      <c r="C414" s="2" t="str">
        <f t="shared" si="7"/>
        <v>CD56-m633</v>
      </c>
      <c r="D414" s="3">
        <v>13.1213</v>
      </c>
    </row>
    <row r="415" spans="1:4">
      <c r="A415" s="2" t="s">
        <v>185</v>
      </c>
      <c r="B415" s="2">
        <v>636</v>
      </c>
      <c r="C415" s="2" t="str">
        <f t="shared" si="7"/>
        <v>CD56-m636</v>
      </c>
      <c r="D415" s="3">
        <v>8.9220000000000006</v>
      </c>
    </row>
    <row r="416" spans="1:4">
      <c r="A416" s="2" t="s">
        <v>185</v>
      </c>
      <c r="B416" s="2">
        <v>664</v>
      </c>
      <c r="C416" s="2" t="str">
        <f t="shared" si="7"/>
        <v>CD56-m664</v>
      </c>
      <c r="D416" s="3">
        <v>26.4512</v>
      </c>
    </row>
    <row r="417" spans="1:4">
      <c r="A417" s="2" t="s">
        <v>185</v>
      </c>
      <c r="B417" s="2">
        <v>681</v>
      </c>
      <c r="C417" s="2" t="str">
        <f t="shared" si="7"/>
        <v>CD56-m681</v>
      </c>
      <c r="D417" s="3">
        <v>29.191299999999998</v>
      </c>
    </row>
    <row r="418" spans="1:4">
      <c r="A418" s="2" t="s">
        <v>185</v>
      </c>
      <c r="B418" s="2">
        <v>682</v>
      </c>
      <c r="C418" s="2" t="str">
        <f t="shared" si="7"/>
        <v>CD56-m682</v>
      </c>
      <c r="D418" s="3">
        <v>23.741</v>
      </c>
    </row>
    <row r="419" spans="1:4">
      <c r="A419" s="2" t="s">
        <v>185</v>
      </c>
      <c r="B419" s="2">
        <v>683</v>
      </c>
      <c r="C419" s="2" t="str">
        <f t="shared" si="7"/>
        <v>CD56-m683</v>
      </c>
      <c r="D419" s="3">
        <v>3.0125000000000002</v>
      </c>
    </row>
    <row r="420" spans="1:4">
      <c r="A420" s="2" t="s">
        <v>185</v>
      </c>
      <c r="B420" s="2">
        <v>684</v>
      </c>
      <c r="C420" s="2" t="str">
        <f t="shared" si="7"/>
        <v>CD56-m684</v>
      </c>
      <c r="D420" s="3">
        <v>1.6817</v>
      </c>
    </row>
    <row r="421" spans="1:4">
      <c r="A421" s="2" t="s">
        <v>185</v>
      </c>
      <c r="B421" s="2">
        <v>685</v>
      </c>
      <c r="C421" s="2" t="str">
        <f t="shared" si="7"/>
        <v>CD56-m685</v>
      </c>
      <c r="D421" s="3">
        <v>5.1128999999999998</v>
      </c>
    </row>
    <row r="422" spans="1:4">
      <c r="A422" s="2" t="s">
        <v>185</v>
      </c>
      <c r="B422" s="2">
        <v>686</v>
      </c>
      <c r="C422" s="2" t="str">
        <f t="shared" si="7"/>
        <v>CD56-m686</v>
      </c>
      <c r="D422" s="3">
        <v>1.2722</v>
      </c>
    </row>
    <row r="423" spans="1:4">
      <c r="A423" s="2" t="s">
        <v>185</v>
      </c>
      <c r="B423" s="2">
        <v>687</v>
      </c>
      <c r="C423" s="2" t="str">
        <f t="shared" si="7"/>
        <v>CD56-m687</v>
      </c>
      <c r="D423" s="3">
        <v>2.8428</v>
      </c>
    </row>
    <row r="424" spans="1:4">
      <c r="A424" s="2" t="s">
        <v>185</v>
      </c>
      <c r="B424" s="2">
        <v>688</v>
      </c>
      <c r="C424" s="2" t="str">
        <f t="shared" si="7"/>
        <v>CD56-m688</v>
      </c>
      <c r="D424" s="3">
        <v>18.757300000000001</v>
      </c>
    </row>
    <row r="425" spans="1:4">
      <c r="A425" s="2" t="s">
        <v>185</v>
      </c>
      <c r="B425" s="2">
        <v>689</v>
      </c>
      <c r="C425" s="2" t="str">
        <f t="shared" si="7"/>
        <v>CD56-m689</v>
      </c>
      <c r="D425" s="3">
        <v>10.2692</v>
      </c>
    </row>
    <row r="426" spans="1:4">
      <c r="A426" s="2" t="s">
        <v>185</v>
      </c>
      <c r="B426" s="2">
        <v>690</v>
      </c>
      <c r="C426" s="2" t="str">
        <f t="shared" si="7"/>
        <v>CD56-m690</v>
      </c>
      <c r="D426" s="3">
        <v>16.9117</v>
      </c>
    </row>
    <row r="427" spans="1:4">
      <c r="A427" s="2" t="s">
        <v>185</v>
      </c>
      <c r="B427" s="2">
        <v>691</v>
      </c>
      <c r="C427" s="2" t="str">
        <f t="shared" si="7"/>
        <v>CD56-m691</v>
      </c>
      <c r="D427" s="3">
        <v>20.060600000000001</v>
      </c>
    </row>
    <row r="428" spans="1:4">
      <c r="A428" s="2" t="s">
        <v>185</v>
      </c>
      <c r="B428" s="2">
        <v>601</v>
      </c>
      <c r="C428" s="2" t="str">
        <f t="shared" ref="C428:C462" si="8">_xlfn.CONCAT(A428,"-m",B428)</f>
        <v>CD56-m601</v>
      </c>
      <c r="D428" s="3">
        <v>40.902200000000001</v>
      </c>
    </row>
    <row r="429" spans="1:4">
      <c r="A429" s="2" t="s">
        <v>185</v>
      </c>
      <c r="B429" s="2">
        <v>605</v>
      </c>
      <c r="C429" s="2" t="str">
        <f t="shared" si="8"/>
        <v>CD56-m605</v>
      </c>
      <c r="D429" s="3">
        <v>39.447299999999998</v>
      </c>
    </row>
    <row r="430" spans="1:4">
      <c r="A430" s="2" t="s">
        <v>185</v>
      </c>
      <c r="B430" s="2">
        <v>606</v>
      </c>
      <c r="C430" s="2" t="str">
        <f t="shared" si="8"/>
        <v>CD56-m606</v>
      </c>
      <c r="D430" s="3">
        <v>50.455199999999998</v>
      </c>
    </row>
    <row r="431" spans="1:4">
      <c r="A431" s="2" t="s">
        <v>185</v>
      </c>
      <c r="B431" s="2">
        <v>603</v>
      </c>
      <c r="C431" s="2" t="str">
        <f t="shared" si="8"/>
        <v>CD56-m603</v>
      </c>
      <c r="D431" s="3">
        <v>14.7349</v>
      </c>
    </row>
    <row r="432" spans="1:4">
      <c r="A432" s="2" t="s">
        <v>185</v>
      </c>
      <c r="B432" s="2">
        <v>611</v>
      </c>
      <c r="C432" s="2" t="str">
        <f t="shared" si="8"/>
        <v>CD56-m611</v>
      </c>
      <c r="D432" s="3">
        <v>41.432400000000001</v>
      </c>
    </row>
    <row r="433" spans="1:4">
      <c r="A433" s="2" t="s">
        <v>185</v>
      </c>
      <c r="B433" s="2">
        <v>617</v>
      </c>
      <c r="C433" s="2" t="str">
        <f t="shared" si="8"/>
        <v>CD56-m617</v>
      </c>
      <c r="D433" s="3">
        <v>116.136</v>
      </c>
    </row>
    <row r="434" spans="1:4">
      <c r="A434" s="2" t="s">
        <v>185</v>
      </c>
      <c r="B434" s="2">
        <v>637</v>
      </c>
      <c r="C434" s="2" t="str">
        <f t="shared" si="8"/>
        <v>CD56-m637</v>
      </c>
      <c r="D434" s="3">
        <v>25.121200000000002</v>
      </c>
    </row>
    <row r="435" spans="1:4">
      <c r="A435" s="2" t="s">
        <v>185</v>
      </c>
      <c r="B435" s="2">
        <v>645</v>
      </c>
      <c r="C435" s="2" t="str">
        <f t="shared" si="8"/>
        <v>CD56-m645</v>
      </c>
      <c r="D435" s="3">
        <v>29.654199999999999</v>
      </c>
    </row>
    <row r="436" spans="1:4">
      <c r="A436" s="2" t="s">
        <v>185</v>
      </c>
      <c r="B436" s="2">
        <v>650</v>
      </c>
      <c r="C436" s="2" t="str">
        <f t="shared" si="8"/>
        <v>CD56-m650</v>
      </c>
      <c r="D436" s="3">
        <v>3.7000999999999999</v>
      </c>
    </row>
    <row r="437" spans="1:4">
      <c r="A437" s="2" t="s">
        <v>185</v>
      </c>
      <c r="B437" s="2">
        <v>657</v>
      </c>
      <c r="C437" s="2" t="str">
        <f t="shared" si="8"/>
        <v>CD56-m657</v>
      </c>
      <c r="D437" s="3">
        <v>71.082999999999998</v>
      </c>
    </row>
    <row r="438" spans="1:4">
      <c r="A438" s="2" t="s">
        <v>185</v>
      </c>
      <c r="B438" s="2">
        <v>647</v>
      </c>
      <c r="C438" s="2" t="str">
        <f t="shared" si="8"/>
        <v>CD56-m647</v>
      </c>
      <c r="D438" s="3">
        <v>42.023600000000002</v>
      </c>
    </row>
    <row r="439" spans="1:4">
      <c r="A439" s="2" t="s">
        <v>185</v>
      </c>
      <c r="B439" s="2">
        <v>665</v>
      </c>
      <c r="C439" s="2" t="str">
        <f t="shared" si="8"/>
        <v>CD56-m665</v>
      </c>
      <c r="D439" s="3">
        <v>36.6494</v>
      </c>
    </row>
    <row r="440" spans="1:4">
      <c r="A440" s="2" t="s">
        <v>185</v>
      </c>
      <c r="B440" s="2">
        <v>668</v>
      </c>
      <c r="C440" s="2" t="str">
        <f t="shared" si="8"/>
        <v>CD56-m668</v>
      </c>
      <c r="D440" s="3">
        <v>10.738799999999999</v>
      </c>
    </row>
    <row r="441" spans="1:4">
      <c r="A441" s="2" t="s">
        <v>185</v>
      </c>
      <c r="B441" s="2">
        <v>692</v>
      </c>
      <c r="C441" s="2" t="str">
        <f t="shared" si="8"/>
        <v>CD56-m692</v>
      </c>
      <c r="D441" s="3">
        <v>36.243200000000002</v>
      </c>
    </row>
    <row r="442" spans="1:4">
      <c r="A442" s="2" t="s">
        <v>185</v>
      </c>
      <c r="B442" s="2">
        <v>693</v>
      </c>
      <c r="C442" s="2" t="str">
        <f t="shared" si="8"/>
        <v>CD56-m693</v>
      </c>
      <c r="D442" s="3">
        <v>10.2287</v>
      </c>
    </row>
    <row r="443" spans="1:4">
      <c r="A443" s="2" t="s">
        <v>185</v>
      </c>
      <c r="B443" s="2">
        <v>694</v>
      </c>
      <c r="C443" s="2" t="str">
        <f t="shared" si="8"/>
        <v>CD56-m694</v>
      </c>
      <c r="D443" s="3">
        <v>16.336600000000001</v>
      </c>
    </row>
    <row r="444" spans="1:4">
      <c r="A444" s="2" t="s">
        <v>185</v>
      </c>
      <c r="B444" s="2">
        <v>695</v>
      </c>
      <c r="C444" s="2" t="str">
        <f t="shared" si="8"/>
        <v>CD56-m695</v>
      </c>
      <c r="D444" s="3">
        <v>5.3825000000000003</v>
      </c>
    </row>
    <row r="445" spans="1:4">
      <c r="A445" s="2" t="s">
        <v>185</v>
      </c>
      <c r="B445" s="2">
        <v>696</v>
      </c>
      <c r="C445" s="2" t="str">
        <f t="shared" si="8"/>
        <v>CD56-m696</v>
      </c>
      <c r="D445" s="3">
        <v>24.215199999999999</v>
      </c>
    </row>
    <row r="446" spans="1:4">
      <c r="A446" s="2" t="s">
        <v>185</v>
      </c>
      <c r="B446" s="2">
        <v>697</v>
      </c>
      <c r="C446" s="2" t="str">
        <f t="shared" si="8"/>
        <v>CD56-m697</v>
      </c>
      <c r="D446" s="3">
        <v>27.779900000000001</v>
      </c>
    </row>
    <row r="447" spans="1:4">
      <c r="A447" s="2" t="s">
        <v>185</v>
      </c>
      <c r="B447" s="2">
        <v>698</v>
      </c>
      <c r="C447" s="2" t="str">
        <f t="shared" si="8"/>
        <v>CD56-m698</v>
      </c>
      <c r="D447" s="3">
        <v>22.4117</v>
      </c>
    </row>
    <row r="448" spans="1:4">
      <c r="A448" s="2" t="s">
        <v>185</v>
      </c>
      <c r="B448" s="2">
        <v>699</v>
      </c>
      <c r="C448" s="2" t="str">
        <f t="shared" si="8"/>
        <v>CD56-m699</v>
      </c>
      <c r="D448" s="3">
        <v>41.7348</v>
      </c>
    </row>
    <row r="449" spans="1:4">
      <c r="A449" s="2" t="s">
        <v>185</v>
      </c>
      <c r="B449" s="2">
        <v>700</v>
      </c>
      <c r="C449" s="2" t="str">
        <f t="shared" si="8"/>
        <v>CD56-m700</v>
      </c>
      <c r="D449" s="3">
        <v>28.9849</v>
      </c>
    </row>
    <row r="450" spans="1:4">
      <c r="A450" s="2" t="s">
        <v>185</v>
      </c>
      <c r="B450" s="2">
        <v>701</v>
      </c>
      <c r="C450" s="2" t="str">
        <f t="shared" si="8"/>
        <v>CD56-m701</v>
      </c>
      <c r="D450" s="3">
        <v>57.377099999999999</v>
      </c>
    </row>
    <row r="451" spans="1:4">
      <c r="A451" s="2" t="s">
        <v>185</v>
      </c>
      <c r="B451" s="2">
        <v>702</v>
      </c>
      <c r="C451" s="2" t="str">
        <f t="shared" si="8"/>
        <v>CD56-m702</v>
      </c>
      <c r="D451" s="3">
        <v>43.780799999999999</v>
      </c>
    </row>
    <row r="452" spans="1:4">
      <c r="A452" s="2" t="s">
        <v>185</v>
      </c>
      <c r="B452" s="2">
        <v>612</v>
      </c>
      <c r="C452" s="2" t="str">
        <f t="shared" si="8"/>
        <v>CD56-m612</v>
      </c>
      <c r="D452" s="3">
        <v>4.5499999999999999E-2</v>
      </c>
    </row>
    <row r="453" spans="1:4">
      <c r="A453" s="2" t="s">
        <v>185</v>
      </c>
      <c r="B453" s="2">
        <v>620</v>
      </c>
      <c r="C453" s="2" t="str">
        <f t="shared" si="8"/>
        <v>CD56-m620</v>
      </c>
      <c r="D453" s="3">
        <v>1.6E-2</v>
      </c>
    </row>
    <row r="454" spans="1:4">
      <c r="A454" s="2" t="s">
        <v>185</v>
      </c>
      <c r="B454" s="2">
        <v>618</v>
      </c>
      <c r="C454" s="2" t="str">
        <f t="shared" si="8"/>
        <v>CD56-m618</v>
      </c>
      <c r="D454" s="3">
        <v>6.7999999999999996E-3</v>
      </c>
    </row>
    <row r="455" spans="1:4">
      <c r="A455" s="2" t="s">
        <v>185</v>
      </c>
      <c r="B455" s="2">
        <v>666</v>
      </c>
      <c r="C455" s="2" t="str">
        <f t="shared" si="8"/>
        <v>CD56-m666</v>
      </c>
      <c r="D455" s="3">
        <v>6.1600000000000002E-2</v>
      </c>
    </row>
    <row r="456" spans="1:4">
      <c r="A456" s="2" t="s">
        <v>185</v>
      </c>
      <c r="B456" s="2">
        <v>669</v>
      </c>
      <c r="C456" s="2" t="str">
        <f t="shared" si="8"/>
        <v>CD56-m669</v>
      </c>
      <c r="D456" s="3">
        <v>5.0299999999999997E-2</v>
      </c>
    </row>
    <row r="457" spans="1:4">
      <c r="A457" s="2" t="s">
        <v>185</v>
      </c>
      <c r="B457" s="2">
        <v>676</v>
      </c>
      <c r="C457" s="2" t="str">
        <f t="shared" si="8"/>
        <v>CD56-m676</v>
      </c>
      <c r="D457" s="3">
        <v>1.3100000000000001E-2</v>
      </c>
    </row>
    <row r="458" spans="1:4">
      <c r="A458" s="2" t="s">
        <v>185</v>
      </c>
      <c r="B458" s="2">
        <v>680</v>
      </c>
      <c r="C458" s="2" t="str">
        <f t="shared" si="8"/>
        <v>CD56-m680</v>
      </c>
      <c r="D458" s="3">
        <v>1.0999999999999999E-2</v>
      </c>
    </row>
    <row r="459" spans="1:4">
      <c r="A459" s="2" t="s">
        <v>185</v>
      </c>
      <c r="B459" s="2">
        <v>714</v>
      </c>
      <c r="C459" s="2" t="str">
        <f t="shared" si="8"/>
        <v>CD56-m714</v>
      </c>
      <c r="D459" s="3">
        <v>7.1999999999999998E-3</v>
      </c>
    </row>
    <row r="460" spans="1:4">
      <c r="A460" s="2" t="s">
        <v>185</v>
      </c>
      <c r="B460" s="2">
        <v>715</v>
      </c>
      <c r="C460" s="2" t="str">
        <f t="shared" si="8"/>
        <v>CD56-m715</v>
      </c>
      <c r="D460" s="3">
        <v>6.7999999999999996E-3</v>
      </c>
    </row>
    <row r="461" spans="1:4">
      <c r="A461" s="2" t="s">
        <v>185</v>
      </c>
      <c r="B461" s="2">
        <v>716</v>
      </c>
      <c r="C461" s="2" t="str">
        <f t="shared" si="8"/>
        <v>CD56-m716</v>
      </c>
      <c r="D461" s="3">
        <v>6.7999999999999996E-3</v>
      </c>
    </row>
    <row r="462" spans="1:4">
      <c r="A462" s="2" t="s">
        <v>185</v>
      </c>
      <c r="B462" s="2">
        <v>717</v>
      </c>
      <c r="C462" s="2" t="str">
        <f t="shared" si="8"/>
        <v>CD56-m717</v>
      </c>
      <c r="D462" s="3">
        <v>6.7999999999999996E-3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B07F-547E-EA40-936F-03D96CE5F4FD}">
  <dimension ref="A1:E55"/>
  <sheetViews>
    <sheetView workbookViewId="0">
      <selection sqref="A1:E55"/>
    </sheetView>
  </sheetViews>
  <sheetFormatPr baseColWidth="10" defaultRowHeight="16"/>
  <sheetData>
    <row r="1" spans="1:5">
      <c r="A1" t="s">
        <v>186</v>
      </c>
      <c r="B1" t="s">
        <v>187</v>
      </c>
      <c r="C1" t="s">
        <v>188</v>
      </c>
      <c r="D1" t="s">
        <v>189</v>
      </c>
      <c r="E1" t="s">
        <v>190</v>
      </c>
    </row>
    <row r="2" spans="1:5">
      <c r="A2" t="s">
        <v>191</v>
      </c>
      <c r="B2">
        <v>27</v>
      </c>
      <c r="C2">
        <v>5.3881599049575965E+123</v>
      </c>
      <c r="D2">
        <v>122312.9948</v>
      </c>
      <c r="E2">
        <v>38251.277450176734</v>
      </c>
    </row>
    <row r="3" spans="1:5">
      <c r="A3" t="s">
        <v>192</v>
      </c>
      <c r="B3">
        <v>22</v>
      </c>
      <c r="C3">
        <v>2.036584761594359E+121</v>
      </c>
      <c r="D3">
        <v>495151.57727272721</v>
      </c>
      <c r="E3">
        <v>326618.68222240347</v>
      </c>
    </row>
    <row r="4" spans="1:5">
      <c r="A4" t="s">
        <v>193</v>
      </c>
      <c r="B4">
        <v>40</v>
      </c>
      <c r="C4">
        <v>1.6040472338087927E+202</v>
      </c>
      <c r="D4">
        <v>154289.06800000003</v>
      </c>
      <c r="E4">
        <v>113535.17372249054</v>
      </c>
    </row>
    <row r="5" spans="1:5">
      <c r="A5" t="s">
        <v>194</v>
      </c>
      <c r="B5">
        <v>34</v>
      </c>
      <c r="C5">
        <v>4.7981414206680855E+175</v>
      </c>
      <c r="D5">
        <v>222531.39470588233</v>
      </c>
      <c r="E5">
        <v>146923.20165986364</v>
      </c>
    </row>
    <row r="6" spans="1:5">
      <c r="A6" t="s">
        <v>195</v>
      </c>
      <c r="B6">
        <v>36</v>
      </c>
      <c r="C6">
        <v>1.6971311484051549E+185</v>
      </c>
      <c r="D6">
        <v>287974.88500000001</v>
      </c>
      <c r="E6">
        <v>139723.63396465068</v>
      </c>
    </row>
    <row r="7" spans="1:5">
      <c r="A7" t="s">
        <v>12</v>
      </c>
      <c r="B7">
        <v>20</v>
      </c>
      <c r="C7">
        <v>1.3554677827340808E+117</v>
      </c>
      <c r="D7">
        <v>792706.09000000008</v>
      </c>
      <c r="E7">
        <v>718794.02767148544</v>
      </c>
    </row>
    <row r="8" spans="1:5">
      <c r="A8" t="s">
        <v>196</v>
      </c>
      <c r="B8">
        <v>34</v>
      </c>
      <c r="C8">
        <v>3.754051610930053E+168</v>
      </c>
      <c r="D8">
        <v>133979.98500000002</v>
      </c>
      <c r="E8">
        <v>90797.425891953841</v>
      </c>
    </row>
    <row r="9" spans="1:5">
      <c r="A9" t="s">
        <v>197</v>
      </c>
      <c r="B9">
        <v>8</v>
      </c>
      <c r="C9">
        <v>8.1687966207353025E+45</v>
      </c>
      <c r="D9">
        <v>816046.5</v>
      </c>
      <c r="E9">
        <v>548301.91214301228</v>
      </c>
    </row>
    <row r="10" spans="1:5">
      <c r="A10" t="s">
        <v>198</v>
      </c>
      <c r="B10">
        <v>22</v>
      </c>
      <c r="C10">
        <v>1.1688106384215799E+107</v>
      </c>
      <c r="D10">
        <v>102858.14272727272</v>
      </c>
      <c r="E10">
        <v>73572.521987380038</v>
      </c>
    </row>
    <row r="11" spans="1:5">
      <c r="A11" t="s">
        <v>199</v>
      </c>
      <c r="B11">
        <v>27</v>
      </c>
      <c r="C11">
        <v>1.033488773982514E+126</v>
      </c>
      <c r="D11">
        <v>168421.92760000002</v>
      </c>
      <c r="E11">
        <v>46472.550686205439</v>
      </c>
    </row>
    <row r="12" spans="1:5">
      <c r="A12" t="s">
        <v>200</v>
      </c>
      <c r="B12">
        <v>22</v>
      </c>
      <c r="C12">
        <v>4.3149167879506246E+123</v>
      </c>
      <c r="D12">
        <v>570842.24543681822</v>
      </c>
      <c r="E12">
        <v>416650.08413340308</v>
      </c>
    </row>
    <row r="13" spans="1:5">
      <c r="A13" t="s">
        <v>201</v>
      </c>
      <c r="B13">
        <v>19</v>
      </c>
      <c r="C13">
        <v>5.9488220139658386E+108</v>
      </c>
      <c r="D13">
        <v>1187582.1328678944</v>
      </c>
      <c r="E13">
        <v>530847.83603838785</v>
      </c>
    </row>
    <row r="14" spans="1:5">
      <c r="A14" t="s">
        <v>202</v>
      </c>
      <c r="B14">
        <v>28</v>
      </c>
      <c r="C14">
        <v>1.3740448061934951E+156</v>
      </c>
      <c r="D14">
        <v>505727.45813607145</v>
      </c>
      <c r="E14">
        <v>377013.73719227477</v>
      </c>
    </row>
    <row r="15" spans="1:5">
      <c r="A15" t="s">
        <v>203</v>
      </c>
      <c r="B15">
        <v>6</v>
      </c>
      <c r="C15">
        <v>1.1307715612530986E+33</v>
      </c>
      <c r="D15">
        <v>359551.43991666666</v>
      </c>
      <c r="E15">
        <v>322771.97000905219</v>
      </c>
    </row>
    <row r="16" spans="1:5">
      <c r="A16" t="s">
        <v>204</v>
      </c>
      <c r="B16">
        <v>28</v>
      </c>
      <c r="C16">
        <v>1.0984045503202189E+168</v>
      </c>
      <c r="D16">
        <v>1706176.0436428576</v>
      </c>
      <c r="E16">
        <v>1003357.7216368922</v>
      </c>
    </row>
    <row r="17" spans="1:5">
      <c r="A17" t="s">
        <v>205</v>
      </c>
      <c r="B17">
        <v>10</v>
      </c>
      <c r="C17">
        <v>4.5566329802399564E+54</v>
      </c>
      <c r="D17">
        <v>354985.19897999999</v>
      </c>
      <c r="E17">
        <v>292323.95438034885</v>
      </c>
    </row>
    <row r="18" spans="1:5">
      <c r="A18" t="s">
        <v>206</v>
      </c>
      <c r="B18">
        <v>25</v>
      </c>
      <c r="C18">
        <v>4.1284984048038831E+131</v>
      </c>
      <c r="D18">
        <v>530763.28555200016</v>
      </c>
      <c r="E18">
        <v>183921.15468856724</v>
      </c>
    </row>
    <row r="19" spans="1:5">
      <c r="A19" t="s">
        <v>207</v>
      </c>
      <c r="B19">
        <v>22</v>
      </c>
      <c r="C19">
        <v>6.5256862577144176E+120</v>
      </c>
      <c r="D19">
        <v>798734.40658909082</v>
      </c>
      <c r="E19">
        <v>310151.52272368071</v>
      </c>
    </row>
    <row r="20" spans="1:5">
      <c r="A20" t="s">
        <v>208</v>
      </c>
      <c r="B20">
        <v>24</v>
      </c>
      <c r="C20">
        <v>6.8576809113319291E+141</v>
      </c>
      <c r="D20">
        <v>1677353.9597541664</v>
      </c>
      <c r="E20">
        <v>812532.46004728228</v>
      </c>
    </row>
    <row r="21" spans="1:5">
      <c r="A21" t="s">
        <v>209</v>
      </c>
      <c r="B21">
        <v>22</v>
      </c>
      <c r="C21">
        <v>1.8668780247046634E+120</v>
      </c>
      <c r="D21">
        <v>487480.86444636359</v>
      </c>
      <c r="E21">
        <v>293000.86772726558</v>
      </c>
    </row>
    <row r="22" spans="1:5">
      <c r="A22" t="s">
        <v>13</v>
      </c>
      <c r="B22">
        <v>24</v>
      </c>
      <c r="C22">
        <v>3.2371543546573386E+134</v>
      </c>
      <c r="D22">
        <v>650717.8988995835</v>
      </c>
      <c r="E22">
        <v>402337.15628277307</v>
      </c>
    </row>
    <row r="23" spans="1:5">
      <c r="A23" t="s">
        <v>14</v>
      </c>
      <c r="B23">
        <v>22</v>
      </c>
      <c r="C23">
        <v>4.8692536860230859E+118</v>
      </c>
      <c r="D23">
        <v>333799.52829772723</v>
      </c>
      <c r="E23">
        <v>248247.3691220734</v>
      </c>
    </row>
    <row r="24" spans="1:5">
      <c r="A24" t="s">
        <v>15</v>
      </c>
      <c r="B24">
        <v>24</v>
      </c>
      <c r="C24">
        <v>9.2979413841757978E+130</v>
      </c>
      <c r="D24">
        <v>510268.82400958339</v>
      </c>
      <c r="E24">
        <v>286428.42626090499</v>
      </c>
    </row>
    <row r="25" spans="1:5">
      <c r="A25" t="s">
        <v>16</v>
      </c>
      <c r="B25">
        <v>10</v>
      </c>
      <c r="C25">
        <v>2.0386024199955513E+56</v>
      </c>
      <c r="D25">
        <v>527848.31082000001</v>
      </c>
      <c r="E25">
        <v>427497.17931794416</v>
      </c>
    </row>
    <row r="26" spans="1:5">
      <c r="A26" t="s">
        <v>17</v>
      </c>
      <c r="B26">
        <v>14</v>
      </c>
      <c r="C26">
        <v>3.5978540089682614E+76</v>
      </c>
      <c r="D26">
        <v>346590.39251928561</v>
      </c>
      <c r="E26">
        <v>293960.39620893868</v>
      </c>
    </row>
    <row r="27" spans="1:5">
      <c r="A27" t="s">
        <v>18</v>
      </c>
      <c r="B27">
        <v>4</v>
      </c>
      <c r="C27">
        <v>1.6079384109212219E+21</v>
      </c>
      <c r="D27">
        <v>297641.83426999999</v>
      </c>
      <c r="E27">
        <v>200247.61511228979</v>
      </c>
    </row>
    <row r="28" spans="1:5">
      <c r="A28" t="s">
        <v>19</v>
      </c>
      <c r="B28">
        <v>8</v>
      </c>
      <c r="C28">
        <v>9.5941025945031451E+45</v>
      </c>
      <c r="D28">
        <v>1244025.29145125</v>
      </c>
      <c r="E28">
        <v>559436.17360737943</v>
      </c>
    </row>
    <row r="29" spans="1:5">
      <c r="A29" t="s">
        <v>210</v>
      </c>
      <c r="B29">
        <v>2</v>
      </c>
      <c r="C29">
        <v>183792937037.86472</v>
      </c>
      <c r="D29">
        <v>430794.67775000003</v>
      </c>
      <c r="E29">
        <v>428710.78483969206</v>
      </c>
    </row>
    <row r="30" spans="1:5">
      <c r="A30" t="s">
        <v>211</v>
      </c>
      <c r="B30">
        <v>24</v>
      </c>
      <c r="C30">
        <v>1.485901702156478E+134</v>
      </c>
      <c r="D30">
        <v>715582.16273083317</v>
      </c>
      <c r="E30">
        <v>389492.9370169405</v>
      </c>
    </row>
    <row r="31" spans="1:5">
      <c r="A31" t="s">
        <v>212</v>
      </c>
      <c r="B31">
        <v>28</v>
      </c>
      <c r="C31">
        <v>6.4349921639651259E+167</v>
      </c>
      <c r="D31">
        <v>4410116.8415035717</v>
      </c>
      <c r="E31">
        <v>984379.20207522379</v>
      </c>
    </row>
    <row r="32" spans="1:5">
      <c r="A32" t="s">
        <v>213</v>
      </c>
      <c r="B32">
        <v>12</v>
      </c>
      <c r="C32">
        <v>6.3055283406503374E+67</v>
      </c>
      <c r="D32">
        <v>925365.17370333325</v>
      </c>
      <c r="E32">
        <v>446659.72084887431</v>
      </c>
    </row>
    <row r="33" spans="1:5">
      <c r="A33" t="s">
        <v>214</v>
      </c>
      <c r="B33">
        <v>24</v>
      </c>
      <c r="C33">
        <v>6.5678322961649101E+129</v>
      </c>
      <c r="D33">
        <v>427128.38887958328</v>
      </c>
      <c r="E33">
        <v>256483.39417559103</v>
      </c>
    </row>
    <row r="34" spans="1:5">
      <c r="A34" t="s">
        <v>21</v>
      </c>
      <c r="B34">
        <v>10</v>
      </c>
      <c r="C34">
        <v>3.5571786036790038E+55</v>
      </c>
      <c r="D34">
        <v>421531.51779499993</v>
      </c>
      <c r="E34">
        <v>359013.32430107269</v>
      </c>
    </row>
    <row r="35" spans="1:5">
      <c r="A35" t="s">
        <v>22</v>
      </c>
      <c r="B35">
        <v>26</v>
      </c>
      <c r="C35">
        <v>6.4664720336971913E+145</v>
      </c>
      <c r="D35">
        <v>798264.47195076931</v>
      </c>
      <c r="E35">
        <v>405604.3391704816</v>
      </c>
    </row>
    <row r="36" spans="1:5">
      <c r="A36" t="s">
        <v>23</v>
      </c>
      <c r="B36">
        <v>25</v>
      </c>
      <c r="C36">
        <v>1.892218001871698E+136</v>
      </c>
      <c r="D36">
        <v>552020.10695800011</v>
      </c>
      <c r="E36">
        <v>282539.28825457976</v>
      </c>
    </row>
    <row r="37" spans="1:5">
      <c r="A37" t="s">
        <v>24</v>
      </c>
      <c r="B37">
        <v>22</v>
      </c>
      <c r="C37">
        <v>1.9811343346291494E+111</v>
      </c>
      <c r="D37">
        <v>145787.78058272731</v>
      </c>
      <c r="E37">
        <v>114538.2736267064</v>
      </c>
    </row>
    <row r="38" spans="1:5">
      <c r="A38" t="s">
        <v>25</v>
      </c>
      <c r="B38">
        <v>4</v>
      </c>
      <c r="C38">
        <v>3.24240050685659E+23</v>
      </c>
      <c r="D38">
        <v>940925.92637499992</v>
      </c>
      <c r="E38">
        <v>754599.76333239349</v>
      </c>
    </row>
    <row r="39" spans="1:5">
      <c r="A39" t="s">
        <v>26</v>
      </c>
      <c r="B39">
        <v>8</v>
      </c>
      <c r="C39">
        <v>1.2642948679406893E+48</v>
      </c>
      <c r="D39">
        <v>1293465.7669500001</v>
      </c>
      <c r="E39">
        <v>1029748.2127989829</v>
      </c>
    </row>
    <row r="40" spans="1:5">
      <c r="A40" t="s">
        <v>27</v>
      </c>
      <c r="B40">
        <v>24</v>
      </c>
      <c r="C40">
        <v>1.0887604302398809E+122</v>
      </c>
      <c r="D40">
        <v>130201.46322083332</v>
      </c>
      <c r="E40">
        <v>121582.81107942598</v>
      </c>
    </row>
    <row r="41" spans="1:5">
      <c r="A41" t="s">
        <v>28</v>
      </c>
      <c r="B41">
        <v>30</v>
      </c>
      <c r="C41">
        <v>3.1483560242100719E+159</v>
      </c>
      <c r="D41">
        <v>394453.68814233347</v>
      </c>
      <c r="E41">
        <v>207301.66706398546</v>
      </c>
    </row>
    <row r="42" spans="1:5">
      <c r="A42" t="s">
        <v>29</v>
      </c>
      <c r="B42">
        <v>30</v>
      </c>
      <c r="C42">
        <v>1.8234041529467955E+163</v>
      </c>
      <c r="D42">
        <v>334602.29950233339</v>
      </c>
      <c r="E42">
        <v>276712.91621961194</v>
      </c>
    </row>
    <row r="43" spans="1:5">
      <c r="A43" t="s">
        <v>30</v>
      </c>
      <c r="B43">
        <v>14</v>
      </c>
      <c r="C43">
        <v>9.8495557978381383E+70</v>
      </c>
      <c r="D43">
        <v>131459.63668714283</v>
      </c>
      <c r="E43">
        <v>117749.29939616843</v>
      </c>
    </row>
    <row r="44" spans="1:5">
      <c r="A44" t="s">
        <v>31</v>
      </c>
      <c r="B44">
        <v>32</v>
      </c>
      <c r="C44">
        <v>8.9682712482148193E+164</v>
      </c>
      <c r="D44">
        <v>206191.75648249991</v>
      </c>
      <c r="E44">
        <v>142814.44878048872</v>
      </c>
    </row>
    <row r="45" spans="1:5">
      <c r="A45" t="s">
        <v>2</v>
      </c>
      <c r="B45">
        <v>16</v>
      </c>
      <c r="C45">
        <v>2.9809998125604086E+91</v>
      </c>
      <c r="D45">
        <v>806206.60250000004</v>
      </c>
      <c r="E45">
        <v>521371.90142179758</v>
      </c>
    </row>
    <row r="46" spans="1:5">
      <c r="A46" t="s">
        <v>3</v>
      </c>
      <c r="B46">
        <v>6</v>
      </c>
      <c r="C46">
        <v>1.381762503681319E+29</v>
      </c>
      <c r="D46">
        <v>100475.33500000001</v>
      </c>
      <c r="E46">
        <v>71901.657259287836</v>
      </c>
    </row>
    <row r="47" spans="1:5">
      <c r="A47" t="s">
        <v>4</v>
      </c>
      <c r="B47">
        <v>2</v>
      </c>
      <c r="C47">
        <v>71780063036.399994</v>
      </c>
      <c r="D47">
        <v>271203.90000000002</v>
      </c>
      <c r="E47">
        <v>267918.01551295497</v>
      </c>
    </row>
    <row r="48" spans="1:5">
      <c r="A48" t="s">
        <v>5</v>
      </c>
      <c r="B48">
        <v>30</v>
      </c>
      <c r="C48">
        <v>8.369535362697508E+161</v>
      </c>
      <c r="D48">
        <v>404054.50233333342</v>
      </c>
      <c r="E48">
        <v>249702.78046446119</v>
      </c>
    </row>
    <row r="49" spans="1:5">
      <c r="A49" t="s">
        <v>6</v>
      </c>
      <c r="B49">
        <v>6</v>
      </c>
      <c r="C49">
        <v>2.3720334583097754E+31</v>
      </c>
      <c r="D49">
        <v>199202.09</v>
      </c>
      <c r="E49">
        <v>169506.67375776928</v>
      </c>
    </row>
    <row r="50" spans="1:5">
      <c r="A50" t="s">
        <v>7</v>
      </c>
      <c r="B50">
        <v>34</v>
      </c>
      <c r="C50">
        <v>1.6661485045113979E+192</v>
      </c>
      <c r="D50">
        <v>565927.72</v>
      </c>
      <c r="E50">
        <v>450380.74495758599</v>
      </c>
    </row>
    <row r="51" spans="1:5">
      <c r="A51" t="s">
        <v>8</v>
      </c>
      <c r="B51">
        <v>34</v>
      </c>
      <c r="C51">
        <v>2.9169979502838328E+195</v>
      </c>
      <c r="D51">
        <v>720801.07352941181</v>
      </c>
      <c r="E51">
        <v>561007.55455739179</v>
      </c>
    </row>
    <row r="52" spans="1:5">
      <c r="A52" t="s">
        <v>9</v>
      </c>
      <c r="B52">
        <v>12</v>
      </c>
      <c r="C52">
        <v>5.4607669310261381E+63</v>
      </c>
      <c r="D52">
        <v>255968.85500000001</v>
      </c>
      <c r="E52">
        <v>204850.86560191057</v>
      </c>
    </row>
    <row r="53" spans="1:5">
      <c r="A53" t="s">
        <v>10</v>
      </c>
      <c r="B53">
        <v>38</v>
      </c>
      <c r="C53">
        <v>8.6619213003610194E+190</v>
      </c>
      <c r="D53">
        <v>122541.87394736844</v>
      </c>
      <c r="E53">
        <v>105845.90456614312</v>
      </c>
    </row>
    <row r="54" spans="1:5">
      <c r="A54" t="s">
        <v>11</v>
      </c>
      <c r="B54">
        <v>32</v>
      </c>
      <c r="C54">
        <v>1.3649770525436106E+180</v>
      </c>
      <c r="D54">
        <v>638497.78812500008</v>
      </c>
      <c r="E54">
        <v>425816.677714672</v>
      </c>
    </row>
    <row r="55" spans="1:5">
      <c r="A55" t="s">
        <v>20</v>
      </c>
      <c r="B55">
        <v>2</v>
      </c>
      <c r="C55">
        <v>153442831.61060753</v>
      </c>
      <c r="D55">
        <v>13161.588189999999</v>
      </c>
      <c r="E55">
        <v>12387.204350078655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9BA2-5BC9-524C-A5BC-253FC7930743}">
  <dimension ref="A1:F174"/>
  <sheetViews>
    <sheetView tabSelected="1" topLeftCell="A145" zoomScaleNormal="100" workbookViewId="0">
      <selection activeCell="C152" sqref="C152"/>
    </sheetView>
  </sheetViews>
  <sheetFormatPr baseColWidth="10" defaultRowHeight="16"/>
  <cols>
    <col min="1" max="1" width="12" bestFit="1" customWidth="1"/>
  </cols>
  <sheetData>
    <row r="1" spans="1:6" ht="17">
      <c r="A1" s="5" t="s">
        <v>215</v>
      </c>
      <c r="B1" s="5" t="s">
        <v>216</v>
      </c>
      <c r="C1" s="5" t="s">
        <v>217</v>
      </c>
      <c r="D1" s="5" t="s">
        <v>218</v>
      </c>
      <c r="E1" s="5" t="s">
        <v>219</v>
      </c>
      <c r="F1" s="5" t="s">
        <v>220</v>
      </c>
    </row>
    <row r="2" spans="1:6" ht="17">
      <c r="A2" s="6" t="s">
        <v>2</v>
      </c>
      <c r="B2" s="7">
        <v>12</v>
      </c>
      <c r="C2" s="7"/>
      <c r="D2" s="7">
        <v>1</v>
      </c>
      <c r="E2" s="7"/>
      <c r="F2" s="7"/>
    </row>
    <row r="3" spans="1:6" ht="17">
      <c r="A3" s="6" t="s">
        <v>3</v>
      </c>
      <c r="B3" s="7">
        <v>7</v>
      </c>
      <c r="C3" s="7"/>
      <c r="D3" s="7">
        <v>1</v>
      </c>
      <c r="E3" s="7"/>
      <c r="F3" s="7"/>
    </row>
    <row r="4" spans="1:6" ht="17">
      <c r="A4" s="6" t="s">
        <v>4</v>
      </c>
      <c r="B4" s="7">
        <v>4</v>
      </c>
      <c r="C4" s="7"/>
      <c r="D4" s="7">
        <v>1</v>
      </c>
      <c r="E4" s="7"/>
      <c r="F4" s="7"/>
    </row>
    <row r="5" spans="1:6" ht="17">
      <c r="A5" s="6" t="s">
        <v>5</v>
      </c>
      <c r="B5" s="7">
        <v>5</v>
      </c>
      <c r="C5" s="7"/>
      <c r="D5" s="7">
        <v>1</v>
      </c>
      <c r="E5" s="7"/>
      <c r="F5" s="7"/>
    </row>
    <row r="6" spans="1:6" ht="17">
      <c r="A6" s="6" t="s">
        <v>6</v>
      </c>
      <c r="B6" s="7">
        <v>14</v>
      </c>
      <c r="C6" s="7"/>
      <c r="D6" s="7">
        <v>1</v>
      </c>
      <c r="E6" s="7"/>
      <c r="F6" s="7"/>
    </row>
    <row r="7" spans="1:6" ht="17">
      <c r="A7" s="6" t="s">
        <v>7</v>
      </c>
      <c r="B7" s="7">
        <v>3</v>
      </c>
      <c r="C7" s="7"/>
      <c r="D7" s="7">
        <v>1</v>
      </c>
      <c r="E7" s="7"/>
      <c r="F7" s="7"/>
    </row>
    <row r="8" spans="1:6" ht="17">
      <c r="A8" s="6" t="s">
        <v>8</v>
      </c>
      <c r="B8" s="7">
        <v>5</v>
      </c>
      <c r="C8" s="7"/>
      <c r="D8" s="7">
        <v>1</v>
      </c>
      <c r="E8" s="7"/>
      <c r="F8" s="7"/>
    </row>
    <row r="9" spans="1:6" ht="17">
      <c r="A9" s="6" t="s">
        <v>9</v>
      </c>
      <c r="B9" s="7">
        <v>8</v>
      </c>
      <c r="C9" s="7"/>
      <c r="D9" s="7">
        <v>1</v>
      </c>
      <c r="E9" s="7"/>
      <c r="F9" s="7"/>
    </row>
    <row r="10" spans="1:6" ht="17">
      <c r="A10" s="6" t="s">
        <v>10</v>
      </c>
      <c r="B10" s="7">
        <v>2</v>
      </c>
      <c r="C10" s="7"/>
      <c r="D10" s="7">
        <v>1</v>
      </c>
      <c r="E10" s="7"/>
      <c r="F10" s="7"/>
    </row>
    <row r="11" spans="1:6" ht="17">
      <c r="A11" s="6" t="s">
        <v>11</v>
      </c>
      <c r="B11" s="7">
        <v>2</v>
      </c>
      <c r="C11" s="7"/>
      <c r="D11" s="7">
        <v>1</v>
      </c>
      <c r="E11" s="7"/>
      <c r="F11" s="7"/>
    </row>
    <row r="12" spans="1:6" ht="17">
      <c r="A12" s="6" t="s">
        <v>12</v>
      </c>
      <c r="B12" s="7">
        <v>10</v>
      </c>
      <c r="C12" s="7"/>
      <c r="D12" s="7">
        <v>1</v>
      </c>
      <c r="E12" s="7"/>
      <c r="F12" s="7"/>
    </row>
    <row r="13" spans="1:6" ht="17">
      <c r="A13" s="6" t="s">
        <v>13</v>
      </c>
      <c r="B13" s="7">
        <v>3</v>
      </c>
      <c r="C13" s="7"/>
      <c r="D13" s="7">
        <v>1</v>
      </c>
      <c r="E13" s="7"/>
      <c r="F13" s="7"/>
    </row>
    <row r="14" spans="1:6" ht="17">
      <c r="A14" s="6" t="s">
        <v>14</v>
      </c>
      <c r="B14" s="7">
        <v>4</v>
      </c>
      <c r="C14" s="7"/>
      <c r="D14" s="7">
        <v>1</v>
      </c>
      <c r="E14" s="7"/>
      <c r="F14" s="7"/>
    </row>
    <row r="15" spans="1:6" ht="17">
      <c r="A15" s="6" t="s">
        <v>15</v>
      </c>
      <c r="B15" s="7">
        <v>3</v>
      </c>
      <c r="C15" s="7"/>
      <c r="D15" s="7">
        <v>1</v>
      </c>
      <c r="E15" s="7"/>
      <c r="F15" s="7"/>
    </row>
    <row r="16" spans="1:6" ht="17">
      <c r="A16" s="6" t="s">
        <v>16</v>
      </c>
      <c r="B16" s="7">
        <v>4</v>
      </c>
      <c r="C16" s="7"/>
      <c r="D16" s="7">
        <v>1</v>
      </c>
      <c r="E16" s="7"/>
      <c r="F16" s="7"/>
    </row>
    <row r="17" spans="1:6" ht="17">
      <c r="A17" s="6" t="s">
        <v>17</v>
      </c>
      <c r="B17" s="7">
        <v>4</v>
      </c>
      <c r="C17" s="7"/>
      <c r="D17" s="7">
        <v>1</v>
      </c>
      <c r="E17" s="7"/>
      <c r="F17" s="7"/>
    </row>
    <row r="18" spans="1:6" ht="17">
      <c r="A18" s="6" t="s">
        <v>18</v>
      </c>
      <c r="B18" s="7">
        <v>4</v>
      </c>
      <c r="C18" s="7"/>
      <c r="D18" s="7">
        <v>1</v>
      </c>
      <c r="E18" s="7"/>
      <c r="F18" s="7"/>
    </row>
    <row r="19" spans="1:6" ht="17">
      <c r="A19" s="6" t="s">
        <v>19</v>
      </c>
      <c r="B19" s="7">
        <v>6</v>
      </c>
      <c r="C19" s="7"/>
      <c r="D19" s="7">
        <v>1</v>
      </c>
      <c r="E19" s="7"/>
      <c r="F19" s="7"/>
    </row>
    <row r="20" spans="1:6" ht="17">
      <c r="A20" s="6" t="s">
        <v>20</v>
      </c>
      <c r="B20" s="7">
        <v>15</v>
      </c>
      <c r="C20" s="7"/>
      <c r="D20" s="7">
        <v>1</v>
      </c>
      <c r="E20" s="7"/>
      <c r="F20" s="7"/>
    </row>
    <row r="21" spans="1:6" ht="17">
      <c r="A21" s="6" t="s">
        <v>21</v>
      </c>
      <c r="B21" s="7">
        <v>8</v>
      </c>
      <c r="C21" s="7"/>
      <c r="D21" s="7">
        <v>1</v>
      </c>
      <c r="E21" s="7"/>
      <c r="F21" s="7"/>
    </row>
    <row r="22" spans="1:6" ht="17">
      <c r="A22" s="6" t="s">
        <v>22</v>
      </c>
      <c r="B22" s="7">
        <v>5</v>
      </c>
      <c r="C22" s="7"/>
      <c r="D22" s="7">
        <v>1</v>
      </c>
      <c r="E22" s="7"/>
      <c r="F22" s="7"/>
    </row>
    <row r="23" spans="1:6" ht="17">
      <c r="A23" s="6" t="s">
        <v>23</v>
      </c>
      <c r="B23" s="7">
        <v>5</v>
      </c>
      <c r="C23" s="7"/>
      <c r="D23" s="7">
        <v>1</v>
      </c>
      <c r="E23" s="7"/>
      <c r="F23" s="7"/>
    </row>
    <row r="24" spans="1:6" ht="17">
      <c r="A24" s="6" t="s">
        <v>24</v>
      </c>
      <c r="B24" s="7">
        <v>5</v>
      </c>
      <c r="C24" s="7"/>
      <c r="D24" s="7">
        <v>1</v>
      </c>
      <c r="E24" s="7"/>
      <c r="F24" s="7"/>
    </row>
    <row r="25" spans="1:6" ht="17">
      <c r="A25" s="6" t="s">
        <v>25</v>
      </c>
      <c r="B25" s="7">
        <v>3</v>
      </c>
      <c r="C25" s="7"/>
      <c r="D25" s="7">
        <v>1</v>
      </c>
      <c r="E25" s="7"/>
      <c r="F25" s="7"/>
    </row>
    <row r="26" spans="1:6" ht="17">
      <c r="A26" s="6" t="s">
        <v>26</v>
      </c>
      <c r="B26" s="7">
        <v>14</v>
      </c>
      <c r="C26" s="7"/>
      <c r="D26" s="7">
        <v>1</v>
      </c>
      <c r="E26" s="7"/>
      <c r="F26" s="7"/>
    </row>
    <row r="27" spans="1:6" ht="17">
      <c r="A27" s="6" t="s">
        <v>27</v>
      </c>
      <c r="B27" s="7">
        <v>6</v>
      </c>
      <c r="C27" s="7"/>
      <c r="D27" s="7">
        <v>1</v>
      </c>
      <c r="E27" s="7"/>
      <c r="F27" s="7"/>
    </row>
    <row r="28" spans="1:6" ht="17">
      <c r="A28" s="6" t="s">
        <v>28</v>
      </c>
      <c r="B28" s="7">
        <v>4</v>
      </c>
      <c r="C28" s="7"/>
      <c r="D28" s="7">
        <v>1</v>
      </c>
      <c r="E28" s="7"/>
      <c r="F28" s="7"/>
    </row>
    <row r="29" spans="1:6" ht="17">
      <c r="A29" s="6" t="s">
        <v>29</v>
      </c>
      <c r="B29" s="7">
        <v>4</v>
      </c>
      <c r="C29" s="7"/>
      <c r="D29" s="7">
        <v>1</v>
      </c>
      <c r="E29" s="7"/>
      <c r="F29" s="7"/>
    </row>
    <row r="30" spans="1:6" ht="17">
      <c r="A30" s="6" t="s">
        <v>30</v>
      </c>
      <c r="B30" s="7">
        <v>2</v>
      </c>
      <c r="C30" s="7"/>
      <c r="D30" s="7">
        <v>1</v>
      </c>
      <c r="E30" s="7"/>
      <c r="F30" s="7"/>
    </row>
    <row r="31" spans="1:6" ht="17">
      <c r="A31" s="6" t="s">
        <v>31</v>
      </c>
      <c r="B31" s="7">
        <v>4</v>
      </c>
      <c r="C31" s="7"/>
      <c r="D31" s="7">
        <v>1</v>
      </c>
      <c r="E31" s="7"/>
      <c r="F31" s="7"/>
    </row>
    <row r="32" spans="1:6">
      <c r="A32" s="8" t="s">
        <v>204</v>
      </c>
      <c r="B32" s="8">
        <v>2</v>
      </c>
      <c r="C32" s="9"/>
      <c r="D32" s="8">
        <v>1</v>
      </c>
      <c r="E32" s="9"/>
      <c r="F32" s="9"/>
    </row>
    <row r="33" spans="1:6">
      <c r="A33" s="8" t="s">
        <v>205</v>
      </c>
      <c r="B33" s="8">
        <v>2</v>
      </c>
      <c r="C33" s="9"/>
      <c r="D33" s="8">
        <v>1</v>
      </c>
      <c r="E33" s="9"/>
      <c r="F33" s="9"/>
    </row>
    <row r="34" spans="1:6" ht="17">
      <c r="A34" s="6" t="s">
        <v>221</v>
      </c>
      <c r="B34" s="7">
        <v>20</v>
      </c>
      <c r="C34" s="7"/>
      <c r="D34" s="7">
        <v>0</v>
      </c>
      <c r="E34" s="7"/>
      <c r="F34" s="7"/>
    </row>
    <row r="35" spans="1:6" ht="17">
      <c r="A35" s="6" t="s">
        <v>222</v>
      </c>
      <c r="B35" s="7">
        <v>22</v>
      </c>
      <c r="C35" s="7"/>
      <c r="D35" s="7">
        <v>0</v>
      </c>
      <c r="E35" s="7"/>
      <c r="F35" s="7"/>
    </row>
    <row r="36" spans="1:6" ht="17">
      <c r="A36" s="6" t="s">
        <v>223</v>
      </c>
      <c r="B36" s="7">
        <v>14</v>
      </c>
      <c r="C36" s="7"/>
      <c r="D36" s="7">
        <v>0</v>
      </c>
      <c r="E36" s="7"/>
      <c r="F36" s="7"/>
    </row>
    <row r="37" spans="1:6" ht="17">
      <c r="A37" s="6" t="s">
        <v>224</v>
      </c>
      <c r="B37" s="7">
        <v>15</v>
      </c>
      <c r="C37" s="7"/>
      <c r="D37" s="7">
        <v>0</v>
      </c>
      <c r="E37" s="7"/>
      <c r="F37" s="7"/>
    </row>
    <row r="38" spans="1:6" ht="17">
      <c r="A38" s="6" t="s">
        <v>225</v>
      </c>
      <c r="B38" s="7">
        <v>22</v>
      </c>
      <c r="C38" s="7"/>
      <c r="D38" s="7">
        <v>0</v>
      </c>
      <c r="E38" s="7"/>
      <c r="F38" s="7"/>
    </row>
    <row r="39" spans="1:6" ht="17">
      <c r="A39" s="6" t="s">
        <v>226</v>
      </c>
      <c r="B39" s="7">
        <v>22</v>
      </c>
      <c r="C39" s="7"/>
      <c r="D39" s="7">
        <v>0</v>
      </c>
      <c r="E39" s="7"/>
      <c r="F39" s="7"/>
    </row>
    <row r="40" spans="1:6" ht="17">
      <c r="A40" s="6" t="s">
        <v>227</v>
      </c>
      <c r="B40" s="7">
        <v>17</v>
      </c>
      <c r="C40" s="7"/>
      <c r="D40" s="7">
        <v>0</v>
      </c>
      <c r="E40" s="7"/>
      <c r="F40" s="7"/>
    </row>
    <row r="41" spans="1:6" ht="17">
      <c r="A41" s="6" t="s">
        <v>228</v>
      </c>
      <c r="B41" s="7">
        <v>12</v>
      </c>
      <c r="C41" s="7"/>
      <c r="D41" s="7">
        <v>0</v>
      </c>
      <c r="E41" s="7"/>
      <c r="F41" s="7"/>
    </row>
    <row r="42" spans="1:6" ht="17">
      <c r="A42" s="6" t="s">
        <v>229</v>
      </c>
      <c r="B42" s="7">
        <v>17</v>
      </c>
      <c r="C42" s="7"/>
      <c r="D42" s="7">
        <v>0</v>
      </c>
      <c r="E42" s="7"/>
      <c r="F42" s="7"/>
    </row>
    <row r="43" spans="1:6" ht="17">
      <c r="A43" s="6" t="s">
        <v>230</v>
      </c>
      <c r="B43" s="7">
        <v>9</v>
      </c>
      <c r="C43" s="7"/>
      <c r="D43" s="7">
        <v>0</v>
      </c>
      <c r="E43" s="7"/>
      <c r="F43" s="7"/>
    </row>
    <row r="44" spans="1:6" ht="17">
      <c r="A44" s="6" t="s">
        <v>231</v>
      </c>
      <c r="B44" s="7">
        <v>17</v>
      </c>
      <c r="C44" s="7"/>
      <c r="D44" s="7">
        <v>0</v>
      </c>
      <c r="E44" s="7"/>
      <c r="F44" s="7"/>
    </row>
    <row r="45" spans="1:6" ht="17">
      <c r="A45" s="6" t="s">
        <v>232</v>
      </c>
      <c r="B45" s="7">
        <v>22</v>
      </c>
      <c r="C45" s="7"/>
      <c r="D45" s="7">
        <v>0</v>
      </c>
      <c r="E45" s="7"/>
      <c r="F45" s="7"/>
    </row>
    <row r="46" spans="1:6" ht="17">
      <c r="A46" s="6" t="s">
        <v>233</v>
      </c>
      <c r="B46" s="7">
        <v>4</v>
      </c>
      <c r="C46" s="7"/>
      <c r="D46" s="7">
        <v>0</v>
      </c>
      <c r="E46" s="7"/>
      <c r="F46" s="7"/>
    </row>
    <row r="47" spans="1:6" ht="17">
      <c r="A47" s="6" t="s">
        <v>234</v>
      </c>
      <c r="B47" s="7">
        <v>16</v>
      </c>
      <c r="C47" s="7"/>
      <c r="D47" s="7">
        <v>0</v>
      </c>
      <c r="E47" s="7"/>
      <c r="F47" s="7"/>
    </row>
    <row r="48" spans="1:6" ht="17">
      <c r="A48" s="6" t="s">
        <v>235</v>
      </c>
      <c r="B48" s="7">
        <v>7</v>
      </c>
      <c r="C48" s="7"/>
      <c r="D48" s="7">
        <v>0</v>
      </c>
      <c r="E48" s="7"/>
      <c r="F48" s="7"/>
    </row>
    <row r="49" spans="1:6" ht="17">
      <c r="A49" s="6" t="s">
        <v>236</v>
      </c>
      <c r="B49" s="7">
        <v>7</v>
      </c>
      <c r="C49" s="7"/>
      <c r="D49" s="7">
        <v>0</v>
      </c>
      <c r="E49" s="7"/>
      <c r="F49" s="7"/>
    </row>
    <row r="50" spans="1:6" ht="17">
      <c r="A50" s="6" t="s">
        <v>237</v>
      </c>
      <c r="B50" s="7">
        <v>7</v>
      </c>
      <c r="C50" s="7"/>
      <c r="D50" s="7">
        <v>0</v>
      </c>
      <c r="E50" s="7"/>
      <c r="F50" s="7"/>
    </row>
    <row r="51" spans="1:6" ht="17">
      <c r="A51" s="6" t="s">
        <v>238</v>
      </c>
      <c r="B51" s="7">
        <v>12</v>
      </c>
      <c r="C51" s="7"/>
      <c r="D51" s="7">
        <v>0</v>
      </c>
      <c r="E51" s="7"/>
      <c r="F51" s="7"/>
    </row>
    <row r="52" spans="1:6" ht="17">
      <c r="A52" s="6" t="s">
        <v>239</v>
      </c>
      <c r="B52" s="7">
        <v>11</v>
      </c>
      <c r="C52" s="7"/>
      <c r="D52" s="7">
        <v>0</v>
      </c>
      <c r="E52" s="7"/>
      <c r="F52" s="7"/>
    </row>
    <row r="53" spans="1:6" ht="17">
      <c r="A53" s="6" t="s">
        <v>240</v>
      </c>
      <c r="B53" s="7">
        <v>8</v>
      </c>
      <c r="C53" s="7"/>
      <c r="D53" s="7">
        <v>0</v>
      </c>
      <c r="E53" s="7"/>
      <c r="F53" s="7"/>
    </row>
    <row r="54" spans="1:6" ht="17">
      <c r="A54" s="6" t="s">
        <v>241</v>
      </c>
      <c r="B54" s="7">
        <v>6</v>
      </c>
      <c r="C54" s="7"/>
      <c r="D54" s="7">
        <v>0</v>
      </c>
      <c r="E54" s="7"/>
      <c r="F54" s="7"/>
    </row>
    <row r="55" spans="1:6" ht="17">
      <c r="A55" s="6" t="s">
        <v>242</v>
      </c>
      <c r="B55" s="7">
        <v>11</v>
      </c>
      <c r="C55" s="7"/>
      <c r="D55" s="7">
        <v>0</v>
      </c>
      <c r="E55" s="7"/>
      <c r="F55" s="7"/>
    </row>
    <row r="56" spans="1:6" ht="17">
      <c r="A56" s="6" t="s">
        <v>243</v>
      </c>
      <c r="B56" s="7">
        <v>7</v>
      </c>
      <c r="C56" s="7"/>
      <c r="D56" s="7">
        <v>0</v>
      </c>
      <c r="E56" s="7"/>
      <c r="F56" s="7"/>
    </row>
    <row r="57" spans="1:6" ht="17">
      <c r="A57" s="6" t="s">
        <v>244</v>
      </c>
      <c r="B57" s="7">
        <v>20</v>
      </c>
      <c r="C57" s="7"/>
      <c r="D57" s="7">
        <v>0</v>
      </c>
      <c r="E57" s="7"/>
      <c r="F57" s="7"/>
    </row>
    <row r="58" spans="1:6" ht="17">
      <c r="A58" s="6" t="s">
        <v>245</v>
      </c>
      <c r="B58" s="7">
        <v>2</v>
      </c>
      <c r="C58" s="7">
        <v>1</v>
      </c>
      <c r="D58" s="7"/>
      <c r="E58" s="7"/>
      <c r="F58" s="7"/>
    </row>
    <row r="59" spans="1:6" ht="17">
      <c r="A59" s="6" t="s">
        <v>246</v>
      </c>
      <c r="B59" s="7">
        <v>2</v>
      </c>
      <c r="C59" s="7">
        <v>1</v>
      </c>
      <c r="D59" s="7"/>
      <c r="E59" s="7"/>
      <c r="F59" s="7"/>
    </row>
    <row r="60" spans="1:6" ht="17">
      <c r="A60" s="6" t="s">
        <v>247</v>
      </c>
      <c r="B60" s="7">
        <v>2</v>
      </c>
      <c r="C60" s="7">
        <v>1</v>
      </c>
      <c r="D60" s="7"/>
      <c r="E60" s="7"/>
      <c r="F60" s="7"/>
    </row>
    <row r="61" spans="1:6" ht="17">
      <c r="A61" s="6" t="s">
        <v>248</v>
      </c>
      <c r="B61" s="7">
        <v>2</v>
      </c>
      <c r="C61" s="7">
        <v>1</v>
      </c>
      <c r="D61" s="7"/>
      <c r="E61" s="7"/>
      <c r="F61" s="7"/>
    </row>
    <row r="62" spans="1:6" ht="17">
      <c r="A62" s="6" t="s">
        <v>249</v>
      </c>
      <c r="B62" s="7">
        <v>2</v>
      </c>
      <c r="C62" s="7">
        <v>1</v>
      </c>
      <c r="D62" s="7"/>
      <c r="E62" s="7"/>
      <c r="F62" s="7"/>
    </row>
    <row r="63" spans="1:6" ht="17">
      <c r="A63" s="6" t="s">
        <v>250</v>
      </c>
      <c r="B63" s="7">
        <v>2</v>
      </c>
      <c r="C63" s="7">
        <v>1</v>
      </c>
      <c r="D63" s="7"/>
      <c r="E63" s="7"/>
      <c r="F63" s="7"/>
    </row>
    <row r="64" spans="1:6" ht="17">
      <c r="A64" s="6" t="s">
        <v>251</v>
      </c>
      <c r="B64" s="7">
        <v>2</v>
      </c>
      <c r="C64" s="7">
        <v>1</v>
      </c>
      <c r="D64" s="7"/>
      <c r="E64" s="7"/>
      <c r="F64" s="7"/>
    </row>
    <row r="65" spans="1:6" ht="17">
      <c r="A65" s="6" t="s">
        <v>252</v>
      </c>
      <c r="B65" s="7">
        <v>2</v>
      </c>
      <c r="C65" s="7">
        <v>1</v>
      </c>
      <c r="D65" s="7"/>
      <c r="E65" s="7"/>
      <c r="F65" s="7"/>
    </row>
    <row r="66" spans="1:6" ht="17">
      <c r="A66" s="6" t="s">
        <v>253</v>
      </c>
      <c r="B66" s="7">
        <v>2</v>
      </c>
      <c r="C66" s="7">
        <v>1</v>
      </c>
      <c r="D66" s="7"/>
      <c r="E66" s="7"/>
      <c r="F66" s="7"/>
    </row>
    <row r="67" spans="1:6" ht="17">
      <c r="A67" s="6" t="s">
        <v>254</v>
      </c>
      <c r="B67" s="7">
        <v>2</v>
      </c>
      <c r="C67" s="7">
        <v>1</v>
      </c>
      <c r="D67" s="7"/>
      <c r="E67" s="7"/>
      <c r="F67" s="7"/>
    </row>
    <row r="68" spans="1:6" ht="17">
      <c r="A68" s="6" t="s">
        <v>255</v>
      </c>
      <c r="B68" s="7">
        <v>2</v>
      </c>
      <c r="C68" s="7">
        <v>1</v>
      </c>
      <c r="D68" s="7"/>
      <c r="E68" s="7"/>
      <c r="F68" s="7"/>
    </row>
    <row r="69" spans="1:6" ht="17">
      <c r="A69" s="6" t="s">
        <v>256</v>
      </c>
      <c r="B69" s="7">
        <v>2</v>
      </c>
      <c r="C69" s="7">
        <v>1</v>
      </c>
      <c r="D69" s="7"/>
      <c r="E69" s="7"/>
      <c r="F69" s="7"/>
    </row>
    <row r="70" spans="1:6" ht="17">
      <c r="A70" s="6" t="s">
        <v>257</v>
      </c>
      <c r="B70" s="7">
        <v>2</v>
      </c>
      <c r="C70" s="7">
        <v>1</v>
      </c>
      <c r="D70" s="7"/>
      <c r="E70" s="7"/>
      <c r="F70" s="7"/>
    </row>
    <row r="71" spans="1:6" ht="17">
      <c r="A71" s="6" t="s">
        <v>258</v>
      </c>
      <c r="B71" s="7">
        <v>2</v>
      </c>
      <c r="C71" s="7">
        <v>1</v>
      </c>
      <c r="D71" s="7"/>
      <c r="E71" s="7"/>
      <c r="F71" s="7"/>
    </row>
    <row r="72" spans="1:6" ht="17">
      <c r="A72" s="6" t="s">
        <v>259</v>
      </c>
      <c r="B72" s="7">
        <v>2</v>
      </c>
      <c r="C72" s="7">
        <v>1</v>
      </c>
      <c r="D72" s="7"/>
      <c r="E72" s="7"/>
      <c r="F72" s="7"/>
    </row>
    <row r="73" spans="1:6" ht="17">
      <c r="A73" s="6" t="s">
        <v>260</v>
      </c>
      <c r="B73" s="7">
        <v>2</v>
      </c>
      <c r="C73" s="7">
        <v>1</v>
      </c>
      <c r="D73" s="7"/>
      <c r="E73" s="7"/>
      <c r="F73" s="7"/>
    </row>
    <row r="74" spans="1:6" ht="17">
      <c r="A74" s="6" t="s">
        <v>261</v>
      </c>
      <c r="B74" s="7">
        <v>2</v>
      </c>
      <c r="C74" s="7">
        <v>1</v>
      </c>
      <c r="D74" s="7"/>
      <c r="E74" s="7"/>
      <c r="F74" s="7"/>
    </row>
    <row r="75" spans="1:6" ht="17">
      <c r="A75" s="6" t="s">
        <v>262</v>
      </c>
      <c r="B75" s="7">
        <v>2</v>
      </c>
      <c r="C75" s="7">
        <v>1</v>
      </c>
      <c r="D75" s="7"/>
      <c r="E75" s="7"/>
      <c r="F75" s="7"/>
    </row>
    <row r="76" spans="1:6" ht="17">
      <c r="A76" s="6" t="s">
        <v>263</v>
      </c>
      <c r="B76" s="7">
        <v>2</v>
      </c>
      <c r="C76" s="7">
        <v>1</v>
      </c>
      <c r="D76" s="7"/>
      <c r="E76" s="7"/>
      <c r="F76" s="7"/>
    </row>
    <row r="77" spans="1:6" ht="17">
      <c r="A77" s="6" t="s">
        <v>264</v>
      </c>
      <c r="B77" s="7">
        <v>2</v>
      </c>
      <c r="C77" s="7">
        <v>1</v>
      </c>
      <c r="D77" s="7"/>
      <c r="E77" s="7"/>
      <c r="F77" s="7"/>
    </row>
    <row r="78" spans="1:6" ht="17">
      <c r="A78" s="6" t="s">
        <v>265</v>
      </c>
      <c r="B78" s="7">
        <v>2</v>
      </c>
      <c r="C78" s="7">
        <v>1</v>
      </c>
      <c r="D78" s="7"/>
      <c r="E78" s="7"/>
      <c r="F78" s="7"/>
    </row>
    <row r="79" spans="1:6" ht="17">
      <c r="A79" s="6" t="s">
        <v>266</v>
      </c>
      <c r="B79" s="7">
        <v>2</v>
      </c>
      <c r="C79" s="7">
        <v>1</v>
      </c>
      <c r="D79" s="7"/>
      <c r="E79" s="7"/>
      <c r="F79" s="7"/>
    </row>
    <row r="80" spans="1:6" ht="17">
      <c r="A80" s="6" t="s">
        <v>267</v>
      </c>
      <c r="B80" s="7">
        <v>2</v>
      </c>
      <c r="C80" s="7">
        <v>1</v>
      </c>
      <c r="D80" s="7"/>
      <c r="E80" s="7"/>
      <c r="F80" s="7"/>
    </row>
    <row r="81" spans="1:6" ht="17">
      <c r="A81" s="6" t="s">
        <v>268</v>
      </c>
      <c r="B81" s="7">
        <v>2</v>
      </c>
      <c r="C81" s="7">
        <v>1</v>
      </c>
      <c r="D81" s="7"/>
      <c r="E81" s="7"/>
      <c r="F81" s="7"/>
    </row>
    <row r="82" spans="1:6" ht="17">
      <c r="A82" s="6" t="s">
        <v>269</v>
      </c>
      <c r="B82" s="7">
        <v>2</v>
      </c>
      <c r="C82" s="7">
        <v>1</v>
      </c>
      <c r="D82" s="7"/>
      <c r="E82" s="7"/>
      <c r="F82" s="7"/>
    </row>
    <row r="83" spans="1:6" ht="17">
      <c r="A83" s="6" t="s">
        <v>270</v>
      </c>
      <c r="B83" s="7">
        <v>2</v>
      </c>
      <c r="C83" s="7">
        <v>1</v>
      </c>
      <c r="D83" s="7"/>
      <c r="E83" s="7"/>
      <c r="F83" s="7"/>
    </row>
    <row r="84" spans="1:6" ht="17">
      <c r="A84" s="6" t="s">
        <v>271</v>
      </c>
      <c r="B84" s="7">
        <v>2</v>
      </c>
      <c r="C84" s="7">
        <v>1</v>
      </c>
      <c r="D84" s="7"/>
      <c r="E84" s="7"/>
      <c r="F84" s="7"/>
    </row>
    <row r="85" spans="1:6" ht="17">
      <c r="A85" s="6" t="s">
        <v>272</v>
      </c>
      <c r="B85" s="7">
        <v>3</v>
      </c>
      <c r="C85" s="7">
        <v>1</v>
      </c>
      <c r="D85" s="7"/>
      <c r="E85" s="7"/>
      <c r="F85" s="7"/>
    </row>
    <row r="86" spans="1:6" ht="17">
      <c r="A86" s="6" t="s">
        <v>273</v>
      </c>
      <c r="B86" s="7">
        <v>2</v>
      </c>
      <c r="C86" s="7">
        <v>1</v>
      </c>
      <c r="D86" s="7"/>
      <c r="E86" s="7"/>
      <c r="F86" s="7"/>
    </row>
    <row r="87" spans="1:6" ht="17">
      <c r="A87" s="6" t="s">
        <v>274</v>
      </c>
      <c r="B87" s="7">
        <v>2</v>
      </c>
      <c r="C87" s="7">
        <v>1</v>
      </c>
      <c r="D87" s="7"/>
      <c r="E87" s="7"/>
      <c r="F87" s="7"/>
    </row>
    <row r="88" spans="1:6" ht="17">
      <c r="A88" s="6" t="s">
        <v>275</v>
      </c>
      <c r="B88" s="7">
        <v>2</v>
      </c>
      <c r="C88" s="7">
        <v>1</v>
      </c>
      <c r="D88" s="7"/>
      <c r="E88" s="7"/>
      <c r="F88" s="7"/>
    </row>
    <row r="89" spans="1:6" ht="17">
      <c r="A89" s="6" t="s">
        <v>276</v>
      </c>
      <c r="B89" s="7">
        <v>2</v>
      </c>
      <c r="C89" s="7">
        <v>1</v>
      </c>
      <c r="D89" s="7"/>
      <c r="E89" s="7"/>
      <c r="F89" s="7"/>
    </row>
    <row r="90" spans="1:6" ht="17">
      <c r="A90" s="6" t="s">
        <v>277</v>
      </c>
      <c r="B90" s="7">
        <v>2</v>
      </c>
      <c r="C90" s="7">
        <v>1</v>
      </c>
      <c r="D90" s="7"/>
      <c r="E90" s="7"/>
      <c r="F90" s="7"/>
    </row>
    <row r="91" spans="1:6" ht="17">
      <c r="A91" s="6" t="s">
        <v>278</v>
      </c>
      <c r="B91" s="7">
        <v>2</v>
      </c>
      <c r="C91" s="7">
        <v>1</v>
      </c>
      <c r="D91" s="7"/>
      <c r="E91" s="7"/>
      <c r="F91" s="7"/>
    </row>
    <row r="92" spans="1:6" ht="17">
      <c r="A92" s="6" t="s">
        <v>279</v>
      </c>
      <c r="B92" s="7">
        <v>2</v>
      </c>
      <c r="C92" s="7">
        <v>1</v>
      </c>
      <c r="D92" s="7"/>
      <c r="E92" s="7"/>
      <c r="F92" s="7"/>
    </row>
    <row r="93" spans="1:6" ht="17">
      <c r="A93" s="6" t="s">
        <v>280</v>
      </c>
      <c r="B93" s="7">
        <v>2</v>
      </c>
      <c r="C93" s="7">
        <v>1</v>
      </c>
      <c r="D93" s="7"/>
      <c r="E93" s="7"/>
      <c r="F93" s="7"/>
    </row>
    <row r="94" spans="1:6" ht="17">
      <c r="A94" s="6" t="s">
        <v>281</v>
      </c>
      <c r="B94" s="7">
        <v>2</v>
      </c>
      <c r="C94" s="7">
        <v>1</v>
      </c>
      <c r="D94" s="7"/>
      <c r="E94" s="7"/>
      <c r="F94" s="7"/>
    </row>
    <row r="95" spans="1:6" ht="17">
      <c r="A95" s="6" t="s">
        <v>282</v>
      </c>
      <c r="B95" s="7">
        <v>2</v>
      </c>
      <c r="C95" s="7">
        <v>1</v>
      </c>
      <c r="D95" s="7"/>
      <c r="E95" s="7"/>
      <c r="F95" s="7"/>
    </row>
    <row r="96" spans="1:6" ht="17">
      <c r="A96" s="6" t="s">
        <v>283</v>
      </c>
      <c r="B96" s="7">
        <v>2</v>
      </c>
      <c r="C96" s="7">
        <v>1</v>
      </c>
      <c r="D96" s="7"/>
      <c r="E96" s="7"/>
      <c r="F96" s="7"/>
    </row>
    <row r="97" spans="1:6" ht="17">
      <c r="A97" s="6" t="s">
        <v>284</v>
      </c>
      <c r="B97" s="7">
        <v>2</v>
      </c>
      <c r="C97" s="7">
        <v>1</v>
      </c>
      <c r="D97" s="7"/>
      <c r="E97" s="7"/>
      <c r="F97" s="7"/>
    </row>
    <row r="98" spans="1:6" ht="17">
      <c r="A98" s="6" t="s">
        <v>285</v>
      </c>
      <c r="B98" s="7">
        <v>2</v>
      </c>
      <c r="C98" s="7">
        <v>1</v>
      </c>
      <c r="D98" s="7"/>
      <c r="E98" s="7"/>
      <c r="F98" s="7"/>
    </row>
    <row r="99" spans="1:6" ht="17">
      <c r="A99" s="6" t="s">
        <v>286</v>
      </c>
      <c r="B99" s="7">
        <v>2</v>
      </c>
      <c r="C99" s="7">
        <v>1</v>
      </c>
      <c r="D99" s="7"/>
      <c r="E99" s="7"/>
      <c r="F99" s="7"/>
    </row>
    <row r="100" spans="1:6" ht="17">
      <c r="A100" s="6" t="s">
        <v>287</v>
      </c>
      <c r="B100" s="7">
        <v>2</v>
      </c>
      <c r="C100" s="7">
        <v>1</v>
      </c>
      <c r="D100" s="7"/>
      <c r="E100" s="7"/>
      <c r="F100" s="7"/>
    </row>
    <row r="101" spans="1:6" ht="17">
      <c r="A101" s="6" t="s">
        <v>288</v>
      </c>
      <c r="B101" s="7">
        <v>2</v>
      </c>
      <c r="C101" s="7">
        <v>1</v>
      </c>
      <c r="D101" s="7"/>
      <c r="E101" s="7"/>
      <c r="F101" s="7"/>
    </row>
    <row r="102" spans="1:6" ht="17">
      <c r="A102" s="10" t="s">
        <v>289</v>
      </c>
      <c r="B102" s="7"/>
      <c r="C102" s="7"/>
      <c r="D102" s="7"/>
      <c r="E102" s="7"/>
      <c r="F102" s="7"/>
    </row>
    <row r="103" spans="1:6" ht="17">
      <c r="A103" s="6" t="s">
        <v>290</v>
      </c>
      <c r="B103" s="7">
        <v>2</v>
      </c>
      <c r="C103" s="7">
        <v>1</v>
      </c>
      <c r="D103" s="7"/>
      <c r="E103" s="7"/>
      <c r="F103" s="7"/>
    </row>
    <row r="104" spans="1:6" ht="17">
      <c r="A104" s="6" t="s">
        <v>291</v>
      </c>
      <c r="B104" s="7">
        <v>2</v>
      </c>
      <c r="C104" s="7">
        <v>1</v>
      </c>
      <c r="D104" s="7"/>
      <c r="E104" s="7"/>
      <c r="F104" s="7"/>
    </row>
    <row r="105" spans="1:6" ht="17">
      <c r="A105" s="6" t="s">
        <v>292</v>
      </c>
      <c r="B105" s="7">
        <v>2</v>
      </c>
      <c r="C105" s="7">
        <v>1</v>
      </c>
      <c r="D105" s="7"/>
      <c r="E105" s="7"/>
      <c r="F105" s="7"/>
    </row>
    <row r="106" spans="1:6" ht="17">
      <c r="A106" s="6" t="s">
        <v>293</v>
      </c>
      <c r="B106" s="7">
        <v>2</v>
      </c>
      <c r="C106" s="7">
        <v>1</v>
      </c>
      <c r="D106" s="7"/>
      <c r="E106" s="7"/>
      <c r="F106" s="7"/>
    </row>
    <row r="107" spans="1:6" ht="17">
      <c r="A107" s="6" t="s">
        <v>294</v>
      </c>
      <c r="B107" s="7">
        <v>2</v>
      </c>
      <c r="C107" s="7">
        <v>1</v>
      </c>
      <c r="D107" s="7"/>
      <c r="E107" s="7"/>
      <c r="F107" s="7"/>
    </row>
    <row r="108" spans="1:6" ht="17">
      <c r="A108" s="6" t="s">
        <v>295</v>
      </c>
      <c r="B108" s="7">
        <v>2</v>
      </c>
      <c r="C108" s="7">
        <v>1</v>
      </c>
      <c r="D108" s="7"/>
      <c r="E108" s="7"/>
      <c r="F108" s="7"/>
    </row>
    <row r="109" spans="1:6" ht="17">
      <c r="A109" s="10" t="s">
        <v>296</v>
      </c>
      <c r="B109" s="7"/>
      <c r="C109" s="7"/>
      <c r="D109" s="7"/>
      <c r="E109" s="7"/>
      <c r="F109" s="7"/>
    </row>
    <row r="110" spans="1:6" ht="17">
      <c r="A110" s="6" t="s">
        <v>297</v>
      </c>
      <c r="B110" s="7">
        <v>2</v>
      </c>
      <c r="C110" s="7">
        <v>1</v>
      </c>
      <c r="D110" s="7"/>
      <c r="E110" s="7"/>
      <c r="F110" s="7"/>
    </row>
    <row r="111" spans="1:6" ht="17">
      <c r="A111" s="6" t="s">
        <v>298</v>
      </c>
      <c r="B111" s="7">
        <v>2</v>
      </c>
      <c r="C111" s="7">
        <v>1</v>
      </c>
      <c r="D111" s="7"/>
      <c r="E111" s="7"/>
      <c r="F111" s="7"/>
    </row>
    <row r="112" spans="1:6" ht="17">
      <c r="A112" s="10" t="s">
        <v>299</v>
      </c>
      <c r="B112" s="7"/>
      <c r="C112" s="7"/>
      <c r="D112" s="7"/>
      <c r="E112" s="7"/>
      <c r="F112" s="7"/>
    </row>
    <row r="113" spans="1:6" ht="17">
      <c r="A113" s="10" t="s">
        <v>300</v>
      </c>
      <c r="B113" s="7"/>
      <c r="C113" s="7"/>
      <c r="D113" s="7"/>
      <c r="E113" s="7"/>
      <c r="F113" s="7"/>
    </row>
    <row r="114" spans="1:6" ht="17">
      <c r="A114" s="10" t="s">
        <v>301</v>
      </c>
      <c r="B114" s="7"/>
      <c r="C114" s="7"/>
      <c r="D114" s="7"/>
      <c r="E114" s="7"/>
      <c r="F114" s="7"/>
    </row>
    <row r="115" spans="1:6" ht="17">
      <c r="A115" s="10" t="s">
        <v>302</v>
      </c>
      <c r="B115" s="7"/>
      <c r="C115" s="7"/>
      <c r="D115" s="7"/>
      <c r="E115" s="7"/>
      <c r="F115" s="7"/>
    </row>
    <row r="116" spans="1:6" ht="17">
      <c r="A116" s="10" t="s">
        <v>303</v>
      </c>
      <c r="B116" s="7"/>
      <c r="C116" s="7"/>
      <c r="D116" s="7"/>
      <c r="E116" s="7"/>
      <c r="F116" s="7"/>
    </row>
    <row r="117" spans="1:6" ht="17">
      <c r="A117" s="10" t="s">
        <v>304</v>
      </c>
      <c r="B117" s="7"/>
      <c r="C117" s="7"/>
      <c r="D117" s="7"/>
      <c r="E117" s="7"/>
      <c r="F117" s="7"/>
    </row>
    <row r="118" spans="1:6" ht="17">
      <c r="A118" s="6" t="s">
        <v>191</v>
      </c>
      <c r="B118" s="7">
        <v>2</v>
      </c>
      <c r="C118" s="7"/>
      <c r="D118" s="7"/>
      <c r="E118" s="7">
        <v>1</v>
      </c>
      <c r="F118" s="7"/>
    </row>
    <row r="119" spans="1:6" ht="17">
      <c r="A119" s="6" t="s">
        <v>192</v>
      </c>
      <c r="B119" s="7">
        <v>2</v>
      </c>
      <c r="C119" s="7"/>
      <c r="D119" s="7"/>
      <c r="E119" s="7">
        <v>1</v>
      </c>
      <c r="F119" s="7"/>
    </row>
    <row r="120" spans="1:6" ht="17">
      <c r="A120" s="6" t="s">
        <v>193</v>
      </c>
      <c r="B120" s="7">
        <v>2</v>
      </c>
      <c r="C120" s="7"/>
      <c r="D120" s="7"/>
      <c r="E120" s="7">
        <v>1</v>
      </c>
      <c r="F120" s="7"/>
    </row>
    <row r="121" spans="1:6" ht="17">
      <c r="A121" s="6" t="s">
        <v>194</v>
      </c>
      <c r="B121" s="7">
        <v>2</v>
      </c>
      <c r="C121" s="7"/>
      <c r="D121" s="7"/>
      <c r="E121" s="7">
        <v>1</v>
      </c>
      <c r="F121" s="7"/>
    </row>
    <row r="122" spans="1:6" ht="17">
      <c r="A122" s="6" t="s">
        <v>195</v>
      </c>
      <c r="B122" s="7">
        <v>2</v>
      </c>
      <c r="C122" s="7"/>
      <c r="D122" s="7"/>
      <c r="E122" s="7">
        <v>1</v>
      </c>
      <c r="F122" s="7"/>
    </row>
    <row r="123" spans="1:6" ht="17">
      <c r="A123" s="6" t="s">
        <v>196</v>
      </c>
      <c r="B123" s="7">
        <v>2</v>
      </c>
      <c r="C123" s="7"/>
      <c r="D123" s="7"/>
      <c r="E123" s="7">
        <v>1</v>
      </c>
      <c r="F123" s="7"/>
    </row>
    <row r="124" spans="1:6" ht="17">
      <c r="A124" s="6" t="s">
        <v>197</v>
      </c>
      <c r="B124" s="7">
        <v>2</v>
      </c>
      <c r="C124" s="7"/>
      <c r="D124" s="7"/>
      <c r="E124" s="7">
        <v>1</v>
      </c>
      <c r="F124" s="7"/>
    </row>
    <row r="125" spans="1:6" ht="17">
      <c r="A125" s="6" t="s">
        <v>198</v>
      </c>
      <c r="B125" s="7">
        <v>2</v>
      </c>
      <c r="C125" s="7"/>
      <c r="D125" s="7"/>
      <c r="E125" s="7">
        <v>1</v>
      </c>
      <c r="F125" s="7"/>
    </row>
    <row r="126" spans="1:6" ht="17">
      <c r="A126" s="6" t="s">
        <v>199</v>
      </c>
      <c r="B126" s="7">
        <v>2</v>
      </c>
      <c r="C126" s="7"/>
      <c r="D126" s="7"/>
      <c r="E126" s="7">
        <v>1</v>
      </c>
      <c r="F126" s="7"/>
    </row>
    <row r="127" spans="1:6" ht="17">
      <c r="A127" s="6" t="s">
        <v>200</v>
      </c>
      <c r="B127" s="7">
        <v>3</v>
      </c>
      <c r="C127" s="7"/>
      <c r="D127" s="7"/>
      <c r="E127" s="7"/>
      <c r="F127" s="7">
        <v>1</v>
      </c>
    </row>
    <row r="128" spans="1:6" ht="17">
      <c r="A128" s="6" t="s">
        <v>201</v>
      </c>
      <c r="B128" s="7">
        <v>3</v>
      </c>
      <c r="C128" s="7"/>
      <c r="D128" s="7"/>
      <c r="E128" s="7"/>
      <c r="F128" s="7">
        <v>1</v>
      </c>
    </row>
    <row r="129" spans="1:6" ht="17">
      <c r="A129" s="6" t="s">
        <v>202</v>
      </c>
      <c r="B129" s="7">
        <v>2</v>
      </c>
      <c r="C129" s="7"/>
      <c r="D129" s="7"/>
      <c r="E129" s="7"/>
      <c r="F129" s="7">
        <v>1</v>
      </c>
    </row>
    <row r="130" spans="1:6" ht="17">
      <c r="A130" s="6" t="s">
        <v>203</v>
      </c>
      <c r="B130" s="7">
        <v>3</v>
      </c>
      <c r="C130" s="7"/>
      <c r="D130" s="7"/>
      <c r="E130" s="7"/>
      <c r="F130" s="7">
        <v>1</v>
      </c>
    </row>
    <row r="131" spans="1:6" ht="17">
      <c r="A131" s="6" t="s">
        <v>204</v>
      </c>
      <c r="B131" s="7">
        <v>2</v>
      </c>
      <c r="C131" s="7"/>
      <c r="D131" s="7"/>
      <c r="E131" s="7"/>
      <c r="F131" s="7">
        <v>1</v>
      </c>
    </row>
    <row r="132" spans="1:6" ht="17">
      <c r="A132" s="6" t="s">
        <v>205</v>
      </c>
      <c r="B132" s="7">
        <v>2</v>
      </c>
      <c r="C132" s="7"/>
      <c r="D132" s="7"/>
      <c r="E132" s="7"/>
      <c r="F132" s="7">
        <v>1</v>
      </c>
    </row>
    <row r="133" spans="1:6" ht="17">
      <c r="A133" s="6" t="s">
        <v>206</v>
      </c>
      <c r="B133" s="7">
        <v>3</v>
      </c>
      <c r="C133" s="7"/>
      <c r="D133" s="7"/>
      <c r="E133" s="7"/>
      <c r="F133" s="7">
        <v>1</v>
      </c>
    </row>
    <row r="134" spans="1:6" ht="17">
      <c r="A134" s="6" t="s">
        <v>207</v>
      </c>
      <c r="B134" s="7">
        <v>3</v>
      </c>
      <c r="C134" s="7"/>
      <c r="D134" s="7"/>
      <c r="E134" s="7"/>
      <c r="F134" s="7">
        <v>1</v>
      </c>
    </row>
    <row r="135" spans="1:6" ht="17">
      <c r="A135" s="6" t="s">
        <v>208</v>
      </c>
      <c r="B135" s="7">
        <v>3</v>
      </c>
      <c r="C135" s="7"/>
      <c r="D135" s="7"/>
      <c r="E135" s="7"/>
      <c r="F135" s="7">
        <v>1</v>
      </c>
    </row>
    <row r="136" spans="1:6" ht="17">
      <c r="A136" s="6" t="s">
        <v>209</v>
      </c>
      <c r="B136" s="7">
        <v>4</v>
      </c>
      <c r="C136" s="7"/>
      <c r="D136" s="7"/>
      <c r="E136" s="7"/>
      <c r="F136" s="7">
        <v>1</v>
      </c>
    </row>
    <row r="137" spans="1:6" ht="17">
      <c r="A137" s="6" t="s">
        <v>210</v>
      </c>
      <c r="B137" s="7">
        <v>2</v>
      </c>
      <c r="C137" s="7"/>
      <c r="D137" s="7"/>
      <c r="E137" s="7"/>
      <c r="F137" s="7">
        <v>1</v>
      </c>
    </row>
    <row r="138" spans="1:6" ht="17">
      <c r="A138" s="6" t="s">
        <v>211</v>
      </c>
      <c r="B138" s="7">
        <v>2</v>
      </c>
      <c r="C138" s="7"/>
      <c r="D138" s="7"/>
      <c r="E138" s="7"/>
      <c r="F138" s="7">
        <v>1</v>
      </c>
    </row>
    <row r="139" spans="1:6" ht="17">
      <c r="A139" s="6" t="s">
        <v>212</v>
      </c>
      <c r="B139" s="7">
        <v>2</v>
      </c>
      <c r="C139" s="7"/>
      <c r="D139" s="7"/>
      <c r="E139" s="7"/>
      <c r="F139" s="7">
        <v>1</v>
      </c>
    </row>
    <row r="140" spans="1:6" ht="17">
      <c r="A140" s="6" t="s">
        <v>213</v>
      </c>
      <c r="B140" s="7">
        <v>2</v>
      </c>
      <c r="C140" s="7"/>
      <c r="D140" s="7"/>
      <c r="E140" s="7"/>
      <c r="F140" s="7">
        <v>1</v>
      </c>
    </row>
    <row r="141" spans="1:6" ht="17">
      <c r="A141" s="6" t="s">
        <v>214</v>
      </c>
      <c r="B141" s="7">
        <v>2</v>
      </c>
      <c r="C141" s="7"/>
      <c r="D141" s="7"/>
      <c r="E141" s="7"/>
      <c r="F141" s="7">
        <v>1</v>
      </c>
    </row>
    <row r="142" spans="1:6" ht="17">
      <c r="A142" s="6" t="s">
        <v>305</v>
      </c>
      <c r="B142" s="7">
        <v>2</v>
      </c>
      <c r="C142" s="7"/>
      <c r="D142" s="7"/>
      <c r="E142" s="7"/>
      <c r="F142" s="7">
        <v>1</v>
      </c>
    </row>
    <row r="143" spans="1:6" ht="17">
      <c r="A143" s="6" t="s">
        <v>306</v>
      </c>
      <c r="B143" s="7">
        <v>4</v>
      </c>
      <c r="C143" s="7"/>
      <c r="D143" s="7"/>
      <c r="E143" s="7"/>
      <c r="F143" s="7">
        <v>1</v>
      </c>
    </row>
    <row r="144" spans="1:6" ht="17">
      <c r="A144" s="6" t="s">
        <v>307</v>
      </c>
      <c r="B144" s="7">
        <v>4</v>
      </c>
      <c r="C144" s="7"/>
      <c r="D144" s="7"/>
      <c r="E144" s="7"/>
      <c r="F144" s="7">
        <v>1</v>
      </c>
    </row>
    <row r="145" spans="1:6" ht="17">
      <c r="A145" s="6" t="s">
        <v>308</v>
      </c>
      <c r="B145" s="7">
        <v>2</v>
      </c>
      <c r="C145" s="7"/>
      <c r="D145" s="7"/>
      <c r="E145" s="7"/>
      <c r="F145" s="7">
        <v>1</v>
      </c>
    </row>
    <row r="146" spans="1:6" ht="17">
      <c r="A146" s="6" t="s">
        <v>309</v>
      </c>
      <c r="B146" s="7">
        <v>2</v>
      </c>
      <c r="C146" s="7"/>
      <c r="D146" s="7"/>
      <c r="E146" s="7"/>
      <c r="F146" s="7">
        <v>1</v>
      </c>
    </row>
    <row r="147" spans="1:6" ht="17">
      <c r="A147" s="6" t="s">
        <v>310</v>
      </c>
      <c r="B147" s="7">
        <v>2</v>
      </c>
      <c r="C147" s="7"/>
      <c r="D147" s="7"/>
      <c r="E147" s="7"/>
      <c r="F147" s="7">
        <v>1</v>
      </c>
    </row>
    <row r="148" spans="1:6" ht="17">
      <c r="A148" s="6" t="s">
        <v>311</v>
      </c>
      <c r="B148" s="7">
        <v>4</v>
      </c>
      <c r="C148" s="7"/>
      <c r="D148" s="7"/>
      <c r="E148" s="7"/>
      <c r="F148" s="7">
        <v>1</v>
      </c>
    </row>
    <row r="149" spans="1:6" ht="17">
      <c r="A149" s="6" t="s">
        <v>312</v>
      </c>
      <c r="B149" s="7">
        <v>2</v>
      </c>
      <c r="C149" s="7"/>
      <c r="D149" s="7"/>
      <c r="E149" s="7"/>
      <c r="F149" s="7">
        <v>1</v>
      </c>
    </row>
    <row r="150" spans="1:6" ht="17">
      <c r="A150" s="6" t="s">
        <v>313</v>
      </c>
      <c r="B150" s="7">
        <v>2</v>
      </c>
      <c r="C150" s="7"/>
      <c r="D150" s="7"/>
      <c r="E150" s="7"/>
      <c r="F150" s="7">
        <v>1</v>
      </c>
    </row>
    <row r="151" spans="1:6" ht="17">
      <c r="A151" s="6" t="s">
        <v>314</v>
      </c>
      <c r="B151" s="7">
        <v>2</v>
      </c>
      <c r="C151" s="7"/>
      <c r="D151" s="7"/>
      <c r="E151" s="7"/>
      <c r="F151" s="7">
        <v>1</v>
      </c>
    </row>
    <row r="152" spans="1:6">
      <c r="A152" s="11"/>
      <c r="B152" s="9"/>
      <c r="C152" s="9"/>
      <c r="D152" s="9"/>
      <c r="E152" s="9"/>
      <c r="F152" s="9"/>
    </row>
    <row r="153" spans="1:6" ht="17">
      <c r="A153" s="6" t="s">
        <v>315</v>
      </c>
      <c r="B153" s="7">
        <v>2</v>
      </c>
      <c r="C153" s="9"/>
      <c r="D153" s="9"/>
      <c r="E153" s="8">
        <v>1</v>
      </c>
      <c r="F153" s="9"/>
    </row>
    <row r="154" spans="1:6" ht="17">
      <c r="A154" s="6" t="s">
        <v>316</v>
      </c>
      <c r="B154" s="7">
        <v>2</v>
      </c>
      <c r="C154" s="9"/>
      <c r="D154" s="9"/>
      <c r="E154" s="8">
        <v>1</v>
      </c>
      <c r="F154" s="9"/>
    </row>
    <row r="155" spans="1:6" ht="17">
      <c r="A155" s="6" t="s">
        <v>317</v>
      </c>
      <c r="B155" s="7">
        <v>2</v>
      </c>
      <c r="C155" s="9"/>
      <c r="D155" s="9"/>
      <c r="E155" s="8">
        <v>1</v>
      </c>
      <c r="F155" s="9"/>
    </row>
    <row r="156" spans="1:6" ht="17">
      <c r="A156" s="6" t="s">
        <v>318</v>
      </c>
      <c r="B156" s="7">
        <v>2</v>
      </c>
      <c r="C156" s="9"/>
      <c r="D156" s="9"/>
      <c r="E156" s="8">
        <v>1</v>
      </c>
      <c r="F156" s="9"/>
    </row>
    <row r="157" spans="1:6" ht="17">
      <c r="A157" s="6" t="s">
        <v>319</v>
      </c>
      <c r="B157" s="7">
        <v>2</v>
      </c>
      <c r="C157" s="9"/>
      <c r="D157" s="9"/>
      <c r="E157" s="8">
        <v>1</v>
      </c>
      <c r="F157" s="9"/>
    </row>
    <row r="158" spans="1:6" ht="17">
      <c r="A158" s="6" t="s">
        <v>320</v>
      </c>
      <c r="B158" s="7">
        <v>2</v>
      </c>
      <c r="C158" s="9"/>
      <c r="D158" s="9"/>
      <c r="E158" s="8">
        <v>1</v>
      </c>
      <c r="F158" s="9"/>
    </row>
    <row r="159" spans="1:6" ht="17">
      <c r="A159" s="6" t="s">
        <v>321</v>
      </c>
      <c r="B159" s="7">
        <v>3</v>
      </c>
      <c r="C159" s="9"/>
      <c r="D159" s="9"/>
      <c r="E159" s="8">
        <v>1</v>
      </c>
      <c r="F159" s="9"/>
    </row>
    <row r="160" spans="1:6" ht="17">
      <c r="A160" s="6" t="s">
        <v>322</v>
      </c>
      <c r="B160" s="7">
        <v>2</v>
      </c>
      <c r="C160" s="9"/>
      <c r="D160" s="9"/>
      <c r="E160" s="9"/>
      <c r="F160" s="8">
        <v>1</v>
      </c>
    </row>
    <row r="161" spans="1:6" ht="17">
      <c r="A161" s="6" t="s">
        <v>323</v>
      </c>
      <c r="B161" s="7">
        <v>2</v>
      </c>
      <c r="C161" s="9"/>
      <c r="D161" s="9"/>
      <c r="E161" s="9"/>
      <c r="F161" s="8">
        <v>1</v>
      </c>
    </row>
    <row r="162" spans="1:6" ht="17">
      <c r="A162" s="6" t="s">
        <v>324</v>
      </c>
      <c r="B162" s="7">
        <v>2</v>
      </c>
      <c r="C162" s="9"/>
      <c r="D162" s="9"/>
      <c r="E162" s="9"/>
      <c r="F162" s="8">
        <v>1</v>
      </c>
    </row>
    <row r="163" spans="1:6" ht="17">
      <c r="A163" s="6" t="s">
        <v>325</v>
      </c>
      <c r="B163" s="7">
        <v>2</v>
      </c>
      <c r="C163" s="9"/>
      <c r="D163" s="9"/>
      <c r="E163" s="9"/>
      <c r="F163" s="8">
        <v>1</v>
      </c>
    </row>
    <row r="164" spans="1:6" ht="17">
      <c r="A164" s="6" t="s">
        <v>326</v>
      </c>
      <c r="B164" s="7">
        <v>2</v>
      </c>
      <c r="C164" s="9"/>
      <c r="D164" s="9"/>
      <c r="E164" s="9"/>
      <c r="F164" s="8">
        <v>1</v>
      </c>
    </row>
    <row r="165" spans="1:6" ht="17">
      <c r="A165" s="6" t="s">
        <v>327</v>
      </c>
      <c r="B165" s="7">
        <v>2</v>
      </c>
      <c r="C165" s="9"/>
      <c r="D165" s="9"/>
      <c r="E165" s="9"/>
      <c r="F165" s="8">
        <v>1</v>
      </c>
    </row>
    <row r="166" spans="1:6" ht="17">
      <c r="A166" s="6" t="s">
        <v>328</v>
      </c>
      <c r="B166" s="7">
        <v>2</v>
      </c>
      <c r="C166" s="9"/>
      <c r="D166" s="9"/>
      <c r="E166" s="9"/>
      <c r="F166" s="8">
        <v>1</v>
      </c>
    </row>
    <row r="167" spans="1:6">
      <c r="A167" s="8"/>
      <c r="B167" s="8"/>
      <c r="C167" s="9"/>
      <c r="D167" s="9"/>
      <c r="E167" s="9"/>
      <c r="F167" s="9"/>
    </row>
    <row r="168" spans="1:6">
      <c r="A168" s="8"/>
      <c r="B168" s="8"/>
      <c r="C168" s="9"/>
      <c r="D168" s="9"/>
      <c r="E168" s="9"/>
      <c r="F168" s="9"/>
    </row>
    <row r="169" spans="1:6">
      <c r="A169" s="8"/>
      <c r="B169" s="8"/>
      <c r="C169" s="9"/>
      <c r="D169" s="9"/>
      <c r="E169" s="9"/>
      <c r="F169" s="9"/>
    </row>
    <row r="170" spans="1:6">
      <c r="A170" s="8"/>
      <c r="B170" s="8"/>
      <c r="C170" s="9"/>
      <c r="D170" s="9"/>
      <c r="E170" s="9"/>
      <c r="F170" s="9"/>
    </row>
    <row r="171" spans="1:6">
      <c r="A171" s="8"/>
      <c r="B171" s="8"/>
      <c r="C171" s="9"/>
      <c r="D171" s="9"/>
      <c r="E171" s="9"/>
      <c r="F171" s="9"/>
    </row>
    <row r="172" spans="1:6">
      <c r="A172" s="8"/>
      <c r="B172" s="8"/>
      <c r="C172" s="9"/>
      <c r="D172" s="9"/>
      <c r="E172" s="9"/>
      <c r="F172" s="9"/>
    </row>
    <row r="173" spans="1:6">
      <c r="A173" s="8"/>
      <c r="B173" s="8"/>
      <c r="C173" s="9"/>
      <c r="D173" s="9"/>
      <c r="E173" s="9"/>
      <c r="F173" s="9"/>
    </row>
    <row r="174" spans="1:6">
      <c r="A174" s="8"/>
      <c r="B174" s="8"/>
      <c r="C174" s="9"/>
      <c r="D174" s="9"/>
      <c r="E174" s="9"/>
      <c r="F17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sequencing metadata</vt:lpstr>
      <vt:lpstr>expression</vt:lpstr>
      <vt:lpstr>setpoint vl</vt:lpstr>
      <vt:lpstr>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2025-03-24T14:23:00Z</dcterms:created>
  <dcterms:modified xsi:type="dcterms:W3CDTF">2025-03-24T15:54:17Z</dcterms:modified>
</cp:coreProperties>
</file>