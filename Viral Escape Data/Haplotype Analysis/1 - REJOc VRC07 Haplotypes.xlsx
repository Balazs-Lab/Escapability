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Viral Escape Data/Haplotype Analysis/"/>
    </mc:Choice>
  </mc:AlternateContent>
  <xr:revisionPtr revIDLastSave="0" documentId="13_ncr:1_{A31399D9-A92A-404E-BE36-985EEAA60248}" xr6:coauthVersionLast="47" xr6:coauthVersionMax="47" xr10:uidLastSave="{00000000-0000-0000-0000-000000000000}"/>
  <bookViews>
    <workbookView xWindow="21760" yWindow="500" windowWidth="55040" windowHeight="22480" xr2:uid="{CDFADA51-DCBB-AC4A-9D9F-F2B80D10B122}"/>
  </bookViews>
  <sheets>
    <sheet name="REJOc Haplotypes Edited" sheetId="12" r:id="rId1"/>
    <sheet name="REJOc Haplotype Count" sheetId="20" r:id="rId2"/>
    <sheet name="REJOc Haplotypes" sheetId="5" r:id="rId3"/>
    <sheet name="REJO.c Escape Paths" sheetId="18" r:id="rId4"/>
    <sheet name="REJOc Raw 0.1" sheetId="9" r:id="rId5"/>
    <sheet name="sequencing metadata" sheetId="19" r:id="rId6"/>
    <sheet name="survival" sheetId="15" r:id="rId7"/>
    <sheet name="REJOc Survival Analysis" sheetId="16" r:id="rId8"/>
    <sheet name="Expression" sheetId="17" r:id="rId9"/>
    <sheet name="setpoint vl" sheetId="23" r:id="rId10"/>
  </sheets>
  <definedNames>
    <definedName name="_xlnm._FilterDatabase" localSheetId="2" hidden="1">'REJOc Haplotypes'!$A$9:$BU$35</definedName>
    <definedName name="_xlnm._FilterDatabase" localSheetId="0" hidden="1">'REJOc Haplotypes Edited'!$C$10:$AD$10</definedName>
    <definedName name="_xlnm._FilterDatabase" localSheetId="4" hidden="1">'REJOc Raw 0.1'!$A$1:$AK$894</definedName>
    <definedName name="_xlnm._FilterDatabase" localSheetId="7" hidden="1">'REJOc Survival Analysis'!$A$1:$E$1</definedName>
    <definedName name="_xlnm._FilterDatabase" localSheetId="6" hidden="1">survival!$A$1:$F$1</definedName>
  </definedNames>
  <calcPr calcId="191029"/>
  <pivotCaches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" l="1"/>
  <c r="D5" i="20"/>
  <c r="D6" i="20"/>
  <c r="D7" i="20"/>
  <c r="D4" i="20"/>
  <c r="D11" i="20"/>
  <c r="C11" i="20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E18" i="5"/>
  <c r="F4" i="20"/>
  <c r="E5" i="20" l="1"/>
  <c r="E4" i="20"/>
  <c r="H18" i="12"/>
  <c r="H12" i="12"/>
  <c r="H13" i="12"/>
  <c r="H14" i="12"/>
  <c r="H15" i="12"/>
  <c r="H16" i="12"/>
  <c r="H17" i="12"/>
  <c r="H19" i="12"/>
  <c r="H20" i="12"/>
  <c r="H21" i="12"/>
  <c r="H29" i="12"/>
  <c r="H35" i="12"/>
  <c r="H22" i="12"/>
  <c r="H23" i="12"/>
  <c r="H24" i="12"/>
  <c r="H25" i="12"/>
  <c r="H26" i="12"/>
  <c r="H27" i="12"/>
  <c r="I27" i="12" s="1"/>
  <c r="H28" i="12"/>
  <c r="H30" i="12"/>
  <c r="H31" i="12"/>
  <c r="H32" i="12"/>
  <c r="H33" i="12"/>
  <c r="H34" i="12"/>
  <c r="D18" i="12"/>
  <c r="C17" i="5"/>
  <c r="B18" i="12" s="1"/>
  <c r="D17" i="5"/>
  <c r="E17" i="5"/>
  <c r="F18" i="12" s="1"/>
  <c r="F17" i="5"/>
  <c r="C21" i="5"/>
  <c r="B22" i="12" s="1"/>
  <c r="D21" i="5"/>
  <c r="D22" i="12" s="1"/>
  <c r="E21" i="5"/>
  <c r="F22" i="12" s="1"/>
  <c r="F21" i="5"/>
  <c r="C30" i="5"/>
  <c r="B30" i="12" s="1"/>
  <c r="D30" i="5"/>
  <c r="D30" i="12" s="1"/>
  <c r="E30" i="5"/>
  <c r="F30" i="12" s="1"/>
  <c r="F30" i="5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545" i="9"/>
  <c r="AJ546" i="9"/>
  <c r="AJ547" i="9"/>
  <c r="AJ548" i="9"/>
  <c r="AJ549" i="9"/>
  <c r="AJ550" i="9"/>
  <c r="AJ551" i="9"/>
  <c r="AJ552" i="9"/>
  <c r="AJ553" i="9"/>
  <c r="AJ554" i="9"/>
  <c r="AJ555" i="9"/>
  <c r="AJ556" i="9"/>
  <c r="AJ557" i="9"/>
  <c r="AJ558" i="9"/>
  <c r="AJ559" i="9"/>
  <c r="AJ560" i="9"/>
  <c r="AJ561" i="9"/>
  <c r="AJ562" i="9"/>
  <c r="AJ563" i="9"/>
  <c r="AJ564" i="9"/>
  <c r="AJ565" i="9"/>
  <c r="AJ566" i="9"/>
  <c r="AJ567" i="9"/>
  <c r="AJ568" i="9"/>
  <c r="AJ569" i="9"/>
  <c r="AJ570" i="9"/>
  <c r="AJ571" i="9"/>
  <c r="AJ572" i="9"/>
  <c r="AJ573" i="9"/>
  <c r="AJ574" i="9"/>
  <c r="AJ575" i="9"/>
  <c r="AJ576" i="9"/>
  <c r="AJ577" i="9"/>
  <c r="AJ578" i="9"/>
  <c r="AJ579" i="9"/>
  <c r="AJ580" i="9"/>
  <c r="AJ581" i="9"/>
  <c r="AJ582" i="9"/>
  <c r="AJ583" i="9"/>
  <c r="AJ584" i="9"/>
  <c r="AJ585" i="9"/>
  <c r="AJ586" i="9"/>
  <c r="AJ587" i="9"/>
  <c r="AJ588" i="9"/>
  <c r="AJ589" i="9"/>
  <c r="AJ590" i="9"/>
  <c r="AJ591" i="9"/>
  <c r="AJ592" i="9"/>
  <c r="AJ593" i="9"/>
  <c r="AJ594" i="9"/>
  <c r="AJ595" i="9"/>
  <c r="AJ596" i="9"/>
  <c r="AJ597" i="9"/>
  <c r="AJ598" i="9"/>
  <c r="AJ599" i="9"/>
  <c r="AJ600" i="9"/>
  <c r="AJ601" i="9"/>
  <c r="AJ602" i="9"/>
  <c r="AJ603" i="9"/>
  <c r="AJ604" i="9"/>
  <c r="AJ605" i="9"/>
  <c r="AJ606" i="9"/>
  <c r="AJ607" i="9"/>
  <c r="AJ608" i="9"/>
  <c r="AJ609" i="9"/>
  <c r="AJ610" i="9"/>
  <c r="AJ611" i="9"/>
  <c r="AJ612" i="9"/>
  <c r="AJ613" i="9"/>
  <c r="AJ614" i="9"/>
  <c r="AJ615" i="9"/>
  <c r="AJ616" i="9"/>
  <c r="AJ617" i="9"/>
  <c r="AJ618" i="9"/>
  <c r="AJ619" i="9"/>
  <c r="AJ620" i="9"/>
  <c r="AJ621" i="9"/>
  <c r="AJ622" i="9"/>
  <c r="AJ623" i="9"/>
  <c r="AJ624" i="9"/>
  <c r="AJ625" i="9"/>
  <c r="AJ626" i="9"/>
  <c r="AJ627" i="9"/>
  <c r="AJ628" i="9"/>
  <c r="AJ629" i="9"/>
  <c r="AJ630" i="9"/>
  <c r="AJ631" i="9"/>
  <c r="AJ632" i="9"/>
  <c r="AJ633" i="9"/>
  <c r="AJ634" i="9"/>
  <c r="AJ635" i="9"/>
  <c r="AJ636" i="9"/>
  <c r="AJ637" i="9"/>
  <c r="AJ638" i="9"/>
  <c r="AJ639" i="9"/>
  <c r="AJ640" i="9"/>
  <c r="AJ641" i="9"/>
  <c r="AJ642" i="9"/>
  <c r="AJ643" i="9"/>
  <c r="AJ644" i="9"/>
  <c r="AJ645" i="9"/>
  <c r="AJ646" i="9"/>
  <c r="AJ647" i="9"/>
  <c r="AJ648" i="9"/>
  <c r="AJ649" i="9"/>
  <c r="AJ650" i="9"/>
  <c r="AJ651" i="9"/>
  <c r="AJ652" i="9"/>
  <c r="AJ653" i="9"/>
  <c r="AJ654" i="9"/>
  <c r="AJ655" i="9"/>
  <c r="AJ656" i="9"/>
  <c r="AJ657" i="9"/>
  <c r="AJ658" i="9"/>
  <c r="AJ659" i="9"/>
  <c r="AJ660" i="9"/>
  <c r="AJ661" i="9"/>
  <c r="AJ662" i="9"/>
  <c r="AJ663" i="9"/>
  <c r="AJ664" i="9"/>
  <c r="AJ665" i="9"/>
  <c r="AJ666" i="9"/>
  <c r="AJ667" i="9"/>
  <c r="AJ668" i="9"/>
  <c r="AJ669" i="9"/>
  <c r="AJ670" i="9"/>
  <c r="AJ671" i="9"/>
  <c r="AJ672" i="9"/>
  <c r="AJ673" i="9"/>
  <c r="AJ674" i="9"/>
  <c r="AJ675" i="9"/>
  <c r="AJ676" i="9"/>
  <c r="AJ677" i="9"/>
  <c r="AJ678" i="9"/>
  <c r="AJ679" i="9"/>
  <c r="AJ680" i="9"/>
  <c r="AJ681" i="9"/>
  <c r="AJ682" i="9"/>
  <c r="AJ683" i="9"/>
  <c r="AJ684" i="9"/>
  <c r="AJ685" i="9"/>
  <c r="AJ686" i="9"/>
  <c r="AJ687" i="9"/>
  <c r="AJ688" i="9"/>
  <c r="AJ689" i="9"/>
  <c r="AJ690" i="9"/>
  <c r="AJ691" i="9"/>
  <c r="AJ692" i="9"/>
  <c r="AJ693" i="9"/>
  <c r="AJ694" i="9"/>
  <c r="AJ695" i="9"/>
  <c r="AJ696" i="9"/>
  <c r="AJ697" i="9"/>
  <c r="AJ698" i="9"/>
  <c r="AJ699" i="9"/>
  <c r="AJ700" i="9"/>
  <c r="AJ701" i="9"/>
  <c r="AJ702" i="9"/>
  <c r="AJ703" i="9"/>
  <c r="AJ704" i="9"/>
  <c r="AJ705" i="9"/>
  <c r="AJ706" i="9"/>
  <c r="AJ707" i="9"/>
  <c r="AJ708" i="9"/>
  <c r="AJ709" i="9"/>
  <c r="AJ710" i="9"/>
  <c r="AJ711" i="9"/>
  <c r="AJ712" i="9"/>
  <c r="AJ713" i="9"/>
  <c r="AJ714" i="9"/>
  <c r="AJ715" i="9"/>
  <c r="AJ716" i="9"/>
  <c r="AJ717" i="9"/>
  <c r="AJ718" i="9"/>
  <c r="AJ719" i="9"/>
  <c r="AJ720" i="9"/>
  <c r="AJ721" i="9"/>
  <c r="AJ722" i="9"/>
  <c r="AJ723" i="9"/>
  <c r="AJ724" i="9"/>
  <c r="AJ725" i="9"/>
  <c r="AJ726" i="9"/>
  <c r="AJ727" i="9"/>
  <c r="AJ728" i="9"/>
  <c r="AJ729" i="9"/>
  <c r="AJ730" i="9"/>
  <c r="AJ731" i="9"/>
  <c r="AJ732" i="9"/>
  <c r="AJ733" i="9"/>
  <c r="AJ734" i="9"/>
  <c r="AJ735" i="9"/>
  <c r="AJ736" i="9"/>
  <c r="AJ737" i="9"/>
  <c r="AJ738" i="9"/>
  <c r="AJ739" i="9"/>
  <c r="AJ740" i="9"/>
  <c r="AJ741" i="9"/>
  <c r="AJ742" i="9"/>
  <c r="AJ743" i="9"/>
  <c r="AJ744" i="9"/>
  <c r="AJ745" i="9"/>
  <c r="AJ746" i="9"/>
  <c r="AJ747" i="9"/>
  <c r="AJ748" i="9"/>
  <c r="AJ749" i="9"/>
  <c r="AJ750" i="9"/>
  <c r="AJ751" i="9"/>
  <c r="AJ752" i="9"/>
  <c r="AJ753" i="9"/>
  <c r="AJ754" i="9"/>
  <c r="AJ755" i="9"/>
  <c r="AJ756" i="9"/>
  <c r="AJ757" i="9"/>
  <c r="AJ758" i="9"/>
  <c r="AJ759" i="9"/>
  <c r="AJ760" i="9"/>
  <c r="AJ761" i="9"/>
  <c r="AJ762" i="9"/>
  <c r="AJ763" i="9"/>
  <c r="AJ764" i="9"/>
  <c r="AJ765" i="9"/>
  <c r="AJ766" i="9"/>
  <c r="AJ767" i="9"/>
  <c r="AJ768" i="9"/>
  <c r="AJ769" i="9"/>
  <c r="AJ770" i="9"/>
  <c r="AJ771" i="9"/>
  <c r="AJ772" i="9"/>
  <c r="AJ773" i="9"/>
  <c r="AJ774" i="9"/>
  <c r="AJ775" i="9"/>
  <c r="AJ776" i="9"/>
  <c r="AJ777" i="9"/>
  <c r="AJ778" i="9"/>
  <c r="AJ779" i="9"/>
  <c r="AJ780" i="9"/>
  <c r="AJ781" i="9"/>
  <c r="AJ782" i="9"/>
  <c r="AJ783" i="9"/>
  <c r="AJ784" i="9"/>
  <c r="AJ785" i="9"/>
  <c r="AJ786" i="9"/>
  <c r="AJ787" i="9"/>
  <c r="AJ788" i="9"/>
  <c r="AJ789" i="9"/>
  <c r="AJ790" i="9"/>
  <c r="AJ791" i="9"/>
  <c r="AJ792" i="9"/>
  <c r="AJ793" i="9"/>
  <c r="AJ794" i="9"/>
  <c r="AJ795" i="9"/>
  <c r="AJ796" i="9"/>
  <c r="AJ797" i="9"/>
  <c r="AJ798" i="9"/>
  <c r="AJ799" i="9"/>
  <c r="AJ800" i="9"/>
  <c r="AJ801" i="9"/>
  <c r="AJ802" i="9"/>
  <c r="AJ803" i="9"/>
  <c r="AJ804" i="9"/>
  <c r="AJ805" i="9"/>
  <c r="AJ806" i="9"/>
  <c r="AJ807" i="9"/>
  <c r="AJ808" i="9"/>
  <c r="AJ809" i="9"/>
  <c r="AJ810" i="9"/>
  <c r="AJ811" i="9"/>
  <c r="AJ812" i="9"/>
  <c r="AJ813" i="9"/>
  <c r="AJ814" i="9"/>
  <c r="AJ815" i="9"/>
  <c r="AJ816" i="9"/>
  <c r="AJ817" i="9"/>
  <c r="AJ818" i="9"/>
  <c r="AJ819" i="9"/>
  <c r="AJ820" i="9"/>
  <c r="AJ821" i="9"/>
  <c r="AJ822" i="9"/>
  <c r="AJ823" i="9"/>
  <c r="AJ824" i="9"/>
  <c r="AJ825" i="9"/>
  <c r="AJ826" i="9"/>
  <c r="AJ827" i="9"/>
  <c r="AJ828" i="9"/>
  <c r="AJ829" i="9"/>
  <c r="AJ830" i="9"/>
  <c r="AJ831" i="9"/>
  <c r="AJ832" i="9"/>
  <c r="AJ833" i="9"/>
  <c r="AJ834" i="9"/>
  <c r="AJ835" i="9"/>
  <c r="AJ836" i="9"/>
  <c r="AJ837" i="9"/>
  <c r="AJ838" i="9"/>
  <c r="AJ839" i="9"/>
  <c r="AJ840" i="9"/>
  <c r="AJ841" i="9"/>
  <c r="AJ842" i="9"/>
  <c r="AJ843" i="9"/>
  <c r="AJ844" i="9"/>
  <c r="AJ845" i="9"/>
  <c r="AJ846" i="9"/>
  <c r="AJ847" i="9"/>
  <c r="AJ848" i="9"/>
  <c r="AJ849" i="9"/>
  <c r="AJ850" i="9"/>
  <c r="AJ851" i="9"/>
  <c r="AJ852" i="9"/>
  <c r="AJ853" i="9"/>
  <c r="AJ854" i="9"/>
  <c r="AJ855" i="9"/>
  <c r="AJ856" i="9"/>
  <c r="AJ857" i="9"/>
  <c r="AJ858" i="9"/>
  <c r="AJ859" i="9"/>
  <c r="AJ860" i="9"/>
  <c r="AJ861" i="9"/>
  <c r="AJ862" i="9"/>
  <c r="AJ863" i="9"/>
  <c r="AJ864" i="9"/>
  <c r="AJ865" i="9"/>
  <c r="AJ866" i="9"/>
  <c r="AJ867" i="9"/>
  <c r="AJ868" i="9"/>
  <c r="AJ869" i="9"/>
  <c r="AJ870" i="9"/>
  <c r="AJ871" i="9"/>
  <c r="AJ872" i="9"/>
  <c r="AJ873" i="9"/>
  <c r="AJ874" i="9"/>
  <c r="AJ875" i="9"/>
  <c r="AJ876" i="9"/>
  <c r="AJ877" i="9"/>
  <c r="AJ878" i="9"/>
  <c r="AJ879" i="9"/>
  <c r="AJ880" i="9"/>
  <c r="AJ881" i="9"/>
  <c r="AJ882" i="9"/>
  <c r="AJ883" i="9"/>
  <c r="AJ884" i="9"/>
  <c r="AJ885" i="9"/>
  <c r="AJ886" i="9"/>
  <c r="AJ887" i="9"/>
  <c r="AJ888" i="9"/>
  <c r="AJ889" i="9"/>
  <c r="AJ890" i="9"/>
  <c r="AJ891" i="9"/>
  <c r="AJ892" i="9"/>
  <c r="AJ893" i="9"/>
  <c r="AJ894" i="9"/>
  <c r="AJ2" i="9"/>
  <c r="I22" i="12" l="1"/>
  <c r="I31" i="12"/>
  <c r="G17" i="5"/>
  <c r="G30" i="5"/>
  <c r="G21" i="5"/>
  <c r="H11" i="12" l="1"/>
  <c r="I11" i="12" s="1"/>
  <c r="F32" i="5" l="1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14" i="5"/>
  <c r="B15" i="12" s="1"/>
  <c r="F19" i="12"/>
  <c r="E15" i="5"/>
  <c r="F16" i="12" s="1"/>
  <c r="E20" i="5"/>
  <c r="F21" i="12" s="1"/>
  <c r="E29" i="5"/>
  <c r="E27" i="5"/>
  <c r="F27" i="12" s="1"/>
  <c r="E14" i="5"/>
  <c r="F15" i="12" s="1"/>
  <c r="E24" i="5"/>
  <c r="F25" i="12" s="1"/>
  <c r="E35" i="5"/>
  <c r="F35" i="12" s="1"/>
  <c r="E12" i="5"/>
  <c r="F13" i="12" s="1"/>
  <c r="E26" i="5"/>
  <c r="F26" i="12" s="1"/>
  <c r="E13" i="5"/>
  <c r="F14" i="12" s="1"/>
  <c r="E19" i="5"/>
  <c r="F20" i="12" s="1"/>
  <c r="E23" i="5"/>
  <c r="F24" i="12" s="1"/>
  <c r="E34" i="5"/>
  <c r="F34" i="12" s="1"/>
  <c r="E16" i="5"/>
  <c r="F17" i="12" s="1"/>
  <c r="E33" i="5"/>
  <c r="F33" i="12" s="1"/>
  <c r="E11" i="5"/>
  <c r="F12" i="12" s="1"/>
  <c r="E10" i="5"/>
  <c r="F11" i="12" s="1"/>
  <c r="E22" i="5"/>
  <c r="F23" i="12" s="1"/>
  <c r="E28" i="5"/>
  <c r="F28" i="12" s="1"/>
  <c r="E25" i="5"/>
  <c r="E31" i="5"/>
  <c r="F31" i="12" s="1"/>
  <c r="E32" i="5"/>
  <c r="F32" i="12" s="1"/>
  <c r="B56" i="16"/>
  <c r="D18" i="5"/>
  <c r="D19" i="12" s="1"/>
  <c r="D15" i="5"/>
  <c r="D16" i="12" s="1"/>
  <c r="D20" i="5"/>
  <c r="D21" i="12" s="1"/>
  <c r="D29" i="5"/>
  <c r="D27" i="5"/>
  <c r="D27" i="12" s="1"/>
  <c r="D14" i="5"/>
  <c r="D15" i="12" s="1"/>
  <c r="D24" i="5"/>
  <c r="D25" i="12" s="1"/>
  <c r="D35" i="5"/>
  <c r="D35" i="12" s="1"/>
  <c r="D12" i="5"/>
  <c r="D13" i="12" s="1"/>
  <c r="D26" i="5"/>
  <c r="D26" i="12" s="1"/>
  <c r="D13" i="5"/>
  <c r="D14" i="12" s="1"/>
  <c r="D19" i="5"/>
  <c r="D20" i="12" s="1"/>
  <c r="D23" i="5"/>
  <c r="D24" i="12" s="1"/>
  <c r="D34" i="5"/>
  <c r="D34" i="12" s="1"/>
  <c r="D16" i="5"/>
  <c r="D17" i="12" s="1"/>
  <c r="D33" i="5"/>
  <c r="D33" i="12" s="1"/>
  <c r="D11" i="5"/>
  <c r="D12" i="12" s="1"/>
  <c r="D10" i="5"/>
  <c r="D11" i="12" s="1"/>
  <c r="D22" i="5"/>
  <c r="D23" i="12" s="1"/>
  <c r="D28" i="5"/>
  <c r="D28" i="12" s="1"/>
  <c r="D25" i="5"/>
  <c r="D31" i="5"/>
  <c r="D31" i="12" s="1"/>
  <c r="D32" i="5"/>
  <c r="D32" i="12" s="1"/>
  <c r="F31" i="5"/>
  <c r="F25" i="5"/>
  <c r="F28" i="5"/>
  <c r="F22" i="5"/>
  <c r="C10" i="5"/>
  <c r="B11" i="12" s="1"/>
  <c r="F10" i="5"/>
  <c r="F11" i="5"/>
  <c r="F33" i="5"/>
  <c r="C16" i="5"/>
  <c r="B17" i="12" s="1"/>
  <c r="F16" i="5"/>
  <c r="F34" i="5"/>
  <c r="F23" i="5"/>
  <c r="F19" i="5"/>
  <c r="F13" i="5"/>
  <c r="F26" i="5"/>
  <c r="C12" i="5"/>
  <c r="B13" i="12" s="1"/>
  <c r="F12" i="5"/>
  <c r="C35" i="5"/>
  <c r="B35" i="12" s="1"/>
  <c r="F35" i="5"/>
  <c r="C24" i="5"/>
  <c r="B25" i="12" s="1"/>
  <c r="F24" i="5"/>
  <c r="F14" i="5"/>
  <c r="C27" i="5"/>
  <c r="B27" i="12" s="1"/>
  <c r="F27" i="5"/>
  <c r="C29" i="5"/>
  <c r="F29" i="5"/>
  <c r="C20" i="5"/>
  <c r="B21" i="12" s="1"/>
  <c r="F20" i="5"/>
  <c r="C15" i="5"/>
  <c r="B16" i="12" s="1"/>
  <c r="F15" i="5"/>
  <c r="C18" i="5"/>
  <c r="B19" i="12" s="1"/>
  <c r="F18" i="5"/>
  <c r="C5" i="18"/>
  <c r="C4" i="18"/>
  <c r="C3" i="18"/>
  <c r="C2" i="18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18" i="16"/>
  <c r="B17" i="16"/>
  <c r="B31" i="16"/>
  <c r="B10" i="16"/>
  <c r="B16" i="16"/>
  <c r="B27" i="16"/>
  <c r="B15" i="16"/>
  <c r="B9" i="16"/>
  <c r="B8" i="16"/>
  <c r="B14" i="16"/>
  <c r="B26" i="16"/>
  <c r="B24" i="16"/>
  <c r="B13" i="16"/>
  <c r="B30" i="16"/>
  <c r="B29" i="16"/>
  <c r="B7" i="16"/>
  <c r="B6" i="16"/>
  <c r="B5" i="16"/>
  <c r="B4" i="16"/>
  <c r="B21" i="16"/>
  <c r="B20" i="16"/>
  <c r="B12" i="16"/>
  <c r="B3" i="16"/>
  <c r="B11" i="16"/>
  <c r="B28" i="16"/>
  <c r="B25" i="16"/>
  <c r="B2" i="16"/>
  <c r="B23" i="16"/>
  <c r="B19" i="16"/>
  <c r="B22" i="16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31" i="12" l="1"/>
  <c r="E11" i="12"/>
  <c r="F29" i="12"/>
  <c r="G22" i="12"/>
  <c r="D29" i="12"/>
  <c r="G11" i="12"/>
  <c r="E31" i="12"/>
  <c r="B29" i="12"/>
  <c r="E22" i="12"/>
  <c r="G26" i="5"/>
  <c r="G16" i="5"/>
  <c r="G28" i="5"/>
  <c r="G20" i="5"/>
  <c r="G13" i="5"/>
  <c r="G15" i="5"/>
  <c r="G22" i="5"/>
  <c r="G11" i="5"/>
  <c r="G35" i="5"/>
  <c r="G19" i="5"/>
  <c r="G14" i="5"/>
  <c r="G25" i="5"/>
  <c r="G23" i="5"/>
  <c r="G27" i="5"/>
  <c r="G29" i="5"/>
  <c r="G18" i="5"/>
  <c r="G34" i="5"/>
  <c r="G31" i="5"/>
  <c r="G10" i="5"/>
  <c r="G24" i="5"/>
  <c r="G12" i="5"/>
  <c r="G33" i="5"/>
  <c r="G32" i="5"/>
  <c r="G27" i="12" l="1"/>
  <c r="E27" i="12"/>
  <c r="C34" i="5"/>
  <c r="B34" i="12" s="1"/>
  <c r="C22" i="5"/>
  <c r="B23" i="12" s="1"/>
  <c r="C26" i="5"/>
  <c r="B26" i="12" s="1"/>
  <c r="C33" i="5"/>
  <c r="B33" i="12" s="1"/>
  <c r="C32" i="5"/>
  <c r="B32" i="12" s="1"/>
  <c r="C13" i="5"/>
  <c r="B14" i="12" s="1"/>
  <c r="C28" i="5"/>
  <c r="B28" i="12" s="1"/>
  <c r="C31" i="5"/>
  <c r="B31" i="12" s="1"/>
  <c r="C23" i="5"/>
  <c r="B24" i="12" s="1"/>
  <c r="C19" i="5"/>
  <c r="B20" i="12" s="1"/>
  <c r="C11" i="5"/>
  <c r="B12" i="12" s="1"/>
  <c r="C25" i="5"/>
  <c r="F894" i="9"/>
</calcChain>
</file>

<file path=xl/sharedStrings.xml><?xml version="1.0" encoding="utf-8"?>
<sst xmlns="http://schemas.openxmlformats.org/spreadsheetml/2006/main" count="3372" uniqueCount="396">
  <si>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</si>
  <si>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</si>
  <si>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</si>
  <si>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</si>
  <si>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</si>
  <si>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</si>
  <si>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</si>
  <si>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</si>
  <si>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</si>
  <si>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</si>
  <si>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</si>
  <si>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DEL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</si>
  <si>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</si>
  <si>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</si>
  <si>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</si>
  <si>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</si>
  <si>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</si>
  <si>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</si>
  <si>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</si>
  <si>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</si>
  <si>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</si>
  <si>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</si>
  <si>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</si>
  <si>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</si>
  <si>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</si>
  <si>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</si>
  <si>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</si>
  <si>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</si>
  <si>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</si>
  <si>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</si>
  <si>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</si>
  <si>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</si>
  <si>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</si>
  <si>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</si>
  <si>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</si>
  <si>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</si>
  <si>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</si>
  <si>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</si>
  <si>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</si>
  <si>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</si>
  <si>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</si>
  <si>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</si>
  <si>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</si>
  <si>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</si>
  <si>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</si>
  <si>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</si>
  <si>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</si>
  <si>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</si>
  <si>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</si>
  <si>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</si>
  <si>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</si>
  <si>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</si>
  <si>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Expression</t>
  </si>
  <si>
    <t>D279A + N460D</t>
  </si>
  <si>
    <t>Escape Path</t>
  </si>
  <si>
    <t>D279A + Other</t>
  </si>
  <si>
    <t>Other</t>
  </si>
  <si>
    <t>Escape Path + ID</t>
  </si>
  <si>
    <t>A: D279A + N460D</t>
  </si>
  <si>
    <t>aa_pos</t>
  </si>
  <si>
    <t>HXB2_pos</t>
  </si>
  <si>
    <t>REJOc_aa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</si>
  <si>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</si>
  <si>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</si>
  <si>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</si>
  <si>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</si>
  <si>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</si>
  <si>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</si>
  <si>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</si>
  <si>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</si>
  <si>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</si>
  <si>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</si>
  <si>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</si>
  <si>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</si>
  <si>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</si>
  <si>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</si>
  <si>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</si>
  <si>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</si>
  <si>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</si>
  <si>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</si>
  <si>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</si>
  <si>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464b</t>
  </si>
  <si>
    <t>Score</t>
  </si>
  <si>
    <t>Syn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</si>
  <si>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</si>
  <si>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</si>
  <si>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</si>
  <si>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</si>
  <si>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</si>
  <si>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</si>
  <si>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</si>
  <si>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</si>
  <si>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</si>
  <si>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</si>
  <si>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</si>
  <si>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</si>
  <si>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</si>
  <si>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</si>
  <si>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</si>
  <si>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</si>
  <si>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</si>
  <si>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</si>
  <si>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</si>
  <si>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</si>
  <si>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</si>
  <si>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</si>
  <si>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</si>
  <si>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</si>
  <si>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</si>
  <si>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</si>
  <si>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</si>
  <si>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</si>
  <si>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</si>
  <si>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</si>
  <si>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</si>
  <si>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</si>
  <si>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</si>
  <si>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</si>
  <si>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</si>
  <si>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</si>
  <si>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</si>
  <si>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</si>
  <si>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</si>
  <si>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</si>
  <si>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</si>
  <si>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</si>
  <si>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</si>
  <si>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</si>
  <si>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</si>
  <si>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</si>
  <si>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</si>
  <si>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</si>
  <si>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</si>
  <si>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</si>
  <si>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</si>
  <si>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</si>
  <si>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</si>
  <si>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</si>
  <si>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</si>
  <si>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</si>
  <si>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</si>
  <si>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</si>
  <si>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</si>
  <si>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</si>
  <si>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</si>
  <si>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</si>
  <si>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</si>
  <si>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</si>
  <si>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</si>
  <si>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</si>
  <si>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</si>
  <si>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</si>
  <si>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</si>
  <si>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</si>
  <si>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</si>
  <si>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</si>
  <si>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</si>
  <si>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</si>
  <si>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</si>
  <si>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</si>
  <si>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</si>
  <si>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</si>
  <si>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</si>
  <si>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</si>
  <si>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</si>
  <si>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</si>
  <si>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</si>
  <si>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</si>
  <si>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</si>
  <si>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</si>
  <si>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</si>
  <si>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</si>
  <si>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</si>
  <si>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</si>
  <si>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</si>
  <si>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</si>
  <si>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</si>
  <si>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</si>
  <si>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</si>
  <si>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</si>
  <si>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</si>
  <si>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</si>
  <si>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</si>
  <si>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</si>
  <si>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</si>
  <si>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</si>
  <si>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</si>
  <si>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</si>
  <si>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</si>
  <si>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</si>
  <si>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</si>
  <si>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</si>
  <si>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</si>
  <si>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</si>
  <si>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</si>
  <si>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</si>
  <si>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</si>
  <si>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</si>
  <si>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</si>
  <si>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</si>
  <si>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</si>
  <si>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</si>
  <si>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</si>
  <si>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</si>
  <si>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</si>
  <si>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</si>
  <si>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</si>
  <si>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</si>
  <si>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</si>
  <si>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</si>
  <si>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</si>
  <si>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</si>
  <si>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</si>
  <si>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</si>
  <si>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</si>
  <si>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</si>
  <si>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</si>
  <si>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</si>
  <si>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</si>
  <si>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</si>
  <si>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</si>
  <si>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</si>
  <si>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</si>
  <si>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</si>
  <si>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</si>
  <si>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</si>
  <si>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</si>
  <si>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</si>
  <si>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</si>
  <si>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</si>
  <si>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</si>
  <si>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</si>
  <si>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</si>
  <si>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</si>
  <si>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</si>
  <si>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</si>
  <si>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</si>
  <si>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</si>
  <si>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</si>
  <si>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</si>
  <si>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</si>
  <si>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</si>
  <si>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</si>
  <si>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</si>
  <si>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</si>
  <si>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</si>
  <si>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</si>
  <si>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</si>
  <si>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</si>
  <si>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</si>
  <si>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</si>
  <si>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</si>
  <si>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</si>
  <si>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</si>
  <si>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</si>
  <si>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</si>
  <si>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</si>
  <si>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</si>
  <si>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</si>
  <si>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</si>
  <si>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</si>
  <si>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</si>
  <si>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</si>
  <si>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</si>
  <si>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</si>
  <si>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</si>
  <si>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</si>
  <si>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</si>
  <si>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</si>
  <si>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</si>
  <si>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</si>
  <si>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</si>
  <si>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</si>
  <si>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</si>
  <si>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</si>
  <si>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</si>
  <si>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</si>
  <si>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</si>
  <si>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</si>
  <si>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</si>
  <si>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</si>
  <si>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</si>
  <si>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</si>
  <si>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</si>
  <si>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</si>
  <si>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</si>
  <si>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</si>
  <si>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</si>
  <si>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</si>
  <si>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</si>
  <si>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</si>
  <si>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</si>
  <si>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</si>
  <si>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</si>
  <si>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</si>
  <si>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</si>
  <si>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</si>
  <si>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</si>
  <si>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</si>
  <si>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</si>
  <si>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</si>
  <si>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</si>
  <si>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</si>
  <si>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</si>
  <si>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</si>
  <si>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</si>
  <si>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</si>
  <si>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</si>
  <si>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</si>
  <si>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</si>
  <si>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</si>
  <si>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</si>
  <si>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</si>
  <si>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</si>
  <si>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</si>
  <si>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</si>
  <si>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</si>
  <si>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</si>
  <si>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</si>
  <si>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</si>
  <si>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</si>
  <si>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</si>
  <si>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</si>
  <si>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</si>
  <si>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</si>
  <si>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</si>
  <si>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</si>
  <si>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</si>
  <si>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</si>
  <si>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</si>
  <si>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</si>
  <si>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</si>
  <si>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</si>
  <si>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</si>
  <si>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</si>
  <si>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</si>
  <si>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</si>
  <si>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</si>
  <si>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</si>
  <si>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</si>
  <si>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</si>
  <si>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</si>
  <si>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</si>
  <si>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</si>
  <si>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</si>
  <si>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</si>
  <si>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</si>
  <si>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</si>
  <si>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</si>
  <si>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</si>
  <si>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</si>
  <si>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</si>
  <si>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</si>
  <si>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</si>
  <si>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</si>
  <si>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</si>
  <si>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</si>
  <si>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</si>
  <si>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</si>
  <si>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CD10-m885</t>
  </si>
  <si>
    <t>CD10-m878</t>
  </si>
  <si>
    <t>D279A + N276D</t>
  </si>
  <si>
    <t>Time of Sequencing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</si>
  <si>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</si>
  <si>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</si>
  <si>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</si>
  <si>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</si>
  <si>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</si>
  <si>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</si>
  <si>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</si>
  <si>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Sample ID</t>
  </si>
  <si>
    <t>REJO.c Pos</t>
  </si>
  <si>
    <t>HXB2 Pos</t>
  </si>
  <si>
    <t>WT AA</t>
  </si>
  <si>
    <t>Mut AA</t>
  </si>
  <si>
    <t>Count of Escape Path</t>
  </si>
  <si>
    <t>B: D279A + N276D</t>
  </si>
  <si>
    <t>C: D279A + Other</t>
  </si>
  <si>
    <t>D: Other</t>
  </si>
  <si>
    <t>Count of Escape Path2</t>
  </si>
  <si>
    <t>CD30-m206</t>
  </si>
  <si>
    <t>CD30-m228</t>
  </si>
  <si>
    <t>CD30-m232</t>
  </si>
  <si>
    <t>CD50-m067</t>
  </si>
  <si>
    <t>CD50-m072</t>
  </si>
  <si>
    <t>Geometric Mean Expression (μg/ml)</t>
  </si>
  <si>
    <t>Count of Value</t>
  </si>
  <si>
    <t>Average of Value2</t>
  </si>
  <si>
    <t>SampleID</t>
  </si>
  <si>
    <t>GeoMean</t>
  </si>
  <si>
    <t>Set Point Viral Load (GC/mL)</t>
  </si>
  <si>
    <t>Product of Value2</t>
  </si>
  <si>
    <t>(blank)</t>
  </si>
  <si>
    <t>Scaled Escape</t>
  </si>
  <si>
    <t>Percent Explained</t>
  </si>
  <si>
    <t>Number of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</si>
</sst>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SourceCodePro-Regular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9" fontId="13" fillId="0" borderId="0" xfId="1" applyFont="1" applyBorder="1"/>
    <xf numFmtId="0" fontId="12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12" fillId="0" borderId="2" xfId="0" applyFont="1" applyBorder="1"/>
    <xf numFmtId="0" fontId="12" fillId="0" borderId="8" xfId="0" applyFont="1" applyBorder="1"/>
    <xf numFmtId="0" fontId="13" fillId="0" borderId="10" xfId="0" applyFont="1" applyBorder="1" applyAlignment="1">
      <alignment horizontal="right"/>
    </xf>
    <xf numFmtId="0" fontId="13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right"/>
    </xf>
    <xf numFmtId="0" fontId="13" fillId="0" borderId="6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11" fontId="4" fillId="0" borderId="0" xfId="0" applyNumberFormat="1" applyFont="1"/>
    <xf numFmtId="11" fontId="0" fillId="0" borderId="0" xfId="0" applyNumberFormat="1"/>
    <xf numFmtId="11" fontId="12" fillId="0" borderId="2" xfId="0" applyNumberFormat="1" applyFont="1" applyBorder="1" applyAlignment="1">
      <alignment horizontal="center" vertical="center"/>
    </xf>
    <xf numFmtId="11" fontId="12" fillId="0" borderId="8" xfId="0" applyNumberFormat="1" applyFont="1" applyBorder="1" applyAlignment="1">
      <alignment horizontal="center" vertical="center"/>
    </xf>
    <xf numFmtId="9" fontId="0" fillId="0" borderId="0" xfId="1" applyFont="1"/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/>
    <xf numFmtId="1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1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9" fontId="0" fillId="0" borderId="0" xfId="1" applyFont="1" applyBorder="1"/>
    <xf numFmtId="0" fontId="0" fillId="0" borderId="2" xfId="0" applyBorder="1"/>
    <xf numFmtId="9" fontId="0" fillId="0" borderId="2" xfId="1" applyFont="1" applyBorder="1"/>
    <xf numFmtId="9" fontId="0" fillId="0" borderId="3" xfId="1" applyFont="1" applyBorder="1"/>
    <xf numFmtId="9" fontId="0" fillId="0" borderId="5" xfId="1" applyFont="1" applyBorder="1"/>
    <xf numFmtId="0" fontId="0" fillId="0" borderId="8" xfId="0" applyBorder="1"/>
    <xf numFmtId="9" fontId="0" fillId="0" borderId="8" xfId="1" applyFont="1" applyBorder="1"/>
    <xf numFmtId="9" fontId="0" fillId="0" borderId="9" xfId="1" applyFont="1" applyBorder="1"/>
    <xf numFmtId="10" fontId="0" fillId="0" borderId="0" xfId="1" applyNumberFormat="1" applyFont="1"/>
    <xf numFmtId="1" fontId="12" fillId="0" borderId="2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11" fontId="16" fillId="0" borderId="0" xfId="0" applyNumberFormat="1" applyFont="1" applyAlignment="1">
      <alignment horizontal="center"/>
    </xf>
    <xf numFmtId="9" fontId="15" fillId="0" borderId="2" xfId="1" applyFont="1" applyFill="1" applyBorder="1" applyAlignment="1">
      <alignment horizontal="center"/>
    </xf>
    <xf numFmtId="9" fontId="15" fillId="0" borderId="0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2600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16.517818518521" createdVersion="8" refreshedVersion="8" minRefreshableVersion="3" recordCount="33" xr:uid="{DDEF5D37-E824-A742-A13A-516AECE3246B}">
  <cacheSource type="worksheet">
    <worksheetSource ref="A9:G44" sheet="REJOc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5">
        <s v="A: D279A + N460D"/>
        <s v="B: D279A + N276D"/>
        <s v="C: D279A + Other"/>
        <s v="D: Other"/>
        <m/>
      </sharedItems>
    </cacheField>
    <cacheField name="Geometric Mean Expression (mg/ml)" numFmtId="0">
      <sharedItems containsString="0" containsBlank="1" containsNumber="1" minValue="18.200299999999999" maxValue="185.36500000000001"/>
    </cacheField>
    <cacheField name="Time to Escape (Weeks)" numFmtId="0">
      <sharedItems containsString="0" containsBlank="1" containsNumber="1" containsInteger="1" minValue="2" maxValue="15"/>
    </cacheField>
    <cacheField name="Time of Sequencing" numFmtId="0">
      <sharedItems containsString="0" containsBlank="1" containsNumber="1" containsInteger="1" minValue="9" maxValue="26"/>
    </cacheField>
    <cacheField name="Time After Escape" numFmtId="0">
      <sharedItems containsString="0" containsBlank="1" containsNumber="1" containsInteger="1" minValue="5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D5-m265"/>
    <s v="A"/>
    <x v="0"/>
    <n v="37.9099"/>
    <n v="5"/>
    <n v="25"/>
    <n v="20"/>
  </r>
  <r>
    <s v="CD46-m336"/>
    <s v="A"/>
    <x v="0"/>
    <n v="79.2136"/>
    <n v="4"/>
    <n v="24"/>
    <n v="20"/>
  </r>
  <r>
    <s v="CD20-m026"/>
    <s v="A"/>
    <x v="0"/>
    <n v="49.630800000000001"/>
    <n v="4"/>
    <n v="17"/>
    <n v="13"/>
  </r>
  <r>
    <s v="CD21-m017"/>
    <s v="A"/>
    <x v="0"/>
    <n v="177.065"/>
    <n v="5"/>
    <n v="22"/>
    <n v="17"/>
  </r>
  <r>
    <s v="CD20-m020"/>
    <s v="A"/>
    <x v="0"/>
    <n v="59.914099999999998"/>
    <n v="3"/>
    <n v="18"/>
    <n v="15"/>
  </r>
  <r>
    <s v="CD20-m022"/>
    <s v="A"/>
    <x v="0"/>
    <n v="39.688000000000002"/>
    <n v="3"/>
    <n v="19"/>
    <n v="16"/>
  </r>
  <r>
    <s v="CD46-m331"/>
    <s v="A"/>
    <x v="0"/>
    <n v="79.352699999999999"/>
    <n v="5"/>
    <n v="19"/>
    <n v="14"/>
  </r>
  <r>
    <s v="CD5-m273"/>
    <s v="A"/>
    <x v="0"/>
    <n v="70.494699999999995"/>
    <n v="8"/>
    <n v="18"/>
    <n v="10"/>
  </r>
  <r>
    <s v="CD20-m023"/>
    <s v="A"/>
    <x v="0"/>
    <n v="49.747900000000001"/>
    <n v="4"/>
    <n v="12"/>
    <n v="8"/>
  </r>
  <r>
    <s v="CD20-m038"/>
    <s v="A"/>
    <x v="0"/>
    <n v="77.971800000000002"/>
    <n v="8"/>
    <n v="17"/>
    <n v="9"/>
  </r>
  <r>
    <s v="CD20-m021"/>
    <s v="A"/>
    <x v="0"/>
    <n v="74.613299999999995"/>
    <n v="4"/>
    <n v="20"/>
    <n v="16"/>
  </r>
  <r>
    <s v="CD5-m281"/>
    <s v="B"/>
    <x v="1"/>
    <n v="109.98560000000001"/>
    <n v="2"/>
    <n v="20"/>
    <n v="18"/>
  </r>
  <r>
    <s v="CD5-m272"/>
    <s v="B"/>
    <x v="1"/>
    <n v="32.744700000000002"/>
    <n v="5"/>
    <n v="26"/>
    <n v="21"/>
  </r>
  <r>
    <s v="CD21-m010"/>
    <s v="B"/>
    <x v="1"/>
    <n v="185.36500000000001"/>
    <n v="5"/>
    <n v="21"/>
    <n v="16"/>
  </r>
  <r>
    <s v="CD20-m028"/>
    <s v="B"/>
    <x v="1"/>
    <n v="65.932000000000002"/>
    <n v="6"/>
    <n v="14"/>
    <n v="8"/>
  </r>
  <r>
    <s v="CD46-m334"/>
    <s v="B"/>
    <x v="1"/>
    <n v="73.215900000000005"/>
    <n v="6"/>
    <n v="24"/>
    <n v="18"/>
  </r>
  <r>
    <s v="CD46-m332"/>
    <s v="B"/>
    <x v="1"/>
    <n v="34.323700000000002"/>
    <n v="3"/>
    <n v="9"/>
    <n v="6"/>
  </r>
  <r>
    <s v="CD20-m027"/>
    <s v="C"/>
    <x v="2"/>
    <n v="45.046700000000001"/>
    <n v="4"/>
    <n v="10"/>
    <n v="6"/>
  </r>
  <r>
    <s v="CD5-m263"/>
    <s v="C"/>
    <x v="2"/>
    <n v="32.966000000000001"/>
    <n v="7"/>
    <n v="15"/>
    <n v="8"/>
  </r>
  <r>
    <s v="CD10-m880"/>
    <s v="C"/>
    <x v="2"/>
    <n v="75.524100000000004"/>
    <n v="10"/>
    <n v="24"/>
    <n v="14"/>
  </r>
  <r>
    <s v="CD5-m285"/>
    <s v="C"/>
    <x v="2"/>
    <n v="98.299800000000005"/>
    <n v="2"/>
    <n v="26"/>
    <n v="24"/>
  </r>
  <r>
    <s v="CD5-m260"/>
    <s v="D"/>
    <x v="3"/>
    <n v="20.088000000000001"/>
    <n v="12"/>
    <n v="24"/>
    <n v="12"/>
  </r>
  <r>
    <s v="CD5-m264"/>
    <s v="D"/>
    <x v="3"/>
    <n v="18.200299999999999"/>
    <n v="4"/>
    <n v="9"/>
    <n v="5"/>
  </r>
  <r>
    <s v="CD5-m269"/>
    <s v="D"/>
    <x v="3"/>
    <n v="33.626800000000003"/>
    <n v="14"/>
    <n v="22"/>
    <n v="8"/>
  </r>
  <r>
    <s v="CD46-m333"/>
    <s v="D"/>
    <x v="3"/>
    <n v="71.940799999999996"/>
    <n v="14"/>
    <n v="20"/>
    <n v="6"/>
  </r>
  <r>
    <s v="CD20-m034"/>
    <s v="D"/>
    <x v="3"/>
    <n v="69.819299999999998"/>
    <n v="15"/>
    <n v="20"/>
    <n v="5"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  <r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078D7-000D-324B-B4EF-A439564BBCE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7"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2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L41"/>
  <sheetViews>
    <sheetView showGridLines="0" tabSelected="1" zoomScale="87" zoomScaleNormal="87" workbookViewId="0">
      <selection activeCell="E27" sqref="E27:E30"/>
    </sheetView>
  </sheetViews>
  <sheetFormatPr baseColWidth="10" defaultRowHeight="16"/>
  <cols>
    <col min="2" max="2" width="21.6640625" bestFit="1" customWidth="1"/>
    <col min="3" max="3" width="16.6640625" bestFit="1" customWidth="1"/>
    <col min="4" max="5" width="13.6640625" customWidth="1"/>
    <col min="6" max="6" width="10.1640625" bestFit="1" customWidth="1"/>
    <col min="7" max="7" width="10.1640625" customWidth="1"/>
    <col min="8" max="8" width="12.33203125" customWidth="1"/>
    <col min="9" max="9" width="10.1640625" customWidth="1"/>
    <col min="10" max="10" width="13.1640625" customWidth="1"/>
    <col min="11" max="13" width="8.1640625" bestFit="1" customWidth="1"/>
    <col min="14" max="14" width="9.1640625" customWidth="1"/>
    <col min="15" max="15" width="9" customWidth="1"/>
    <col min="16" max="21" width="9.1640625" bestFit="1" customWidth="1"/>
  </cols>
  <sheetData>
    <row r="2" spans="2:21" ht="19">
      <c r="O2" s="9"/>
    </row>
    <row r="3" spans="2:21" ht="19">
      <c r="O3" s="9"/>
      <c r="P3" s="1"/>
      <c r="Q3" s="1"/>
      <c r="R3" s="1"/>
    </row>
    <row r="4" spans="2:21" ht="19">
      <c r="O4" s="9"/>
      <c r="P4" s="1"/>
      <c r="Q4" s="1"/>
      <c r="R4" s="1"/>
    </row>
    <row r="5" spans="2:21">
      <c r="P5" s="1"/>
      <c r="Q5" s="1"/>
      <c r="R5" s="1"/>
    </row>
    <row r="6" spans="2:21">
      <c r="P6" s="1"/>
      <c r="Q6" s="1"/>
      <c r="R6" s="1"/>
    </row>
    <row r="7" spans="2:21" ht="21" customHeight="1">
      <c r="C7" s="25"/>
      <c r="D7" s="77" t="s">
        <v>385</v>
      </c>
      <c r="E7" s="77"/>
      <c r="F7" s="77" t="s">
        <v>369</v>
      </c>
      <c r="G7" s="77"/>
      <c r="H7" s="36"/>
      <c r="I7" s="36"/>
      <c r="J7" s="30" t="s">
        <v>371</v>
      </c>
      <c r="K7" s="31">
        <v>277</v>
      </c>
      <c r="L7" s="31">
        <v>280</v>
      </c>
      <c r="M7" s="31">
        <v>458</v>
      </c>
      <c r="S7">
        <v>277</v>
      </c>
      <c r="T7">
        <v>280</v>
      </c>
      <c r="U7">
        <v>458</v>
      </c>
    </row>
    <row r="8" spans="2:21" ht="21" customHeight="1">
      <c r="B8" s="77" t="s">
        <v>54</v>
      </c>
      <c r="C8" s="77" t="s">
        <v>370</v>
      </c>
      <c r="D8" s="77"/>
      <c r="E8" s="77"/>
      <c r="F8" s="77"/>
      <c r="G8" s="77"/>
      <c r="H8" s="77" t="s">
        <v>390</v>
      </c>
      <c r="I8" s="77"/>
      <c r="J8" s="32" t="s">
        <v>372</v>
      </c>
      <c r="K8" s="33">
        <v>276</v>
      </c>
      <c r="L8" s="33">
        <v>279</v>
      </c>
      <c r="M8" s="33">
        <v>460</v>
      </c>
      <c r="S8">
        <v>276</v>
      </c>
      <c r="T8">
        <v>279</v>
      </c>
      <c r="U8">
        <v>460</v>
      </c>
    </row>
    <row r="9" spans="2:21" ht="19" customHeight="1">
      <c r="B9" s="77"/>
      <c r="C9" s="77"/>
      <c r="D9" s="77"/>
      <c r="E9" s="77"/>
      <c r="F9" s="77"/>
      <c r="G9" s="77"/>
      <c r="H9" s="77"/>
      <c r="I9" s="77"/>
      <c r="J9" s="32" t="s">
        <v>373</v>
      </c>
      <c r="K9" s="33" t="s">
        <v>3</v>
      </c>
      <c r="L9" s="33" t="s">
        <v>5</v>
      </c>
      <c r="M9" s="33" t="s">
        <v>3</v>
      </c>
      <c r="S9" t="s">
        <v>3</v>
      </c>
      <c r="T9" t="s">
        <v>5</v>
      </c>
      <c r="U9" t="s">
        <v>3</v>
      </c>
    </row>
    <row r="10" spans="2:21" ht="21" customHeight="1" thickBot="1">
      <c r="B10" s="77"/>
      <c r="C10" s="77"/>
      <c r="D10" s="77"/>
      <c r="E10" s="77"/>
      <c r="F10" s="77"/>
      <c r="G10" s="77"/>
      <c r="H10" s="77"/>
      <c r="I10" s="77"/>
      <c r="J10" s="26" t="s">
        <v>374</v>
      </c>
      <c r="K10" s="27" t="s">
        <v>5</v>
      </c>
      <c r="L10" s="27" t="s">
        <v>1</v>
      </c>
      <c r="M10" s="27" t="s">
        <v>5</v>
      </c>
      <c r="S10" t="s">
        <v>5</v>
      </c>
      <c r="T10" t="s">
        <v>1</v>
      </c>
      <c r="U10" t="s">
        <v>5</v>
      </c>
    </row>
    <row r="11" spans="2:21" ht="21" customHeight="1">
      <c r="B11" s="50" t="str">
        <f>VLOOKUP($C11,'REJOc Haplotypes'!$A$9:$BR$49,3,FALSE)</f>
        <v>A: D279A + N460D</v>
      </c>
      <c r="C11" s="54" t="s">
        <v>34</v>
      </c>
      <c r="D11" s="34">
        <f>VLOOKUP($C11,'REJOc Haplotypes'!$A$9:$BR$49,4,FALSE)</f>
        <v>37.9099</v>
      </c>
      <c r="E11" s="62">
        <f>GEOMEAN(D11:D21)</f>
        <v>65.888024896707847</v>
      </c>
      <c r="F11" s="34">
        <f>VLOOKUP($C11,'REJOc Haplotypes'!$A$9:$BR$49,5,FALSE)</f>
        <v>5</v>
      </c>
      <c r="G11" s="65">
        <f>GEOMEAN(F11:F21)</f>
        <v>4.5762167609458428</v>
      </c>
      <c r="H11" s="39">
        <f>VLOOKUP(C11,'setpoint vl'!$A$1:$D$100,4,FALSE)</f>
        <v>404054.50233333342</v>
      </c>
      <c r="I11" s="68">
        <f>GEOMEAN(H11:H21)</f>
        <v>385650.45534444012</v>
      </c>
      <c r="J11" s="28"/>
      <c r="K11" s="55">
        <v>0</v>
      </c>
      <c r="L11" s="55">
        <v>0.87471198156681995</v>
      </c>
      <c r="M11" s="56">
        <v>0.99687743950038998</v>
      </c>
      <c r="P11" t="s">
        <v>34</v>
      </c>
      <c r="Q11" t="s">
        <v>1</v>
      </c>
      <c r="S11" s="41">
        <v>0</v>
      </c>
      <c r="T11" s="41">
        <v>0.87471198156681995</v>
      </c>
      <c r="U11" s="41">
        <v>0.99687743950038998</v>
      </c>
    </row>
    <row r="12" spans="2:21" ht="21" customHeight="1">
      <c r="B12" s="51" t="str">
        <f>VLOOKUP($C12,'REJOc Haplotypes'!$A$9:$BR$49,3,FALSE)</f>
        <v>A: D279A + N460D</v>
      </c>
      <c r="C12" t="s">
        <v>28</v>
      </c>
      <c r="D12" s="45">
        <f>VLOOKUP($C12,'REJOc Haplotypes'!$A$9:$BR$49,4,FALSE)</f>
        <v>79.2136</v>
      </c>
      <c r="E12" s="63"/>
      <c r="F12" s="45">
        <f>VLOOKUP($C12,'REJOc Haplotypes'!$A$9:$BR$49,5,FALSE)</f>
        <v>4</v>
      </c>
      <c r="G12" s="66"/>
      <c r="H12" s="48">
        <f>VLOOKUP(C12,'setpoint vl'!$A$1:$D$100,4,FALSE)</f>
        <v>394453.68814233347</v>
      </c>
      <c r="I12" s="69"/>
      <c r="J12" s="25"/>
      <c r="K12" s="53">
        <v>0</v>
      </c>
      <c r="L12" s="53">
        <v>0.99401631912964605</v>
      </c>
      <c r="M12" s="57">
        <v>0.99540018399263996</v>
      </c>
      <c r="P12" t="s">
        <v>28</v>
      </c>
      <c r="Q12" t="s">
        <v>1</v>
      </c>
      <c r="S12" s="41">
        <v>0</v>
      </c>
      <c r="T12" s="41">
        <v>0.99401631912964605</v>
      </c>
      <c r="U12" s="41">
        <v>0.99540018399263996</v>
      </c>
    </row>
    <row r="13" spans="2:21" ht="21" customHeight="1">
      <c r="B13" s="51" t="str">
        <f>VLOOKUP($C13,'REJOc Haplotypes'!$A$9:$BR$49,3,FALSE)</f>
        <v>A: D279A + N460D</v>
      </c>
      <c r="C13" t="s">
        <v>247</v>
      </c>
      <c r="D13" s="45">
        <f>VLOOKUP($C13,'REJOc Haplotypes'!$A$9:$BR$49,4,FALSE)</f>
        <v>49.630800000000001</v>
      </c>
      <c r="E13" s="63"/>
      <c r="F13" s="45">
        <f>VLOOKUP($C13,'REJOc Haplotypes'!$A$9:$BR$49,5,FALSE)</f>
        <v>4</v>
      </c>
      <c r="G13" s="66"/>
      <c r="H13" s="48">
        <f>VLOOKUP(C13,'setpoint vl'!$A$1:$D$100,4,FALSE)</f>
        <v>346590.39251928561</v>
      </c>
      <c r="I13" s="69"/>
      <c r="J13" s="25"/>
      <c r="K13" s="53">
        <v>0</v>
      </c>
      <c r="L13" s="53">
        <v>0.995848161328588</v>
      </c>
      <c r="M13" s="57">
        <v>0.98846947445078204</v>
      </c>
      <c r="P13" t="s">
        <v>247</v>
      </c>
      <c r="Q13" t="s">
        <v>1</v>
      </c>
      <c r="S13" s="41">
        <v>0</v>
      </c>
      <c r="T13" s="41">
        <v>0.995848161328588</v>
      </c>
      <c r="U13" s="41">
        <v>0.98846947445078204</v>
      </c>
    </row>
    <row r="14" spans="2:21" ht="21" customHeight="1">
      <c r="B14" s="51" t="str">
        <f>VLOOKUP($C14,'REJOc Haplotypes'!$A$9:$BR$49,3,FALSE)</f>
        <v>A: D279A + N460D</v>
      </c>
      <c r="C14" t="s">
        <v>23</v>
      </c>
      <c r="D14" s="45">
        <f>VLOOKUP($C14,'REJOc Haplotypes'!$A$9:$BR$49,4,FALSE)</f>
        <v>177.065</v>
      </c>
      <c r="E14" s="63"/>
      <c r="F14" s="45">
        <f>VLOOKUP($C14,'REJOc Haplotypes'!$A$9:$BR$49,5,FALSE)</f>
        <v>5</v>
      </c>
      <c r="G14" s="66"/>
      <c r="H14" s="48">
        <f>VLOOKUP(C14,'setpoint vl'!$A$1:$D$100,4,FALSE)</f>
        <v>552020.10695800011</v>
      </c>
      <c r="I14" s="69"/>
      <c r="J14" s="25"/>
      <c r="K14" s="53">
        <v>0</v>
      </c>
      <c r="L14" s="53">
        <v>0.99166666666666603</v>
      </c>
      <c r="M14" s="57">
        <v>0.98684210526315796</v>
      </c>
      <c r="P14" t="s">
        <v>23</v>
      </c>
      <c r="Q14" t="s">
        <v>1</v>
      </c>
      <c r="S14" s="41">
        <v>0</v>
      </c>
      <c r="T14" s="41">
        <v>0.99166666666666603</v>
      </c>
      <c r="U14" s="41">
        <v>0.98684210526315796</v>
      </c>
    </row>
    <row r="15" spans="2:21" ht="21" customHeight="1">
      <c r="B15" s="51" t="str">
        <f>VLOOKUP($C15,'REJOc Haplotypes'!$A$9:$BR$49,3,FALSE)</f>
        <v>A: D279A + N460D</v>
      </c>
      <c r="C15" t="s">
        <v>15</v>
      </c>
      <c r="D15" s="45">
        <f>VLOOKUP($C15,'REJOc Haplotypes'!$A$9:$BR$49,4,FALSE)</f>
        <v>59.914099999999998</v>
      </c>
      <c r="E15" s="63"/>
      <c r="F15" s="45">
        <f>VLOOKUP($C15,'REJOc Haplotypes'!$A$9:$BR$49,5,FALSE)</f>
        <v>3</v>
      </c>
      <c r="G15" s="66"/>
      <c r="H15" s="48">
        <f>VLOOKUP(C15,'setpoint vl'!$A$1:$D$100,4,FALSE)</f>
        <v>650717.8988995835</v>
      </c>
      <c r="I15" s="69"/>
      <c r="J15" s="25"/>
      <c r="K15" s="53">
        <v>0</v>
      </c>
      <c r="L15" s="53">
        <v>0.96341858206539299</v>
      </c>
      <c r="M15" s="57">
        <v>0.98538991252559005</v>
      </c>
      <c r="P15" t="s">
        <v>15</v>
      </c>
      <c r="Q15" t="s">
        <v>1</v>
      </c>
      <c r="S15" s="41">
        <v>0</v>
      </c>
      <c r="T15" s="41">
        <v>0.96341858206539299</v>
      </c>
      <c r="U15" s="41">
        <v>0.98538991252559005</v>
      </c>
    </row>
    <row r="16" spans="2:21" ht="21" customHeight="1">
      <c r="B16" s="51" t="str">
        <f>VLOOKUP($C16,'REJOc Haplotypes'!$A$9:$BR$49,3,FALSE)</f>
        <v>A: D279A + N460D</v>
      </c>
      <c r="C16" t="s">
        <v>17</v>
      </c>
      <c r="D16" s="45">
        <f>VLOOKUP($C16,'REJOc Haplotypes'!$A$9:$BR$49,4,FALSE)</f>
        <v>39.688000000000002</v>
      </c>
      <c r="E16" s="63"/>
      <c r="F16" s="45">
        <f>VLOOKUP($C16,'REJOc Haplotypes'!$A$9:$BR$49,5,FALSE)</f>
        <v>3</v>
      </c>
      <c r="G16" s="66"/>
      <c r="H16" s="48">
        <f>VLOOKUP(C16,'setpoint vl'!$A$1:$D$100,4,FALSE)</f>
        <v>510268.82400958339</v>
      </c>
      <c r="I16" s="69"/>
      <c r="J16" s="25"/>
      <c r="K16" s="53">
        <v>0</v>
      </c>
      <c r="L16" s="53">
        <v>0.99283234404748499</v>
      </c>
      <c r="M16" s="57">
        <v>0.98057208402036</v>
      </c>
      <c r="P16" t="s">
        <v>17</v>
      </c>
      <c r="Q16" t="s">
        <v>1</v>
      </c>
      <c r="S16" s="41">
        <v>0</v>
      </c>
      <c r="T16" s="41">
        <v>0.99283234404748499</v>
      </c>
      <c r="U16" s="41">
        <v>0.98057208402036</v>
      </c>
    </row>
    <row r="17" spans="2:38" ht="21" customHeight="1">
      <c r="B17" s="51" t="str">
        <f>VLOOKUP($C17,'REJOc Haplotypes'!$A$9:$BR$49,3,FALSE)</f>
        <v>A: D279A + N460D</v>
      </c>
      <c r="C17" t="s">
        <v>24</v>
      </c>
      <c r="D17" s="45">
        <f>VLOOKUP($C17,'REJOc Haplotypes'!$A$9:$BR$49,4,FALSE)</f>
        <v>79.352699999999999</v>
      </c>
      <c r="E17" s="63"/>
      <c r="F17" s="45">
        <f>VLOOKUP($C17,'REJOc Haplotypes'!$A$9:$BR$49,5,FALSE)</f>
        <v>5</v>
      </c>
      <c r="G17" s="66"/>
      <c r="H17" s="48">
        <f>VLOOKUP(C17,'setpoint vl'!$A$1:$D$100,4,FALSE)</f>
        <v>145787.78058272731</v>
      </c>
      <c r="I17" s="69"/>
      <c r="J17" s="25"/>
      <c r="K17" s="53">
        <v>0</v>
      </c>
      <c r="L17" s="53">
        <v>0.99025069637883001</v>
      </c>
      <c r="M17" s="57">
        <v>0.94694244604316502</v>
      </c>
      <c r="P17" t="s">
        <v>24</v>
      </c>
      <c r="Q17" t="s">
        <v>1</v>
      </c>
      <c r="S17" s="41">
        <v>0</v>
      </c>
      <c r="T17" s="41">
        <v>0.99025069637883001</v>
      </c>
      <c r="U17" s="41">
        <v>0.94694244604316502</v>
      </c>
    </row>
    <row r="18" spans="2:38" ht="21" customHeight="1">
      <c r="B18" s="51" t="str">
        <f>VLOOKUP($C18,'REJOc Haplotypes'!$A$9:$BR$49,3,FALSE)</f>
        <v>A: D279A + N460D</v>
      </c>
      <c r="C18" t="s">
        <v>37</v>
      </c>
      <c r="D18" s="45">
        <f>VLOOKUP($C18,'REJOc Haplotypes'!$A$9:$BR$49,4,FALSE)</f>
        <v>70.494699999999995</v>
      </c>
      <c r="E18" s="63"/>
      <c r="F18" s="45">
        <f>VLOOKUP($C18,'REJOc Haplotypes'!$A$9:$BR$49,5,FALSE)</f>
        <v>8</v>
      </c>
      <c r="G18" s="66"/>
      <c r="H18" s="48">
        <f>VLOOKUP(C18,'setpoint vl'!$A$1:$D$100,4,FALSE)</f>
        <v>255968.85500000001</v>
      </c>
      <c r="I18" s="69"/>
      <c r="J18" s="25"/>
      <c r="K18" s="53">
        <v>0</v>
      </c>
      <c r="L18" s="53">
        <v>0.97777777777777697</v>
      </c>
      <c r="M18" s="57">
        <v>0.9296875</v>
      </c>
      <c r="P18" t="s">
        <v>37</v>
      </c>
      <c r="Q18" t="s">
        <v>1</v>
      </c>
      <c r="S18" s="41">
        <v>0</v>
      </c>
      <c r="T18" s="41">
        <v>0.97777777777777697</v>
      </c>
      <c r="U18" s="41">
        <v>0.9296875</v>
      </c>
      <c r="AL18" s="4"/>
    </row>
    <row r="19" spans="2:38" ht="21" customHeight="1">
      <c r="B19" s="51" t="str">
        <f>VLOOKUP($C19,'REJOc Haplotypes'!$A$9:$BR$49,3,FALSE)</f>
        <v>A: D279A + N460D</v>
      </c>
      <c r="C19" t="s">
        <v>18</v>
      </c>
      <c r="D19" s="45">
        <f>VLOOKUP($C19,'REJOc Haplotypes'!$A$9:$BR$49,4,FALSE)</f>
        <v>49.747900000000001</v>
      </c>
      <c r="E19" s="63"/>
      <c r="F19" s="45">
        <f>VLOOKUP($C19,'REJOc Haplotypes'!$A$9:$BR$49,5,FALSE)</f>
        <v>4</v>
      </c>
      <c r="G19" s="66"/>
      <c r="H19" s="48">
        <f>VLOOKUP(C19,'setpoint vl'!$A$1:$D$100,4,FALSE)</f>
        <v>527848.31082000001</v>
      </c>
      <c r="I19" s="69"/>
      <c r="J19" s="25"/>
      <c r="K19" s="53">
        <v>0</v>
      </c>
      <c r="L19" s="53">
        <v>0.99609952925352996</v>
      </c>
      <c r="M19" s="57">
        <v>0.50078392246294101</v>
      </c>
      <c r="P19" t="s">
        <v>18</v>
      </c>
      <c r="Q19" t="s">
        <v>1</v>
      </c>
      <c r="S19" s="41">
        <v>0</v>
      </c>
      <c r="T19" s="41">
        <v>0.99609952925352996</v>
      </c>
      <c r="U19" s="41">
        <v>0.50078392246294101</v>
      </c>
      <c r="AL19" s="4"/>
    </row>
    <row r="20" spans="2:38" ht="21" customHeight="1">
      <c r="B20" s="51" t="str">
        <f>VLOOKUP($C20,'REJOc Haplotypes'!$A$9:$BR$49,3,FALSE)</f>
        <v>A: D279A + N460D</v>
      </c>
      <c r="C20" t="s">
        <v>21</v>
      </c>
      <c r="D20" s="45">
        <f>VLOOKUP($C20,'REJOc Haplotypes'!$A$9:$BR$49,4,FALSE)</f>
        <v>77.971800000000002</v>
      </c>
      <c r="E20" s="63"/>
      <c r="F20" s="45">
        <f>VLOOKUP($C20,'REJOc Haplotypes'!$A$9:$BR$49,5,FALSE)</f>
        <v>8</v>
      </c>
      <c r="G20" s="66"/>
      <c r="H20" s="48">
        <f>VLOOKUP(C20,'setpoint vl'!$A$1:$D$100,4,FALSE)</f>
        <v>421531.51779499993</v>
      </c>
      <c r="I20" s="69"/>
      <c r="J20" s="25"/>
      <c r="K20" s="53">
        <v>0</v>
      </c>
      <c r="L20" s="53">
        <v>0.991406473789745</v>
      </c>
      <c r="M20" s="57">
        <v>0.14587440157702</v>
      </c>
      <c r="P20" t="s">
        <v>21</v>
      </c>
      <c r="Q20" t="s">
        <v>1</v>
      </c>
      <c r="S20" s="41">
        <v>0</v>
      </c>
      <c r="T20" s="41">
        <v>0.991406473789745</v>
      </c>
      <c r="U20" s="41">
        <v>0.14587440157702</v>
      </c>
      <c r="AL20" s="4"/>
    </row>
    <row r="21" spans="2:38" ht="21" customHeight="1" thickBot="1">
      <c r="B21" s="52" t="str">
        <f>VLOOKUP($C21,'REJOc Haplotypes'!$A$9:$BR$49,3,FALSE)</f>
        <v>A: D279A + N460D</v>
      </c>
      <c r="C21" s="58" t="s">
        <v>16</v>
      </c>
      <c r="D21" s="35">
        <f>VLOOKUP($C21,'REJOc Haplotypes'!$A$9:$BR$49,4,FALSE)</f>
        <v>74.613299999999995</v>
      </c>
      <c r="E21" s="64"/>
      <c r="F21" s="35">
        <f>VLOOKUP($C21,'REJOc Haplotypes'!$A$9:$BR$49,5,FALSE)</f>
        <v>4</v>
      </c>
      <c r="G21" s="67"/>
      <c r="H21" s="40">
        <f>VLOOKUP(C21,'setpoint vl'!$A$1:$D$100,4,FALSE)</f>
        <v>333799.52829772723</v>
      </c>
      <c r="I21" s="70"/>
      <c r="J21" s="29"/>
      <c r="K21" s="59">
        <v>0</v>
      </c>
      <c r="L21" s="59">
        <v>0.992644895557516</v>
      </c>
      <c r="M21" s="60">
        <v>0.14478396708069799</v>
      </c>
      <c r="P21" t="s">
        <v>16</v>
      </c>
      <c r="Q21" t="s">
        <v>1</v>
      </c>
      <c r="S21" s="41">
        <v>0</v>
      </c>
      <c r="T21" s="41">
        <v>0.992644895557516</v>
      </c>
      <c r="U21" s="41">
        <v>0.14478396708069799</v>
      </c>
      <c r="AL21" s="4"/>
    </row>
    <row r="22" spans="2:38" ht="21" customHeight="1">
      <c r="B22" s="50" t="str">
        <f>VLOOKUP($C22,'REJOc Haplotypes'!$A$9:$BR$49,3,FALSE)</f>
        <v>B: D279A + N276D</v>
      </c>
      <c r="C22" s="54" t="s">
        <v>38</v>
      </c>
      <c r="D22" s="34">
        <f>VLOOKUP($C22,'REJOc Haplotypes'!$A$9:$BR$49,4,FALSE)</f>
        <v>109.98560000000001</v>
      </c>
      <c r="E22" s="62">
        <f>GEOMEAN(D22:D26)</f>
        <v>68.523412896381714</v>
      </c>
      <c r="F22" s="34">
        <f>VLOOKUP($C22,'REJOc Haplotypes'!$A$9:$BR$49,5,FALSE)</f>
        <v>2</v>
      </c>
      <c r="G22" s="65">
        <f>GEOMEAN(F22:F26)</f>
        <v>3.8980598409161895</v>
      </c>
      <c r="H22" s="39">
        <f>VLOOKUP(C22,'setpoint vl'!$A$1:$D$100,4,FALSE)</f>
        <v>122541.87394736844</v>
      </c>
      <c r="I22" s="68">
        <f>GEOMEAN(H22:H26)</f>
        <v>607192.33090964064</v>
      </c>
      <c r="J22" s="28"/>
      <c r="K22" s="55">
        <v>0.99570200573065903</v>
      </c>
      <c r="L22" s="55">
        <v>0.99712643678160895</v>
      </c>
      <c r="M22" s="56">
        <v>0</v>
      </c>
      <c r="P22" t="s">
        <v>38</v>
      </c>
      <c r="Q22" t="s">
        <v>49</v>
      </c>
      <c r="S22" s="41">
        <v>0.99570200573065903</v>
      </c>
      <c r="T22" s="41">
        <v>0.99712643678160895</v>
      </c>
      <c r="U22" s="41">
        <v>0</v>
      </c>
      <c r="AL22" s="4"/>
    </row>
    <row r="23" spans="2:38" ht="21" customHeight="1">
      <c r="B23" s="51" t="str">
        <f>VLOOKUP($C23,'REJOc Haplotypes'!$A$9:$BR$49,3,FALSE)</f>
        <v>B: D279A + N276D</v>
      </c>
      <c r="C23" t="s">
        <v>36</v>
      </c>
      <c r="D23" s="45">
        <f>VLOOKUP($C23,'REJOc Haplotypes'!$A$9:$BR$49,4,FALSE)</f>
        <v>32.744700000000002</v>
      </c>
      <c r="E23" s="63"/>
      <c r="F23" s="45">
        <f>VLOOKUP($C23,'REJOc Haplotypes'!$A$9:$BR$49,5,FALSE)</f>
        <v>5</v>
      </c>
      <c r="G23" s="66"/>
      <c r="H23" s="48">
        <f>VLOOKUP(C23,'setpoint vl'!$A$1:$D$100,4,FALSE)</f>
        <v>720801.07352941181</v>
      </c>
      <c r="I23" s="69"/>
      <c r="J23" s="25"/>
      <c r="K23" s="53">
        <v>0.99567847882454596</v>
      </c>
      <c r="L23" s="53">
        <v>0.99453237410071904</v>
      </c>
      <c r="M23" s="57">
        <v>0</v>
      </c>
      <c r="P23" t="s">
        <v>36</v>
      </c>
      <c r="Q23" t="s">
        <v>49</v>
      </c>
      <c r="S23" s="41">
        <v>0.99567847882454596</v>
      </c>
      <c r="T23" s="41">
        <v>0.99453237410071904</v>
      </c>
      <c r="U23" s="41">
        <v>0</v>
      </c>
      <c r="AL23" s="4"/>
    </row>
    <row r="24" spans="2:38" ht="21" customHeight="1">
      <c r="B24" s="51" t="str">
        <f>VLOOKUP($C24,'REJOc Haplotypes'!$A$9:$BR$49,3,FALSE)</f>
        <v>B: D279A + N276D</v>
      </c>
      <c r="C24" t="s">
        <v>22</v>
      </c>
      <c r="D24" s="45">
        <f>VLOOKUP($C24,'REJOc Haplotypes'!$A$9:$BR$49,4,FALSE)</f>
        <v>185.36500000000001</v>
      </c>
      <c r="E24" s="63"/>
      <c r="F24" s="45">
        <f>VLOOKUP($C24,'REJOc Haplotypes'!$A$9:$BR$49,5,FALSE)</f>
        <v>5</v>
      </c>
      <c r="G24" s="66"/>
      <c r="H24" s="48">
        <f>VLOOKUP(C24,'setpoint vl'!$A$1:$D$100,4,FALSE)</f>
        <v>798264.47195076931</v>
      </c>
      <c r="I24" s="69"/>
      <c r="J24" s="25"/>
      <c r="K24" s="53">
        <v>0.994773766</v>
      </c>
      <c r="L24" s="53">
        <v>0.99236288899999903</v>
      </c>
      <c r="M24" s="57">
        <v>0</v>
      </c>
      <c r="P24" t="s">
        <v>22</v>
      </c>
      <c r="Q24" t="s">
        <v>49</v>
      </c>
      <c r="S24" s="41">
        <v>0.994773766</v>
      </c>
      <c r="T24" s="41">
        <v>0.99236288899999903</v>
      </c>
      <c r="U24" s="41">
        <v>0</v>
      </c>
    </row>
    <row r="25" spans="2:38" ht="21" customHeight="1">
      <c r="B25" s="51" t="str">
        <f>VLOOKUP($C25,'REJOc Haplotypes'!$A$9:$BR$49,3,FALSE)</f>
        <v>B: D279A + N276D</v>
      </c>
      <c r="C25" t="s">
        <v>19</v>
      </c>
      <c r="D25" s="45">
        <f>VLOOKUP($C25,'REJOc Haplotypes'!$A$9:$BR$49,4,FALSE)</f>
        <v>65.932000000000002</v>
      </c>
      <c r="E25" s="63"/>
      <c r="F25" s="45">
        <f>VLOOKUP($C25,'REJOc Haplotypes'!$A$9:$BR$49,5,FALSE)</f>
        <v>6</v>
      </c>
      <c r="G25" s="66"/>
      <c r="H25" s="48">
        <f>VLOOKUP(C25,'setpoint vl'!$A$1:$D$100,4,FALSE)</f>
        <v>1244025.29145125</v>
      </c>
      <c r="I25" s="69"/>
      <c r="J25" s="25"/>
      <c r="K25" s="53">
        <v>0.72665036674816597</v>
      </c>
      <c r="L25" s="53">
        <v>0.98327594687653697</v>
      </c>
      <c r="M25" s="57">
        <v>0</v>
      </c>
      <c r="P25" t="s">
        <v>19</v>
      </c>
      <c r="Q25" t="s">
        <v>49</v>
      </c>
      <c r="S25" s="41">
        <v>0.72665036674816597</v>
      </c>
      <c r="T25" s="41">
        <v>0.98327594687653697</v>
      </c>
      <c r="U25" s="41">
        <v>0</v>
      </c>
    </row>
    <row r="26" spans="2:38" ht="21" customHeight="1" thickBot="1">
      <c r="B26" s="52" t="str">
        <f>VLOOKUP($C26,'REJOc Haplotypes'!$A$9:$BR$49,3,FALSE)</f>
        <v>B: D279A + N276D</v>
      </c>
      <c r="C26" s="58" t="s">
        <v>25</v>
      </c>
      <c r="D26" s="35">
        <f>VLOOKUP($C26,'REJOc Haplotypes'!$A$9:$BR$49,4,FALSE)</f>
        <v>34.323700000000002</v>
      </c>
      <c r="E26" s="64"/>
      <c r="F26" s="35">
        <f>VLOOKUP($C26,'REJOc Haplotypes'!$A$9:$BR$49,5,FALSE)</f>
        <v>3</v>
      </c>
      <c r="G26" s="67"/>
      <c r="H26" s="40">
        <f>VLOOKUP(C26,'setpoint vl'!$A$1:$D$100,4,FALSE)</f>
        <v>940925.92637499992</v>
      </c>
      <c r="I26" s="70"/>
      <c r="J26" s="29"/>
      <c r="K26" s="59">
        <v>0.36007326007326002</v>
      </c>
      <c r="L26" s="59">
        <v>0.99175721243911497</v>
      </c>
      <c r="M26" s="60">
        <v>0</v>
      </c>
      <c r="P26" t="s">
        <v>25</v>
      </c>
      <c r="Q26" t="s">
        <v>49</v>
      </c>
      <c r="S26" s="41">
        <v>0.36007326007326002</v>
      </c>
      <c r="T26" s="41">
        <v>0.99175721243911497</v>
      </c>
      <c r="U26" s="41">
        <v>0</v>
      </c>
    </row>
    <row r="27" spans="2:38" ht="21" customHeight="1">
      <c r="B27" s="50" t="str">
        <f>VLOOKUP($C27,'REJOc Haplotypes'!$A$9:$BR$49,3,FALSE)</f>
        <v>C: D279A + Other</v>
      </c>
      <c r="C27" s="54" t="s">
        <v>248</v>
      </c>
      <c r="D27" s="34">
        <f>VLOOKUP($C27,'REJOc Haplotypes'!$A$9:$BR$49,4,FALSE)</f>
        <v>45.046700000000001</v>
      </c>
      <c r="E27" s="62">
        <f>GEOMEAN(D27:D30)</f>
        <v>57.622468224196311</v>
      </c>
      <c r="F27" s="34">
        <f>VLOOKUP($C27,'REJOc Haplotypes'!$A$9:$BR$49,5,FALSE)</f>
        <v>4</v>
      </c>
      <c r="G27" s="65">
        <f>GEOMEAN(F27:F30)</f>
        <v>4.8645985581955751</v>
      </c>
      <c r="H27" s="39">
        <f>VLOOKUP(C27,'setpoint vl'!$A$1:$D$100,4,FALSE)</f>
        <v>297641.83426999999</v>
      </c>
      <c r="I27" s="68">
        <f>GEOMEAN(H27:H30)</f>
        <v>350756.92716130539</v>
      </c>
      <c r="J27" s="28"/>
      <c r="K27" s="55">
        <v>0</v>
      </c>
      <c r="L27" s="55">
        <v>0.99876847290640403</v>
      </c>
      <c r="M27" s="56">
        <v>0</v>
      </c>
      <c r="P27" t="s">
        <v>248</v>
      </c>
      <c r="Q27" t="s">
        <v>50</v>
      </c>
      <c r="S27" s="41">
        <v>0</v>
      </c>
      <c r="T27" s="41">
        <v>0.99876847290640403</v>
      </c>
      <c r="U27" s="41">
        <v>0</v>
      </c>
    </row>
    <row r="28" spans="2:38" ht="21" customHeight="1">
      <c r="B28" s="51" t="str">
        <f>VLOOKUP($C28,'REJOc Haplotypes'!$A$9:$BR$49,3,FALSE)</f>
        <v>C: D279A + Other</v>
      </c>
      <c r="C28" t="s">
        <v>32</v>
      </c>
      <c r="D28" s="45">
        <f>VLOOKUP($C28,'REJOc Haplotypes'!$A$9:$BR$49,4,FALSE)</f>
        <v>32.966000000000001</v>
      </c>
      <c r="E28" s="63"/>
      <c r="F28" s="45">
        <f>VLOOKUP($C28,'REJOc Haplotypes'!$A$9:$BR$49,5,FALSE)</f>
        <v>7</v>
      </c>
      <c r="G28" s="66"/>
      <c r="H28" s="48">
        <f>VLOOKUP(C28,'setpoint vl'!$A$1:$D$100,4,FALSE)</f>
        <v>100475.33500000001</v>
      </c>
      <c r="I28" s="69"/>
      <c r="J28" s="25"/>
      <c r="K28" s="53">
        <v>0</v>
      </c>
      <c r="L28" s="53">
        <v>0.995042812</v>
      </c>
      <c r="M28" s="57">
        <v>0</v>
      </c>
      <c r="P28" t="s">
        <v>32</v>
      </c>
      <c r="Q28" t="s">
        <v>50</v>
      </c>
      <c r="S28" s="41">
        <v>0</v>
      </c>
      <c r="T28" s="41">
        <v>0.995042812</v>
      </c>
      <c r="U28" s="41">
        <v>0</v>
      </c>
    </row>
    <row r="29" spans="2:38" ht="21" customHeight="1">
      <c r="B29" s="51" t="str">
        <f>VLOOKUP($C29,'REJOc Haplotypes'!$A$9:$BR$49,3,FALSE)</f>
        <v>C: D279A + Other</v>
      </c>
      <c r="C29" t="s">
        <v>14</v>
      </c>
      <c r="D29" s="45">
        <f>VLOOKUP($C29,'REJOc Haplotypes'!$A$9:$BR$49,4,FALSE)</f>
        <v>75.524100000000004</v>
      </c>
      <c r="E29" s="63"/>
      <c r="F29" s="45">
        <f>VLOOKUP($C29,'REJOc Haplotypes'!$A$9:$BR$49,5,FALSE)</f>
        <v>10</v>
      </c>
      <c r="G29" s="66"/>
      <c r="H29" s="48">
        <f>VLOOKUP(C29,'setpoint vl'!$A$1:$D$100,4,FALSE)</f>
        <v>792706.09000000008</v>
      </c>
      <c r="I29" s="69"/>
      <c r="J29" s="25"/>
      <c r="K29" s="53">
        <v>0</v>
      </c>
      <c r="L29" s="53">
        <v>0.98674285714285703</v>
      </c>
      <c r="M29" s="57">
        <v>0</v>
      </c>
      <c r="P29" t="s">
        <v>14</v>
      </c>
      <c r="Q29" t="s">
        <v>50</v>
      </c>
      <c r="S29" s="41">
        <v>0</v>
      </c>
      <c r="T29" s="41">
        <v>0.98674285714285703</v>
      </c>
      <c r="U29" s="41">
        <v>0</v>
      </c>
    </row>
    <row r="30" spans="2:38" ht="21" customHeight="1" thickBot="1">
      <c r="B30" s="51" t="str">
        <f>VLOOKUP($C30,'REJOc Haplotypes'!$A$9:$BR$49,3,FALSE)</f>
        <v>C: D279A + Other</v>
      </c>
      <c r="C30" t="s">
        <v>39</v>
      </c>
      <c r="D30" s="45">
        <f>VLOOKUP($C30,'REJOc Haplotypes'!$A$9:$BR$49,4,FALSE)</f>
        <v>98.299800000000005</v>
      </c>
      <c r="E30" s="64"/>
      <c r="F30" s="45">
        <f>VLOOKUP($C30,'REJOc Haplotypes'!$A$9:$BR$49,5,FALSE)</f>
        <v>2</v>
      </c>
      <c r="G30" s="67"/>
      <c r="H30" s="48">
        <f>VLOOKUP(C30,'setpoint vl'!$A$1:$D$100,4,FALSE)</f>
        <v>638497.78812500008</v>
      </c>
      <c r="I30" s="70"/>
      <c r="J30" s="25"/>
      <c r="K30" s="53">
        <v>0</v>
      </c>
      <c r="L30" s="53">
        <v>0.61190476199999999</v>
      </c>
      <c r="M30" s="57">
        <v>0</v>
      </c>
      <c r="P30" t="s">
        <v>39</v>
      </c>
      <c r="Q30" t="s">
        <v>50</v>
      </c>
      <c r="S30" s="41">
        <v>0</v>
      </c>
      <c r="T30" s="41">
        <v>0.61190476199999999</v>
      </c>
      <c r="U30" s="41">
        <v>0</v>
      </c>
    </row>
    <row r="31" spans="2:38" ht="21" customHeight="1">
      <c r="B31" s="50" t="str">
        <f>VLOOKUP($C31,'REJOc Haplotypes'!$A$9:$BR$49,3,FALSE)</f>
        <v>D: Other</v>
      </c>
      <c r="C31" s="54" t="s">
        <v>31</v>
      </c>
      <c r="D31" s="34">
        <f>VLOOKUP($C31,'REJOc Haplotypes'!$A$9:$BR$49,4,FALSE)</f>
        <v>20.088000000000001</v>
      </c>
      <c r="E31" s="62">
        <f>GEOMEAN(D31:D35)</f>
        <v>36.151831830623877</v>
      </c>
      <c r="F31" s="34">
        <f>VLOOKUP($C31,'REJOc Haplotypes'!$A$9:$BR$49,5,FALSE)</f>
        <v>12</v>
      </c>
      <c r="G31" s="65">
        <f>GEOMEAN(F31:F35)</f>
        <v>10.713163020615335</v>
      </c>
      <c r="H31" s="39">
        <f>VLOOKUP(C31,'setpoint vl'!$A$1:$D$100,4,FALSE)</f>
        <v>806206.60250000004</v>
      </c>
      <c r="I31" s="68">
        <f>GEOMEAN(H31:H35)</f>
        <v>236602.80106340771</v>
      </c>
      <c r="J31" s="28"/>
      <c r="K31" s="55">
        <v>0</v>
      </c>
      <c r="L31" s="55">
        <v>0</v>
      </c>
      <c r="M31" s="56">
        <v>0</v>
      </c>
      <c r="P31" t="s">
        <v>31</v>
      </c>
      <c r="Q31" t="s">
        <v>5</v>
      </c>
      <c r="S31" s="41">
        <v>0</v>
      </c>
      <c r="T31" s="41">
        <v>0</v>
      </c>
      <c r="U31" s="41">
        <v>0</v>
      </c>
    </row>
    <row r="32" spans="2:38" ht="21" customHeight="1">
      <c r="B32" s="51" t="str">
        <f>VLOOKUP($C32,'REJOc Haplotypes'!$A$9:$BR$49,3,FALSE)</f>
        <v>D: Other</v>
      </c>
      <c r="C32" t="s">
        <v>33</v>
      </c>
      <c r="D32" s="45">
        <f>VLOOKUP($C32,'REJOc Haplotypes'!$A$9:$BR$49,4,FALSE)</f>
        <v>18.200299999999999</v>
      </c>
      <c r="E32" s="63"/>
      <c r="F32" s="45">
        <f>VLOOKUP($C32,'REJOc Haplotypes'!$A$9:$BR$49,5,FALSE)</f>
        <v>4</v>
      </c>
      <c r="G32" s="66"/>
      <c r="H32" s="48">
        <f>VLOOKUP(C32,'setpoint vl'!$A$1:$D$100,4,FALSE)</f>
        <v>271203.90000000002</v>
      </c>
      <c r="I32" s="69"/>
      <c r="J32" s="25"/>
      <c r="K32" s="53">
        <v>0</v>
      </c>
      <c r="L32" s="53">
        <v>0</v>
      </c>
      <c r="M32" s="57">
        <v>0</v>
      </c>
      <c r="P32" t="s">
        <v>33</v>
      </c>
      <c r="Q32" t="s">
        <v>5</v>
      </c>
      <c r="S32" s="41">
        <v>0</v>
      </c>
      <c r="T32" s="41">
        <v>0</v>
      </c>
      <c r="U32" s="41">
        <v>0</v>
      </c>
    </row>
    <row r="33" spans="2:21" ht="21" customHeight="1">
      <c r="B33" s="51" t="str">
        <f>VLOOKUP($C33,'REJOc Haplotypes'!$A$9:$BR$49,3,FALSE)</f>
        <v>D: Other</v>
      </c>
      <c r="C33" t="s">
        <v>35</v>
      </c>
      <c r="D33" s="45">
        <f>VLOOKUP($C33,'REJOc Haplotypes'!$A$9:$BR$49,4,FALSE)</f>
        <v>33.626800000000003</v>
      </c>
      <c r="E33" s="63"/>
      <c r="F33" s="45">
        <f>VLOOKUP($C33,'REJOc Haplotypes'!$A$9:$BR$49,5,FALSE)</f>
        <v>14</v>
      </c>
      <c r="G33" s="66"/>
      <c r="H33" s="48">
        <f>VLOOKUP(C33,'setpoint vl'!$A$1:$D$100,4,FALSE)</f>
        <v>199202.09</v>
      </c>
      <c r="I33" s="69"/>
      <c r="J33" s="25"/>
      <c r="K33" s="53">
        <v>0</v>
      </c>
      <c r="L33" s="53">
        <v>0</v>
      </c>
      <c r="M33" s="57">
        <v>0</v>
      </c>
      <c r="P33" t="s">
        <v>35</v>
      </c>
      <c r="Q33" t="s">
        <v>5</v>
      </c>
      <c r="S33" s="41">
        <v>0</v>
      </c>
      <c r="T33" s="41">
        <v>0</v>
      </c>
      <c r="U33" s="41">
        <v>0</v>
      </c>
    </row>
    <row r="34" spans="2:21" ht="21" customHeight="1">
      <c r="B34" s="51" t="str">
        <f>VLOOKUP($C34,'REJOc Haplotypes'!$A$9:$BR$49,3,FALSE)</f>
        <v>D: Other</v>
      </c>
      <c r="C34" t="s">
        <v>26</v>
      </c>
      <c r="D34" s="45">
        <f>VLOOKUP($C34,'REJOc Haplotypes'!$A$9:$BR$49,4,FALSE)</f>
        <v>71.940799999999996</v>
      </c>
      <c r="E34" s="63"/>
      <c r="F34" s="45">
        <f>VLOOKUP($C34,'REJOc Haplotypes'!$A$9:$BR$49,5,FALSE)</f>
        <v>14</v>
      </c>
      <c r="G34" s="66"/>
      <c r="H34" s="48">
        <f>VLOOKUP(C34,'setpoint vl'!$A$1:$D$100,4,FALSE)</f>
        <v>1293465.7669500001</v>
      </c>
      <c r="I34" s="69"/>
      <c r="J34" s="25"/>
      <c r="K34" s="53">
        <v>0</v>
      </c>
      <c r="L34" s="53">
        <v>0</v>
      </c>
      <c r="M34" s="57">
        <v>0</v>
      </c>
      <c r="P34" t="s">
        <v>26</v>
      </c>
      <c r="Q34" t="s">
        <v>5</v>
      </c>
      <c r="S34" s="41">
        <v>0</v>
      </c>
      <c r="T34" s="41">
        <v>0</v>
      </c>
      <c r="U34" s="41">
        <v>0</v>
      </c>
    </row>
    <row r="35" spans="2:21" ht="21" customHeight="1" thickBot="1">
      <c r="B35" s="52" t="str">
        <f>VLOOKUP($C35,'REJOc Haplotypes'!$A$9:$BR$49,3,FALSE)</f>
        <v>D: Other</v>
      </c>
      <c r="C35" s="58" t="s">
        <v>20</v>
      </c>
      <c r="D35" s="35">
        <f>VLOOKUP($C35,'REJOc Haplotypes'!$A$9:$BR$49,4,FALSE)</f>
        <v>69.819299999999998</v>
      </c>
      <c r="E35" s="64"/>
      <c r="F35" s="35">
        <f>VLOOKUP($C35,'REJOc Haplotypes'!$A$9:$BR$49,5,FALSE)</f>
        <v>15</v>
      </c>
      <c r="G35" s="67"/>
      <c r="H35" s="40">
        <f>VLOOKUP(C35,'setpoint vl'!$A$1:$D$100,4,FALSE)</f>
        <v>13161.588189999999</v>
      </c>
      <c r="I35" s="70"/>
      <c r="J35" s="29"/>
      <c r="K35" s="59">
        <v>0</v>
      </c>
      <c r="L35" s="59">
        <v>0</v>
      </c>
      <c r="M35" s="60">
        <v>0</v>
      </c>
      <c r="P35" t="s">
        <v>20</v>
      </c>
      <c r="S35" s="41">
        <v>0</v>
      </c>
      <c r="T35" s="41">
        <v>0</v>
      </c>
      <c r="U35" s="41">
        <v>0</v>
      </c>
    </row>
    <row r="36" spans="2:21" ht="21" customHeight="1">
      <c r="B36" s="43"/>
      <c r="C36" s="44"/>
      <c r="D36" s="45"/>
      <c r="E36" s="46"/>
      <c r="F36" s="45"/>
      <c r="G36" s="47"/>
      <c r="H36" s="48"/>
      <c r="I36" s="49"/>
      <c r="J36" s="25"/>
      <c r="K36" s="24"/>
      <c r="L36" s="24"/>
      <c r="M36" s="24"/>
    </row>
    <row r="37" spans="2:21" ht="21" customHeight="1" thickBot="1">
      <c r="B37" s="43"/>
      <c r="C37" s="44"/>
      <c r="D37" s="45"/>
      <c r="E37" s="46"/>
      <c r="F37" s="45"/>
      <c r="G37" s="47"/>
      <c r="H37" s="48"/>
      <c r="I37" s="49"/>
      <c r="J37" s="25"/>
      <c r="K37" s="24"/>
      <c r="L37" s="24"/>
      <c r="M37" s="24"/>
    </row>
    <row r="38" spans="2:21" ht="19" customHeight="1">
      <c r="C38" s="42"/>
      <c r="D38" s="75">
        <v>0</v>
      </c>
      <c r="E38" s="75"/>
      <c r="F38" s="75">
        <v>2</v>
      </c>
      <c r="G38" s="75"/>
      <c r="H38" s="71">
        <v>10000</v>
      </c>
      <c r="I38" s="71"/>
      <c r="K38" s="73">
        <v>0</v>
      </c>
      <c r="L38" s="73"/>
      <c r="M38" s="73"/>
      <c r="Q38" t="s">
        <v>5</v>
      </c>
    </row>
    <row r="39" spans="2:21" ht="16" customHeight="1">
      <c r="C39" s="42"/>
      <c r="D39" s="76">
        <v>200</v>
      </c>
      <c r="E39" s="76"/>
      <c r="F39" s="76">
        <v>15</v>
      </c>
      <c r="G39" s="76"/>
      <c r="H39" s="72">
        <v>1000000</v>
      </c>
      <c r="I39" s="72"/>
      <c r="K39" s="74">
        <v>1</v>
      </c>
      <c r="L39" s="74"/>
      <c r="M39" s="74"/>
    </row>
    <row r="40" spans="2:21" ht="19">
      <c r="D40" s="7"/>
      <c r="E40" s="7"/>
      <c r="F40" s="7"/>
      <c r="G40" s="7"/>
      <c r="H40" s="37"/>
      <c r="I40" s="37"/>
    </row>
    <row r="41" spans="2:21">
      <c r="H41" s="38"/>
      <c r="I41" s="38"/>
    </row>
  </sheetData>
  <mergeCells count="25">
    <mergeCell ref="H8:I10"/>
    <mergeCell ref="E22:E26"/>
    <mergeCell ref="E27:E30"/>
    <mergeCell ref="E31:E35"/>
    <mergeCell ref="G11:G21"/>
    <mergeCell ref="G22:G26"/>
    <mergeCell ref="G27:G30"/>
    <mergeCell ref="G31:G35"/>
    <mergeCell ref="I11:I21"/>
    <mergeCell ref="I22:I26"/>
    <mergeCell ref="I27:I30"/>
    <mergeCell ref="I31:I35"/>
    <mergeCell ref="B8:B10"/>
    <mergeCell ref="C8:C10"/>
    <mergeCell ref="F7:G10"/>
    <mergeCell ref="D7:E10"/>
    <mergeCell ref="E11:E21"/>
    <mergeCell ref="H38:I38"/>
    <mergeCell ref="H39:I39"/>
    <mergeCell ref="K38:M38"/>
    <mergeCell ref="K39:M39"/>
    <mergeCell ref="D38:E38"/>
    <mergeCell ref="D39:E39"/>
    <mergeCell ref="F38:G38"/>
    <mergeCell ref="F39:G39"/>
  </mergeCells>
  <conditionalFormatting sqref="D40:E41 D38:D39 D11:E11 D22:E22 D12:D21 D27:E27 D23:D26 D31:E31 D28:D30 D36:E37 D32:D35">
    <cfRule type="colorScale" priority="12">
      <colorScale>
        <cfvo type="min"/>
        <cfvo type="max"/>
        <color theme="0"/>
        <color rgb="FFFF2600"/>
      </colorScale>
    </cfRule>
    <cfRule type="colorScale" priority="11">
      <colorScale>
        <cfvo type="min"/>
        <cfvo type="max"/>
        <color theme="0"/>
        <color rgb="FF7030A0"/>
      </colorScale>
    </cfRule>
  </conditionalFormatting>
  <conditionalFormatting sqref="F40:G41 F38:F39 F11:G11 F22:G22 F12:F21 F27:G27 F23:F26 F31:G31 F28:F30 F36:G37 F32:F35">
    <cfRule type="colorScale" priority="8">
      <colorScale>
        <cfvo type="min"/>
        <cfvo type="max"/>
        <color theme="0"/>
        <color theme="5"/>
      </colorScale>
    </cfRule>
    <cfRule type="colorScale" priority="10">
      <colorScale>
        <cfvo type="min"/>
        <cfvo type="max"/>
        <color theme="0"/>
        <color theme="7"/>
      </colorScale>
    </cfRule>
  </conditionalFormatting>
  <conditionalFormatting sqref="H40:I41 H38:H39 H11:I11 H22:I22 H12:H21 H27:I27 H23:H26 H31:I31 H28:H30 H36:I37 H32:H35">
    <cfRule type="colorScale" priority="9">
      <colorScale>
        <cfvo type="min"/>
        <cfvo type="max"/>
        <color theme="0"/>
        <color theme="4"/>
      </colorScale>
    </cfRule>
  </conditionalFormatting>
  <conditionalFormatting sqref="K11:K35">
    <cfRule type="colorScale" priority="59">
      <colorScale>
        <cfvo type="min"/>
        <cfvo type="max"/>
        <color theme="0"/>
        <color rgb="FFFF2600"/>
      </colorScale>
    </cfRule>
  </conditionalFormatting>
  <conditionalFormatting sqref="K38:K39">
    <cfRule type="colorScale" priority="6">
      <colorScale>
        <cfvo type="min"/>
        <cfvo type="max"/>
        <color theme="0"/>
        <color rgb="FFFF2600"/>
      </colorScale>
    </cfRule>
  </conditionalFormatting>
  <conditionalFormatting sqref="K36:M37">
    <cfRule type="colorScale" priority="7">
      <colorScale>
        <cfvo type="min"/>
        <cfvo type="max"/>
        <color theme="0"/>
        <color rgb="FFFF2600"/>
      </colorScale>
    </cfRule>
  </conditionalFormatting>
  <conditionalFormatting sqref="L11:L35">
    <cfRule type="colorScale" priority="61">
      <colorScale>
        <cfvo type="min"/>
        <cfvo type="max"/>
        <color theme="0"/>
        <color rgb="FFFF2600"/>
      </colorScale>
    </cfRule>
  </conditionalFormatting>
  <conditionalFormatting sqref="M11:M35">
    <cfRule type="colorScale" priority="65">
      <colorScale>
        <cfvo type="min"/>
        <cfvo type="max"/>
        <color theme="0"/>
        <color rgb="FFFF2600"/>
      </colorScale>
    </cfRule>
  </conditionalFormatting>
  <conditionalFormatting sqref="S11:T35">
    <cfRule type="colorScale" priority="57">
      <colorScale>
        <cfvo type="min"/>
        <cfvo type="max"/>
        <color theme="0"/>
        <color rgb="FFFF2600"/>
      </colorScale>
    </cfRule>
  </conditionalFormatting>
  <conditionalFormatting sqref="U11:U35">
    <cfRule type="colorScale" priority="63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F11"/>
  <sheetViews>
    <sheetView workbookViewId="0">
      <selection activeCell="F12" sqref="F12"/>
    </sheetView>
  </sheetViews>
  <sheetFormatPr baseColWidth="10" defaultRowHeight="16"/>
  <cols>
    <col min="1" max="1" width="16.33203125" bestFit="1" customWidth="1"/>
    <col min="2" max="2" width="18.5" bestFit="1" customWidth="1"/>
    <col min="3" max="3" width="19.5" bestFit="1" customWidth="1"/>
    <col min="4" max="5" width="17.33203125" customWidth="1"/>
    <col min="6" max="6" width="15.83203125" bestFit="1" customWidth="1"/>
  </cols>
  <sheetData>
    <row r="3" spans="1:6">
      <c r="A3" s="11" t="s">
        <v>12</v>
      </c>
      <c r="B3" t="s">
        <v>375</v>
      </c>
      <c r="C3" t="s">
        <v>379</v>
      </c>
      <c r="D3" s="19"/>
      <c r="E3" s="19" t="s">
        <v>393</v>
      </c>
      <c r="F3" s="19" t="s">
        <v>394</v>
      </c>
    </row>
    <row r="4" spans="1:6">
      <c r="A4" s="2" t="s">
        <v>58</v>
      </c>
      <c r="B4">
        <v>11</v>
      </c>
      <c r="C4" s="4">
        <v>0.42307692307692307</v>
      </c>
      <c r="D4" s="41">
        <f>B4/26</f>
        <v>0.42307692307692307</v>
      </c>
      <c r="E4" s="61">
        <f>B4/SUM(B4,B5)</f>
        <v>0.6470588235294118</v>
      </c>
      <c r="F4" s="61">
        <f>SUM(B4:B5)/SUM(B4:B7)</f>
        <v>0.65384615384615385</v>
      </c>
    </row>
    <row r="5" spans="1:6">
      <c r="A5" s="2" t="s">
        <v>376</v>
      </c>
      <c r="B5">
        <v>6</v>
      </c>
      <c r="C5" s="4">
        <v>0.23076923076923078</v>
      </c>
      <c r="D5" s="41">
        <f t="shared" ref="D5:D7" si="0">B5/26</f>
        <v>0.23076923076923078</v>
      </c>
      <c r="E5" s="61">
        <f>B5/SUM(B4,B5)</f>
        <v>0.35294117647058826</v>
      </c>
    </row>
    <row r="6" spans="1:6">
      <c r="A6" s="2" t="s">
        <v>377</v>
      </c>
      <c r="B6">
        <v>4</v>
      </c>
      <c r="C6" s="4">
        <v>0.15384615384615385</v>
      </c>
      <c r="D6" s="41">
        <f t="shared" si="0"/>
        <v>0.15384615384615385</v>
      </c>
    </row>
    <row r="7" spans="1:6">
      <c r="A7" s="2" t="s">
        <v>378</v>
      </c>
      <c r="B7">
        <v>5</v>
      </c>
      <c r="C7" s="4">
        <v>0.19230769230769232</v>
      </c>
      <c r="D7" s="41">
        <f t="shared" si="0"/>
        <v>0.19230769230769232</v>
      </c>
    </row>
    <row r="8" spans="1:6">
      <c r="A8" s="2" t="s">
        <v>392</v>
      </c>
      <c r="C8" s="4">
        <v>0</v>
      </c>
    </row>
    <row r="9" spans="1:6">
      <c r="A9" s="2" t="s">
        <v>13</v>
      </c>
      <c r="B9">
        <v>26</v>
      </c>
      <c r="C9" s="5">
        <v>1</v>
      </c>
    </row>
    <row r="11" spans="1:6">
      <c r="C11" s="5">
        <f>SUM(C4:C7)</f>
        <v>1</v>
      </c>
      <c r="D11">
        <f>42+23+15+19</f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CK70"/>
  <sheetViews>
    <sheetView topLeftCell="A7" zoomScale="120" zoomScaleNormal="120" workbookViewId="0">
      <selection activeCell="H10" sqref="H10"/>
    </sheetView>
  </sheetViews>
  <sheetFormatPr baseColWidth="10" defaultRowHeight="16"/>
  <cols>
    <col min="1" max="1" width="15.33203125" bestFit="1" customWidth="1"/>
    <col min="2" max="2" width="11.33203125" customWidth="1"/>
    <col min="3" max="3" width="19.6640625" customWidth="1"/>
    <col min="4" max="4" width="24.1640625" bestFit="1" customWidth="1"/>
    <col min="5" max="5" width="17.83203125" customWidth="1"/>
    <col min="6" max="8" width="15.5" customWidth="1"/>
    <col min="9" max="9" width="12" bestFit="1" customWidth="1"/>
    <col min="10" max="20" width="9.1640625" bestFit="1" customWidth="1"/>
    <col min="32" max="32" width="14" bestFit="1" customWidth="1"/>
    <col min="33" max="33" width="16" bestFit="1" customWidth="1"/>
  </cols>
  <sheetData>
    <row r="3" spans="1:89">
      <c r="AA3" s="1"/>
      <c r="AB3" s="1"/>
      <c r="AC3" s="1"/>
      <c r="AD3" s="1"/>
    </row>
    <row r="4" spans="1:89">
      <c r="AA4" s="1"/>
      <c r="AB4" s="1"/>
      <c r="AC4" s="1"/>
      <c r="AD4" s="1"/>
    </row>
    <row r="5" spans="1:89">
      <c r="AA5" s="1"/>
      <c r="AB5" s="1"/>
      <c r="AC5" s="1"/>
    </row>
    <row r="6" spans="1:89">
      <c r="I6" t="s">
        <v>59</v>
      </c>
      <c r="J6">
        <v>17</v>
      </c>
      <c r="K6">
        <v>48</v>
      </c>
      <c r="L6">
        <v>53</v>
      </c>
      <c r="M6">
        <v>96</v>
      </c>
      <c r="N6">
        <v>97</v>
      </c>
      <c r="O6">
        <v>112</v>
      </c>
      <c r="P6">
        <v>121</v>
      </c>
      <c r="Q6">
        <v>127</v>
      </c>
      <c r="R6">
        <v>142</v>
      </c>
      <c r="S6">
        <v>163</v>
      </c>
      <c r="T6">
        <v>166</v>
      </c>
      <c r="U6">
        <v>166</v>
      </c>
      <c r="V6">
        <v>168</v>
      </c>
      <c r="W6">
        <v>168</v>
      </c>
      <c r="X6">
        <v>171</v>
      </c>
      <c r="Y6">
        <v>193</v>
      </c>
      <c r="Z6">
        <v>199</v>
      </c>
      <c r="AA6">
        <v>203</v>
      </c>
      <c r="AB6">
        <v>235</v>
      </c>
      <c r="AC6">
        <v>261</v>
      </c>
      <c r="AD6">
        <v>276</v>
      </c>
      <c r="AE6">
        <v>277</v>
      </c>
      <c r="AF6">
        <v>280</v>
      </c>
      <c r="AG6">
        <v>280</v>
      </c>
      <c r="AH6">
        <v>282</v>
      </c>
      <c r="AI6">
        <v>285</v>
      </c>
      <c r="AJ6">
        <v>288</v>
      </c>
      <c r="AK6">
        <v>289</v>
      </c>
      <c r="AL6">
        <v>293</v>
      </c>
      <c r="AM6">
        <v>294</v>
      </c>
      <c r="AN6">
        <v>318</v>
      </c>
      <c r="AO6">
        <v>339</v>
      </c>
      <c r="AP6">
        <v>343</v>
      </c>
      <c r="AQ6">
        <v>348</v>
      </c>
      <c r="AR6">
        <v>353</v>
      </c>
      <c r="AS6">
        <v>354</v>
      </c>
      <c r="AT6">
        <v>361</v>
      </c>
      <c r="AU6">
        <v>362</v>
      </c>
      <c r="AV6">
        <v>364</v>
      </c>
      <c r="AW6">
        <v>397</v>
      </c>
      <c r="AX6">
        <v>408</v>
      </c>
      <c r="AY6">
        <v>432</v>
      </c>
      <c r="AZ6">
        <v>450</v>
      </c>
      <c r="BA6">
        <v>457</v>
      </c>
      <c r="BB6">
        <v>458</v>
      </c>
      <c r="BC6">
        <v>458</v>
      </c>
      <c r="BD6">
        <v>459</v>
      </c>
      <c r="BE6">
        <v>460</v>
      </c>
      <c r="BF6">
        <v>462</v>
      </c>
      <c r="BG6">
        <v>464</v>
      </c>
      <c r="BH6">
        <v>464</v>
      </c>
      <c r="BI6">
        <v>464</v>
      </c>
      <c r="BJ6">
        <v>464</v>
      </c>
      <c r="BK6">
        <v>473</v>
      </c>
      <c r="BL6">
        <v>476</v>
      </c>
      <c r="BM6">
        <v>476</v>
      </c>
      <c r="BN6">
        <v>480</v>
      </c>
      <c r="BO6">
        <v>505</v>
      </c>
      <c r="BP6">
        <v>538</v>
      </c>
      <c r="BQ6">
        <v>582</v>
      </c>
      <c r="BR6">
        <v>606</v>
      </c>
      <c r="BS6">
        <v>660</v>
      </c>
      <c r="BT6">
        <v>662</v>
      </c>
      <c r="BU6">
        <v>672</v>
      </c>
      <c r="BV6">
        <v>689</v>
      </c>
      <c r="BW6">
        <v>701</v>
      </c>
      <c r="BX6">
        <v>716</v>
      </c>
      <c r="BY6">
        <v>722</v>
      </c>
      <c r="BZ6">
        <v>723</v>
      </c>
      <c r="CA6">
        <v>727</v>
      </c>
      <c r="CB6">
        <v>745</v>
      </c>
      <c r="CC6">
        <v>762</v>
      </c>
      <c r="CD6">
        <v>783</v>
      </c>
      <c r="CE6">
        <v>821</v>
      </c>
      <c r="CF6">
        <v>839</v>
      </c>
      <c r="CG6">
        <v>839</v>
      </c>
      <c r="CH6">
        <v>849</v>
      </c>
      <c r="CI6">
        <v>853</v>
      </c>
      <c r="CJ6">
        <v>854</v>
      </c>
    </row>
    <row r="7" spans="1:89" ht="19">
      <c r="A7" s="7"/>
      <c r="B7" s="7"/>
      <c r="C7" s="7"/>
      <c r="D7" s="7"/>
      <c r="E7" s="7"/>
      <c r="F7" s="7"/>
      <c r="G7" s="7"/>
      <c r="H7" s="7"/>
      <c r="I7" t="s">
        <v>60</v>
      </c>
      <c r="J7">
        <v>18</v>
      </c>
      <c r="K7">
        <v>49</v>
      </c>
      <c r="L7">
        <v>54</v>
      </c>
      <c r="M7">
        <v>97</v>
      </c>
      <c r="N7">
        <v>98</v>
      </c>
      <c r="O7">
        <v>113</v>
      </c>
      <c r="P7">
        <v>122</v>
      </c>
      <c r="Q7">
        <v>128</v>
      </c>
      <c r="R7">
        <v>141</v>
      </c>
      <c r="S7">
        <v>162</v>
      </c>
      <c r="T7">
        <v>165</v>
      </c>
      <c r="U7">
        <v>165</v>
      </c>
      <c r="V7">
        <v>167</v>
      </c>
      <c r="W7">
        <v>167</v>
      </c>
      <c r="X7">
        <v>170</v>
      </c>
      <c r="Y7">
        <v>192</v>
      </c>
      <c r="Z7">
        <v>198</v>
      </c>
      <c r="AA7">
        <v>202</v>
      </c>
      <c r="AB7">
        <v>234</v>
      </c>
      <c r="AC7">
        <v>260</v>
      </c>
      <c r="AD7">
        <v>275</v>
      </c>
      <c r="AE7">
        <v>276</v>
      </c>
      <c r="AF7">
        <v>279</v>
      </c>
      <c r="AG7">
        <v>279</v>
      </c>
      <c r="AH7">
        <v>281</v>
      </c>
      <c r="AI7">
        <v>284</v>
      </c>
      <c r="AJ7">
        <v>287</v>
      </c>
      <c r="AK7">
        <v>288</v>
      </c>
      <c r="AL7">
        <v>292</v>
      </c>
      <c r="AM7">
        <v>293</v>
      </c>
      <c r="AN7">
        <v>319</v>
      </c>
      <c r="AO7">
        <v>339</v>
      </c>
      <c r="AP7">
        <v>343</v>
      </c>
      <c r="AQ7">
        <v>348</v>
      </c>
      <c r="AR7">
        <v>353</v>
      </c>
      <c r="AS7">
        <v>354</v>
      </c>
      <c r="AT7">
        <v>362</v>
      </c>
      <c r="AU7">
        <v>363</v>
      </c>
      <c r="AV7">
        <v>365</v>
      </c>
      <c r="AW7">
        <v>398</v>
      </c>
      <c r="AX7">
        <v>409</v>
      </c>
      <c r="AY7">
        <v>434</v>
      </c>
      <c r="AZ7">
        <v>452</v>
      </c>
      <c r="BA7">
        <v>459</v>
      </c>
      <c r="BB7">
        <v>460</v>
      </c>
      <c r="BC7">
        <v>460</v>
      </c>
      <c r="BD7">
        <v>461</v>
      </c>
      <c r="BE7">
        <v>462</v>
      </c>
      <c r="BF7">
        <v>464</v>
      </c>
      <c r="BG7">
        <v>465</v>
      </c>
      <c r="BH7">
        <v>465</v>
      </c>
      <c r="BI7">
        <v>465</v>
      </c>
      <c r="BJ7">
        <v>465</v>
      </c>
      <c r="BK7">
        <v>474</v>
      </c>
      <c r="BL7">
        <v>477</v>
      </c>
      <c r="BM7">
        <v>477</v>
      </c>
      <c r="BN7">
        <v>481</v>
      </c>
      <c r="BO7">
        <v>506</v>
      </c>
      <c r="BP7">
        <v>539</v>
      </c>
      <c r="BQ7">
        <v>583</v>
      </c>
      <c r="BR7">
        <v>607</v>
      </c>
      <c r="BS7">
        <v>661</v>
      </c>
      <c r="BT7">
        <v>663</v>
      </c>
      <c r="BU7">
        <v>673</v>
      </c>
      <c r="BV7">
        <v>690</v>
      </c>
      <c r="BW7">
        <v>702</v>
      </c>
      <c r="BX7">
        <v>717</v>
      </c>
      <c r="BY7">
        <v>723</v>
      </c>
      <c r="BZ7">
        <v>724</v>
      </c>
      <c r="CA7">
        <v>728</v>
      </c>
      <c r="CB7">
        <v>746</v>
      </c>
      <c r="CC7">
        <v>763</v>
      </c>
      <c r="CD7">
        <v>784</v>
      </c>
      <c r="CE7">
        <v>822</v>
      </c>
      <c r="CF7">
        <v>840</v>
      </c>
      <c r="CG7">
        <v>840</v>
      </c>
      <c r="CH7">
        <v>850</v>
      </c>
      <c r="CI7">
        <v>854</v>
      </c>
      <c r="CJ7">
        <v>855</v>
      </c>
    </row>
    <row r="8" spans="1:89" ht="19">
      <c r="A8" s="7"/>
      <c r="B8" s="7"/>
      <c r="C8" s="7"/>
      <c r="D8" s="7"/>
      <c r="E8" s="7"/>
      <c r="F8" s="7"/>
      <c r="G8" s="7"/>
      <c r="H8" s="7"/>
      <c r="I8" t="s">
        <v>61</v>
      </c>
      <c r="J8" t="s">
        <v>4</v>
      </c>
      <c r="K8" t="s">
        <v>2</v>
      </c>
      <c r="L8" t="s">
        <v>50</v>
      </c>
      <c r="M8" t="s">
        <v>8</v>
      </c>
      <c r="N8" t="s">
        <v>7</v>
      </c>
      <c r="O8" t="s">
        <v>5</v>
      </c>
      <c r="P8" t="s">
        <v>42</v>
      </c>
      <c r="Q8" t="s">
        <v>2</v>
      </c>
      <c r="R8" t="s">
        <v>5</v>
      </c>
      <c r="S8" t="s">
        <v>2</v>
      </c>
      <c r="T8" t="s">
        <v>45</v>
      </c>
      <c r="U8" t="s">
        <v>45</v>
      </c>
      <c r="V8" t="s">
        <v>5</v>
      </c>
      <c r="W8" t="s">
        <v>5</v>
      </c>
      <c r="X8" t="s">
        <v>44</v>
      </c>
      <c r="Y8" t="s">
        <v>10</v>
      </c>
      <c r="Z8" t="s">
        <v>2</v>
      </c>
      <c r="AA8" t="s">
        <v>2</v>
      </c>
      <c r="AB8" t="s">
        <v>3</v>
      </c>
      <c r="AC8" t="s">
        <v>42</v>
      </c>
      <c r="AD8" t="s">
        <v>6</v>
      </c>
      <c r="AE8" t="s">
        <v>3</v>
      </c>
      <c r="AF8" t="s">
        <v>5</v>
      </c>
      <c r="AG8" t="s">
        <v>5</v>
      </c>
      <c r="AH8" t="s">
        <v>1</v>
      </c>
      <c r="AI8" t="s">
        <v>46</v>
      </c>
      <c r="AJ8" t="s">
        <v>9</v>
      </c>
      <c r="AK8" t="s">
        <v>42</v>
      </c>
      <c r="AL8" t="s">
        <v>47</v>
      </c>
      <c r="AM8" t="s">
        <v>8</v>
      </c>
      <c r="AN8" t="s">
        <v>1</v>
      </c>
      <c r="AO8" t="s">
        <v>3</v>
      </c>
      <c r="AP8" t="s">
        <v>44</v>
      </c>
      <c r="AQ8" t="s">
        <v>2</v>
      </c>
      <c r="AR8" t="s">
        <v>48</v>
      </c>
      <c r="AS8" t="s">
        <v>10</v>
      </c>
      <c r="AT8" t="s">
        <v>3</v>
      </c>
      <c r="AU8" t="s">
        <v>44</v>
      </c>
      <c r="AV8" t="s">
        <v>7</v>
      </c>
      <c r="AW8" t="s">
        <v>3</v>
      </c>
      <c r="AX8" t="s">
        <v>6</v>
      </c>
      <c r="AY8" t="s">
        <v>46</v>
      </c>
      <c r="AZ8" t="s">
        <v>42</v>
      </c>
      <c r="BA8" t="s">
        <v>4</v>
      </c>
      <c r="BB8" t="s">
        <v>3</v>
      </c>
      <c r="BC8" t="s">
        <v>3</v>
      </c>
      <c r="BD8" t="s">
        <v>7</v>
      </c>
      <c r="BE8" t="s">
        <v>7</v>
      </c>
      <c r="BF8" t="s">
        <v>7</v>
      </c>
      <c r="BG8" t="s">
        <v>45</v>
      </c>
      <c r="BH8" t="s">
        <v>45</v>
      </c>
      <c r="BI8" t="s">
        <v>45</v>
      </c>
      <c r="BJ8" t="s">
        <v>45</v>
      </c>
      <c r="BK8" t="s">
        <v>5</v>
      </c>
      <c r="BL8" t="s">
        <v>5</v>
      </c>
      <c r="BM8" t="s">
        <v>5</v>
      </c>
      <c r="BN8" t="s">
        <v>7</v>
      </c>
      <c r="BO8" t="s">
        <v>47</v>
      </c>
      <c r="BP8" t="s">
        <v>47</v>
      </c>
      <c r="BQ8" t="s">
        <v>43</v>
      </c>
      <c r="BR8" t="s">
        <v>2</v>
      </c>
      <c r="BS8" t="s">
        <v>42</v>
      </c>
      <c r="BT8" t="s">
        <v>42</v>
      </c>
      <c r="BU8" t="s">
        <v>48</v>
      </c>
      <c r="BV8" t="s">
        <v>4</v>
      </c>
      <c r="BW8" t="s">
        <v>42</v>
      </c>
      <c r="BX8" t="s">
        <v>48</v>
      </c>
      <c r="BY8" t="s">
        <v>1</v>
      </c>
      <c r="BZ8" t="s">
        <v>45</v>
      </c>
      <c r="CA8" t="s">
        <v>5</v>
      </c>
      <c r="CB8" t="s">
        <v>4</v>
      </c>
      <c r="CC8" t="s">
        <v>42</v>
      </c>
      <c r="CD8" t="s">
        <v>42</v>
      </c>
      <c r="CE8" t="s">
        <v>47</v>
      </c>
      <c r="CF8" t="s">
        <v>42</v>
      </c>
      <c r="CG8" t="s">
        <v>42</v>
      </c>
      <c r="CH8" t="s">
        <v>4</v>
      </c>
      <c r="CI8" t="s">
        <v>1</v>
      </c>
      <c r="CJ8" t="s">
        <v>42</v>
      </c>
    </row>
    <row r="9" spans="1:89" ht="47" customHeight="1">
      <c r="A9" s="23" t="s">
        <v>0</v>
      </c>
      <c r="B9" s="23" t="s">
        <v>41</v>
      </c>
      <c r="C9" s="23" t="s">
        <v>54</v>
      </c>
      <c r="D9" s="23" t="s">
        <v>368</v>
      </c>
      <c r="E9" s="23" t="s">
        <v>369</v>
      </c>
      <c r="F9" s="23" t="s">
        <v>362</v>
      </c>
      <c r="G9" s="23" t="s">
        <v>367</v>
      </c>
      <c r="H9" s="23" t="s">
        <v>395</v>
      </c>
      <c r="I9" t="s">
        <v>63</v>
      </c>
      <c r="J9" t="s">
        <v>7</v>
      </c>
      <c r="K9" t="s">
        <v>3</v>
      </c>
      <c r="L9" t="s">
        <v>50</v>
      </c>
      <c r="M9" t="s">
        <v>6</v>
      </c>
      <c r="N9" t="s">
        <v>3</v>
      </c>
      <c r="O9" t="s">
        <v>6</v>
      </c>
      <c r="P9" t="s">
        <v>46</v>
      </c>
      <c r="Q9" t="s">
        <v>3</v>
      </c>
      <c r="R9" t="s">
        <v>3</v>
      </c>
      <c r="S9" t="s">
        <v>45</v>
      </c>
      <c r="T9" t="s">
        <v>7</v>
      </c>
      <c r="U9" t="s">
        <v>44</v>
      </c>
      <c r="V9" t="s">
        <v>4</v>
      </c>
      <c r="W9" t="s">
        <v>3</v>
      </c>
      <c r="X9" t="s">
        <v>44</v>
      </c>
      <c r="Y9" t="s">
        <v>8</v>
      </c>
      <c r="Z9" t="s">
        <v>1</v>
      </c>
      <c r="AA9" t="s">
        <v>8</v>
      </c>
      <c r="AB9" t="s">
        <v>7</v>
      </c>
      <c r="AC9" t="s">
        <v>42</v>
      </c>
      <c r="AD9" t="s">
        <v>8</v>
      </c>
      <c r="AE9" t="s">
        <v>5</v>
      </c>
      <c r="AF9" t="s">
        <v>1</v>
      </c>
      <c r="AG9" t="s">
        <v>8</v>
      </c>
      <c r="AH9" t="s">
        <v>8</v>
      </c>
      <c r="AI9" t="s">
        <v>11</v>
      </c>
      <c r="AJ9" t="s">
        <v>44</v>
      </c>
      <c r="AK9">
        <v>0</v>
      </c>
      <c r="AL9" t="s">
        <v>47</v>
      </c>
      <c r="AM9" t="s">
        <v>8</v>
      </c>
      <c r="AN9" t="s">
        <v>2</v>
      </c>
      <c r="AO9" t="s">
        <v>8</v>
      </c>
      <c r="AP9" t="s">
        <v>10</v>
      </c>
      <c r="AQ9" t="s">
        <v>1</v>
      </c>
      <c r="AR9" t="s">
        <v>68</v>
      </c>
      <c r="AS9" t="s">
        <v>4</v>
      </c>
      <c r="AT9" t="s">
        <v>8</v>
      </c>
      <c r="AU9" t="s">
        <v>45</v>
      </c>
      <c r="AV9" t="s">
        <v>2</v>
      </c>
      <c r="AW9" t="s">
        <v>2</v>
      </c>
      <c r="AX9" t="s">
        <v>8</v>
      </c>
      <c r="AY9" t="s">
        <v>43</v>
      </c>
      <c r="AZ9" t="s">
        <v>43</v>
      </c>
      <c r="BA9" t="s">
        <v>5</v>
      </c>
      <c r="BB9" t="s">
        <v>5</v>
      </c>
      <c r="BC9" t="s">
        <v>7</v>
      </c>
      <c r="BD9" t="s">
        <v>3</v>
      </c>
      <c r="BE9" t="s">
        <v>4</v>
      </c>
      <c r="BF9" t="s">
        <v>3</v>
      </c>
      <c r="BG9" t="s">
        <v>2</v>
      </c>
      <c r="BH9" t="s">
        <v>7</v>
      </c>
      <c r="BI9" t="s">
        <v>9</v>
      </c>
      <c r="BJ9" t="s">
        <v>42</v>
      </c>
      <c r="BK9" t="s">
        <v>3</v>
      </c>
      <c r="BL9" t="s">
        <v>6</v>
      </c>
      <c r="BM9" t="s">
        <v>3</v>
      </c>
      <c r="BN9" t="s">
        <v>3</v>
      </c>
      <c r="BO9" t="s">
        <v>43</v>
      </c>
      <c r="BP9" t="s">
        <v>46</v>
      </c>
      <c r="BQ9" t="s">
        <v>46</v>
      </c>
      <c r="BR9" t="s">
        <v>2</v>
      </c>
      <c r="BS9" t="s">
        <v>42</v>
      </c>
      <c r="BT9" t="s">
        <v>42</v>
      </c>
      <c r="BU9" t="s">
        <v>47</v>
      </c>
      <c r="BV9" t="s">
        <v>4</v>
      </c>
      <c r="BW9" t="s">
        <v>44</v>
      </c>
      <c r="BX9" t="s">
        <v>48</v>
      </c>
      <c r="BY9" t="s">
        <v>2</v>
      </c>
      <c r="BZ9" t="s">
        <v>45</v>
      </c>
      <c r="CA9" t="s">
        <v>3</v>
      </c>
      <c r="CB9" t="s">
        <v>4</v>
      </c>
      <c r="CC9" t="s">
        <v>42</v>
      </c>
      <c r="CD9" t="s">
        <v>42</v>
      </c>
      <c r="CE9" t="s">
        <v>7</v>
      </c>
      <c r="CF9" t="s">
        <v>48</v>
      </c>
      <c r="CG9" t="s">
        <v>7</v>
      </c>
      <c r="CH9" t="s">
        <v>4</v>
      </c>
      <c r="CI9" t="s">
        <v>1</v>
      </c>
      <c r="CJ9" t="s">
        <v>43</v>
      </c>
    </row>
    <row r="10" spans="1:89" ht="19">
      <c r="A10" t="s">
        <v>34</v>
      </c>
      <c r="B10" s="7" t="s">
        <v>1</v>
      </c>
      <c r="C10" s="7" t="str">
        <f>VLOOKUP(B10,'REJO.c Escape Paths'!$A$1:$C$5,3,FALSE)</f>
        <v>A: D279A + N460D</v>
      </c>
      <c r="D10" s="10">
        <f>VLOOKUP(A10,Expression!$C$1:$D$462,2,FALSE)</f>
        <v>37.9099</v>
      </c>
      <c r="E10" s="10">
        <f>VLOOKUP(A10,'REJOc Survival Analysis'!$A$1:$C$60,3,FALSE)</f>
        <v>5</v>
      </c>
      <c r="F10" s="10">
        <f>VLOOKUP(A10,'sequencing metadata'!$A$1:$B$34,2,FALSE)</f>
        <v>25</v>
      </c>
      <c r="G10" s="10">
        <f t="shared" ref="G10:G35" si="0">F10-E10</f>
        <v>20</v>
      </c>
      <c r="H10" s="10">
        <f>COUNTIF(J10:CJ10,"&gt;.1")</f>
        <v>10</v>
      </c>
      <c r="I10" s="41" t="s">
        <v>34</v>
      </c>
      <c r="J10" s="41">
        <v>0</v>
      </c>
      <c r="K10" s="41">
        <v>0</v>
      </c>
      <c r="L10" s="41">
        <v>0</v>
      </c>
      <c r="M10" s="41">
        <v>0</v>
      </c>
      <c r="N10" s="41">
        <v>0.86976744186046495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0.48985801217038499</v>
      </c>
      <c r="X10" s="41">
        <v>0</v>
      </c>
      <c r="Y10" s="41">
        <v>0.47968545216251601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0.87471198156681995</v>
      </c>
      <c r="AG10" s="41">
        <v>0.12125576036866299</v>
      </c>
      <c r="AH10" s="41">
        <v>0</v>
      </c>
      <c r="AI10" s="41">
        <v>0</v>
      </c>
      <c r="AJ10" s="41">
        <v>0.25976768743400103</v>
      </c>
      <c r="AK10" s="41">
        <v>0</v>
      </c>
      <c r="AL10" s="41">
        <v>0.256723716381418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  <c r="AT10" s="41">
        <v>0.22915416916616599</v>
      </c>
      <c r="AU10" s="41">
        <v>0</v>
      </c>
      <c r="AV10" s="41">
        <v>0</v>
      </c>
      <c r="AW10" s="41">
        <v>0</v>
      </c>
      <c r="AX10" s="41">
        <v>0.162351908731899</v>
      </c>
      <c r="AY10" s="41">
        <v>0</v>
      </c>
      <c r="AZ10" s="41">
        <v>0</v>
      </c>
      <c r="BA10" s="41">
        <v>0</v>
      </c>
      <c r="BB10" s="41">
        <v>0.99687743950038998</v>
      </c>
      <c r="BC10" s="41">
        <v>0</v>
      </c>
      <c r="BD10" s="41">
        <v>0</v>
      </c>
      <c r="BE10" s="41">
        <v>0</v>
      </c>
      <c r="BF10" s="41">
        <v>0</v>
      </c>
      <c r="BG10" s="41">
        <v>0</v>
      </c>
      <c r="BH10" s="41">
        <v>0</v>
      </c>
      <c r="BI10" s="41">
        <v>0</v>
      </c>
      <c r="BJ10" s="41">
        <v>0</v>
      </c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  <c r="BQ10" s="41">
        <v>0</v>
      </c>
      <c r="BR10" s="41">
        <v>0</v>
      </c>
      <c r="BS10" s="41">
        <v>0</v>
      </c>
      <c r="BT10" s="41">
        <v>0</v>
      </c>
      <c r="BU10" s="41">
        <v>0</v>
      </c>
      <c r="BV10" s="41">
        <v>0</v>
      </c>
      <c r="BW10" s="41">
        <v>0</v>
      </c>
      <c r="BX10" s="41">
        <v>0</v>
      </c>
      <c r="BY10" s="41">
        <v>0</v>
      </c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41">
        <v>0</v>
      </c>
      <c r="CF10" s="41">
        <v>0</v>
      </c>
      <c r="CG10" s="41">
        <v>0</v>
      </c>
      <c r="CH10" s="41">
        <v>0</v>
      </c>
      <c r="CI10" s="41">
        <v>0</v>
      </c>
      <c r="CJ10" s="41">
        <v>0</v>
      </c>
      <c r="CK10" s="4"/>
    </row>
    <row r="11" spans="1:89" ht="19">
      <c r="A11" t="s">
        <v>28</v>
      </c>
      <c r="B11" s="7" t="s">
        <v>1</v>
      </c>
      <c r="C11" s="7" t="str">
        <f>VLOOKUP(B11,'REJO.c Escape Paths'!$A$1:$C$5,3,FALSE)</f>
        <v>A: D279A + N460D</v>
      </c>
      <c r="D11" s="10">
        <f>VLOOKUP(A11,Expression!$C$1:$D$462,2,FALSE)</f>
        <v>79.2136</v>
      </c>
      <c r="E11" s="10">
        <f>VLOOKUP(A11,'REJOc Survival Analysis'!$A$1:$C$60,3,FALSE)</f>
        <v>4</v>
      </c>
      <c r="F11" s="10">
        <f>VLOOKUP(A11,'sequencing metadata'!$A$1:$B$34,2,FALSE)</f>
        <v>24</v>
      </c>
      <c r="G11" s="10">
        <f t="shared" si="0"/>
        <v>20</v>
      </c>
      <c r="H11" s="10">
        <f t="shared" ref="H11:H35" si="1">COUNTIF(J11:CJ11,"&gt;.1")</f>
        <v>10</v>
      </c>
      <c r="I11" s="41" t="s">
        <v>28</v>
      </c>
      <c r="J11" s="41">
        <v>0</v>
      </c>
      <c r="K11" s="41">
        <v>0</v>
      </c>
      <c r="L11" s="41">
        <v>0</v>
      </c>
      <c r="M11" s="41">
        <v>0</v>
      </c>
      <c r="N11" s="41">
        <v>0.99510869565217397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0.48346909439386598</v>
      </c>
      <c r="X11" s="41">
        <v>0</v>
      </c>
      <c r="Y11" s="41">
        <v>0.16862839298582699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0.99401631912964605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0.180102915951972</v>
      </c>
      <c r="AT11" s="41">
        <v>0.32050029314051198</v>
      </c>
      <c r="AU11" s="41">
        <v>0</v>
      </c>
      <c r="AV11" s="41">
        <v>0</v>
      </c>
      <c r="AW11" s="41">
        <v>0</v>
      </c>
      <c r="AX11" s="41">
        <v>0.194910352805089</v>
      </c>
      <c r="AY11" s="41">
        <v>0</v>
      </c>
      <c r="AZ11" s="41">
        <v>0</v>
      </c>
      <c r="BA11" s="41">
        <v>0</v>
      </c>
      <c r="BB11" s="41">
        <v>0.99540018399263996</v>
      </c>
      <c r="BC11" s="41">
        <v>0</v>
      </c>
      <c r="BD11" s="41">
        <v>0</v>
      </c>
      <c r="BE11" s="41">
        <v>0</v>
      </c>
      <c r="BF11" s="41">
        <v>0.20998810939357901</v>
      </c>
      <c r="BG11" s="41">
        <v>0</v>
      </c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0.226724404577791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41">
        <v>0</v>
      </c>
      <c r="BZ11" s="41">
        <v>0</v>
      </c>
      <c r="CA11" s="41">
        <v>0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1">
        <v>0</v>
      </c>
      <c r="CI11" s="41">
        <v>0</v>
      </c>
      <c r="CJ11" s="41">
        <v>0</v>
      </c>
      <c r="CK11" s="4"/>
    </row>
    <row r="12" spans="1:89" ht="19">
      <c r="A12" t="s">
        <v>247</v>
      </c>
      <c r="B12" s="7" t="s">
        <v>1</v>
      </c>
      <c r="C12" s="7" t="str">
        <f>VLOOKUP(B12,'REJO.c Escape Paths'!$A$1:$C$5,3,FALSE)</f>
        <v>A: D279A + N460D</v>
      </c>
      <c r="D12" s="10">
        <f>VLOOKUP(A12,Expression!$C$1:$D$462,2,FALSE)</f>
        <v>49.630800000000001</v>
      </c>
      <c r="E12" s="10">
        <f>VLOOKUP(A12,'REJOc Survival Analysis'!$A$1:$C$60,3,FALSE)</f>
        <v>4</v>
      </c>
      <c r="F12" s="10">
        <f>VLOOKUP(A12,'sequencing metadata'!$A$1:$B$34,2,FALSE)</f>
        <v>17</v>
      </c>
      <c r="G12" s="10">
        <f t="shared" si="0"/>
        <v>13</v>
      </c>
      <c r="H12" s="10">
        <f t="shared" si="1"/>
        <v>4</v>
      </c>
      <c r="I12" s="41" t="s">
        <v>247</v>
      </c>
      <c r="J12" s="41">
        <v>0</v>
      </c>
      <c r="K12" s="41">
        <v>0</v>
      </c>
      <c r="L12" s="41">
        <v>0</v>
      </c>
      <c r="M12" s="41">
        <v>0</v>
      </c>
      <c r="N12" s="41">
        <v>0.74219810040705503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0.995848161328588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0.14009243212016101</v>
      </c>
      <c r="AY12" s="41">
        <v>0</v>
      </c>
      <c r="AZ12" s="41">
        <v>0</v>
      </c>
      <c r="BA12" s="41">
        <v>0</v>
      </c>
      <c r="BB12" s="41">
        <v>0.98846947445078204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  <c r="BQ12" s="41">
        <v>0</v>
      </c>
      <c r="BR12" s="41">
        <v>0</v>
      </c>
      <c r="BS12" s="41">
        <v>0</v>
      </c>
      <c r="BT12" s="41">
        <v>0</v>
      </c>
      <c r="BU12" s="41">
        <v>0</v>
      </c>
      <c r="BV12" s="41">
        <v>0</v>
      </c>
      <c r="BW12" s="41">
        <v>0</v>
      </c>
      <c r="BX12" s="41">
        <v>0</v>
      </c>
      <c r="BY12" s="41">
        <v>0</v>
      </c>
      <c r="BZ12" s="41">
        <v>0</v>
      </c>
      <c r="CA12" s="41">
        <v>0</v>
      </c>
      <c r="CB12" s="41">
        <v>0</v>
      </c>
      <c r="CC12" s="41">
        <v>0</v>
      </c>
      <c r="CD12" s="41">
        <v>0</v>
      </c>
      <c r="CE12" s="41">
        <v>0</v>
      </c>
      <c r="CF12" s="41">
        <v>0</v>
      </c>
      <c r="CG12" s="41">
        <v>0</v>
      </c>
      <c r="CH12" s="41">
        <v>0</v>
      </c>
      <c r="CI12" s="41">
        <v>0</v>
      </c>
      <c r="CJ12" s="41">
        <v>0</v>
      </c>
      <c r="CK12" s="4"/>
    </row>
    <row r="13" spans="1:89" ht="19">
      <c r="A13" t="s">
        <v>23</v>
      </c>
      <c r="B13" s="7" t="s">
        <v>1</v>
      </c>
      <c r="C13" s="7" t="str">
        <f>VLOOKUP(B13,'REJO.c Escape Paths'!$A$1:$C$5,3,FALSE)</f>
        <v>A: D279A + N460D</v>
      </c>
      <c r="D13" s="10">
        <f>VLOOKUP(A13,Expression!$C$1:$D$462,2,FALSE)</f>
        <v>177.065</v>
      </c>
      <c r="E13" s="10">
        <f>VLOOKUP(A13,'REJOc Survival Analysis'!$A$1:$C$60,3,FALSE)</f>
        <v>5</v>
      </c>
      <c r="F13" s="10">
        <f>VLOOKUP(A13,'sequencing metadata'!$A$1:$B$34,2,FALSE)</f>
        <v>22</v>
      </c>
      <c r="G13" s="10">
        <f t="shared" si="0"/>
        <v>17</v>
      </c>
      <c r="H13" s="10">
        <f t="shared" si="1"/>
        <v>12</v>
      </c>
      <c r="I13" s="41" t="s">
        <v>23</v>
      </c>
      <c r="J13" s="41">
        <v>0.24365207995678001</v>
      </c>
      <c r="K13" s="41">
        <v>0</v>
      </c>
      <c r="L13" s="41">
        <v>0</v>
      </c>
      <c r="M13" s="41">
        <v>0</v>
      </c>
      <c r="N13" s="41">
        <v>0.990522422561257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0.99166666666666603</v>
      </c>
      <c r="AG13" s="41">
        <v>0</v>
      </c>
      <c r="AH13" s="41">
        <v>0</v>
      </c>
      <c r="AI13" s="41">
        <v>0</v>
      </c>
      <c r="AJ13" s="41">
        <v>0.242937021777516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0.318888121546961</v>
      </c>
      <c r="AR13" s="41">
        <v>0</v>
      </c>
      <c r="AS13" s="41">
        <v>0</v>
      </c>
      <c r="AT13" s="41">
        <v>0.26345933562428397</v>
      </c>
      <c r="AU13" s="41">
        <v>0</v>
      </c>
      <c r="AV13" s="41">
        <v>0</v>
      </c>
      <c r="AW13" s="41">
        <v>0</v>
      </c>
      <c r="AX13" s="41">
        <v>0</v>
      </c>
      <c r="AY13" s="41">
        <v>0.252147356365718</v>
      </c>
      <c r="AZ13" s="41">
        <v>0</v>
      </c>
      <c r="BA13" s="41">
        <v>0</v>
      </c>
      <c r="BB13" s="41">
        <v>0.98684210526315796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0.242384105960264</v>
      </c>
      <c r="BR13" s="41">
        <v>0</v>
      </c>
      <c r="BS13" s="41">
        <v>0</v>
      </c>
      <c r="BT13" s="41">
        <v>0.99414303329223197</v>
      </c>
      <c r="BU13" s="41">
        <v>0</v>
      </c>
      <c r="BV13" s="41">
        <v>0</v>
      </c>
      <c r="BW13" s="41">
        <v>0</v>
      </c>
      <c r="BX13" s="41">
        <v>0</v>
      </c>
      <c r="BY13" s="41">
        <v>0</v>
      </c>
      <c r="BZ13" s="41">
        <v>0</v>
      </c>
      <c r="CA13" s="41">
        <v>0.336972343522561</v>
      </c>
      <c r="CB13" s="41">
        <v>0</v>
      </c>
      <c r="CC13" s="41">
        <v>0</v>
      </c>
      <c r="CD13" s="41">
        <v>0</v>
      </c>
      <c r="CE13" s="41">
        <v>0</v>
      </c>
      <c r="CF13" s="41">
        <v>0</v>
      </c>
      <c r="CG13" s="41">
        <v>0</v>
      </c>
      <c r="CH13" s="41">
        <v>0</v>
      </c>
      <c r="CI13" s="41">
        <v>0</v>
      </c>
      <c r="CJ13" s="41">
        <v>0.98331193838254105</v>
      </c>
      <c r="CK13" s="4"/>
    </row>
    <row r="14" spans="1:89" ht="19">
      <c r="A14" t="s">
        <v>15</v>
      </c>
      <c r="B14" s="7" t="s">
        <v>1</v>
      </c>
      <c r="C14" s="7" t="str">
        <f>VLOOKUP(B14,'REJO.c Escape Paths'!$A$1:$C$5,3,FALSE)</f>
        <v>A: D279A + N460D</v>
      </c>
      <c r="D14" s="10">
        <f>VLOOKUP(A14,Expression!$C$1:$D$462,2,FALSE)</f>
        <v>59.914099999999998</v>
      </c>
      <c r="E14" s="10">
        <f>VLOOKUP(A14,'REJOc Survival Analysis'!$A$1:$C$60,3,FALSE)</f>
        <v>3</v>
      </c>
      <c r="F14" s="10">
        <f>VLOOKUP(A14,'sequencing metadata'!$A$1:$B$34,2,FALSE)</f>
        <v>18</v>
      </c>
      <c r="G14" s="10">
        <f t="shared" si="0"/>
        <v>15</v>
      </c>
      <c r="H14" s="10">
        <f t="shared" si="1"/>
        <v>7</v>
      </c>
      <c r="I14" s="41" t="s">
        <v>15</v>
      </c>
      <c r="J14" s="41">
        <v>0.31366361628273898</v>
      </c>
      <c r="K14" s="41">
        <v>0</v>
      </c>
      <c r="L14" s="41">
        <v>0</v>
      </c>
      <c r="M14" s="41">
        <v>0</v>
      </c>
      <c r="N14" s="41">
        <v>0.62283642334268297</v>
      </c>
      <c r="O14" s="41">
        <v>0</v>
      </c>
      <c r="P14" s="41">
        <v>0</v>
      </c>
      <c r="Q14" s="41">
        <v>0</v>
      </c>
      <c r="R14" s="41">
        <v>0.99017270033962002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0.96341858206539299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0.99051675640922598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0.98538991252559005</v>
      </c>
      <c r="BC14" s="41">
        <v>0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  <c r="BQ14" s="41">
        <v>0.19271948608136999</v>
      </c>
      <c r="BR14" s="41">
        <v>0</v>
      </c>
      <c r="BS14" s="41">
        <v>0</v>
      </c>
      <c r="BT14" s="41">
        <v>0</v>
      </c>
      <c r="BU14" s="41">
        <v>0</v>
      </c>
      <c r="BV14" s="41">
        <v>0</v>
      </c>
      <c r="BW14" s="41">
        <v>0</v>
      </c>
      <c r="BX14" s="41">
        <v>0</v>
      </c>
      <c r="BY14" s="41">
        <v>0</v>
      </c>
      <c r="BZ14" s="41">
        <v>0</v>
      </c>
      <c r="CA14" s="41">
        <v>0</v>
      </c>
      <c r="CB14" s="41">
        <v>0</v>
      </c>
      <c r="CC14" s="41">
        <v>0</v>
      </c>
      <c r="CD14" s="41">
        <v>0</v>
      </c>
      <c r="CE14" s="41">
        <v>0</v>
      </c>
      <c r="CF14" s="41">
        <v>0</v>
      </c>
      <c r="CG14" s="41">
        <v>0</v>
      </c>
      <c r="CH14" s="41">
        <v>0</v>
      </c>
      <c r="CI14" s="41">
        <v>0</v>
      </c>
      <c r="CJ14" s="41">
        <v>0</v>
      </c>
      <c r="CK14" s="4"/>
    </row>
    <row r="15" spans="1:89" ht="19">
      <c r="A15" t="s">
        <v>17</v>
      </c>
      <c r="B15" s="7" t="s">
        <v>1</v>
      </c>
      <c r="C15" s="7" t="str">
        <f>VLOOKUP(B15,'REJO.c Escape Paths'!$A$1:$C$5,3,FALSE)</f>
        <v>A: D279A + N460D</v>
      </c>
      <c r="D15" s="10">
        <f>VLOOKUP(A15,Expression!$C$1:$D$462,2,FALSE)</f>
        <v>39.688000000000002</v>
      </c>
      <c r="E15" s="10">
        <f>VLOOKUP(A15,'REJOc Survival Analysis'!$A$1:$C$60,3,FALSE)</f>
        <v>3</v>
      </c>
      <c r="F15" s="10">
        <f>VLOOKUP(A15,'sequencing metadata'!$A$1:$B$34,2,FALSE)</f>
        <v>19</v>
      </c>
      <c r="G15" s="10">
        <f t="shared" si="0"/>
        <v>16</v>
      </c>
      <c r="H15" s="10">
        <f t="shared" si="1"/>
        <v>4</v>
      </c>
      <c r="I15" s="41" t="s">
        <v>17</v>
      </c>
      <c r="J15" s="41">
        <v>0</v>
      </c>
      <c r="K15" s="41">
        <v>0</v>
      </c>
      <c r="L15" s="41">
        <v>0</v>
      </c>
      <c r="M15" s="41">
        <v>0</v>
      </c>
      <c r="N15" s="41">
        <v>0.35964287670482498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0.20829309512312799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0.99283234404748499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0.98057208402036</v>
      </c>
      <c r="BC15" s="41">
        <v>0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  <c r="BQ15" s="41">
        <v>0</v>
      </c>
      <c r="BR15" s="41">
        <v>0</v>
      </c>
      <c r="BS15" s="41">
        <v>0</v>
      </c>
      <c r="BT15" s="41">
        <v>0</v>
      </c>
      <c r="BU15" s="41">
        <v>0</v>
      </c>
      <c r="BV15" s="41">
        <v>0</v>
      </c>
      <c r="BW15" s="41">
        <v>0</v>
      </c>
      <c r="BX15" s="41">
        <v>0</v>
      </c>
      <c r="BY15" s="41">
        <v>0</v>
      </c>
      <c r="BZ15" s="41">
        <v>0</v>
      </c>
      <c r="CA15" s="41">
        <v>0</v>
      </c>
      <c r="CB15" s="41">
        <v>0</v>
      </c>
      <c r="CC15" s="41">
        <v>0</v>
      </c>
      <c r="CD15" s="41">
        <v>0</v>
      </c>
      <c r="CE15" s="41">
        <v>0</v>
      </c>
      <c r="CF15" s="41">
        <v>0</v>
      </c>
      <c r="CG15" s="41">
        <v>0</v>
      </c>
      <c r="CH15" s="41">
        <v>0</v>
      </c>
      <c r="CI15" s="41">
        <v>0</v>
      </c>
      <c r="CJ15" s="41">
        <v>0</v>
      </c>
      <c r="CK15" s="4"/>
    </row>
    <row r="16" spans="1:89" ht="19">
      <c r="A16" t="s">
        <v>24</v>
      </c>
      <c r="B16" s="7" t="s">
        <v>1</v>
      </c>
      <c r="C16" s="7" t="str">
        <f>VLOOKUP(B16,'REJO.c Escape Paths'!$A$1:$C$5,3,FALSE)</f>
        <v>A: D279A + N460D</v>
      </c>
      <c r="D16" s="10">
        <f>VLOOKUP(A16,Expression!$C$1:$D$462,2,FALSE)</f>
        <v>79.352699999999999</v>
      </c>
      <c r="E16" s="10">
        <f>VLOOKUP(A16,'REJOc Survival Analysis'!$A$1:$C$60,3,FALSE)</f>
        <v>5</v>
      </c>
      <c r="F16" s="10">
        <f>VLOOKUP(A16,'sequencing metadata'!$A$1:$B$34,2,FALSE)</f>
        <v>19</v>
      </c>
      <c r="G16" s="10">
        <f t="shared" si="0"/>
        <v>14</v>
      </c>
      <c r="H16" s="10">
        <f t="shared" si="1"/>
        <v>8</v>
      </c>
      <c r="I16" s="41" t="s">
        <v>24</v>
      </c>
      <c r="J16" s="41">
        <v>0</v>
      </c>
      <c r="K16" s="41">
        <v>0</v>
      </c>
      <c r="L16" s="41">
        <v>0.99792099792099798</v>
      </c>
      <c r="M16" s="41">
        <v>0.168350168350168</v>
      </c>
      <c r="N16" s="41">
        <v>0.82706766917293195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0.33417721518987298</v>
      </c>
      <c r="AC16" s="41">
        <v>0</v>
      </c>
      <c r="AD16" s="41">
        <v>0</v>
      </c>
      <c r="AE16" s="41">
        <v>0</v>
      </c>
      <c r="AF16" s="41">
        <v>0.99025069637883001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0.56681222707423495</v>
      </c>
      <c r="AT16" s="41">
        <v>0.186046511627906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0.94694244604316502</v>
      </c>
      <c r="BC16" s="41">
        <v>0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  <c r="BQ16" s="41">
        <v>0</v>
      </c>
      <c r="BR16" s="41">
        <v>0</v>
      </c>
      <c r="BS16" s="41">
        <v>0</v>
      </c>
      <c r="BT16" s="41">
        <v>0</v>
      </c>
      <c r="BU16" s="41">
        <v>0</v>
      </c>
      <c r="BV16" s="41">
        <v>0</v>
      </c>
      <c r="BW16" s="41">
        <v>0</v>
      </c>
      <c r="BX16" s="41">
        <v>0</v>
      </c>
      <c r="BY16" s="41">
        <v>0</v>
      </c>
      <c r="BZ16" s="41">
        <v>0</v>
      </c>
      <c r="CA16" s="41">
        <v>0</v>
      </c>
      <c r="CB16" s="41">
        <v>0</v>
      </c>
      <c r="CC16" s="41">
        <v>0</v>
      </c>
      <c r="CD16" s="41">
        <v>0</v>
      </c>
      <c r="CE16" s="41">
        <v>0</v>
      </c>
      <c r="CF16" s="41">
        <v>0</v>
      </c>
      <c r="CG16" s="41">
        <v>0</v>
      </c>
      <c r="CH16" s="41">
        <v>0</v>
      </c>
      <c r="CI16" s="41">
        <v>0</v>
      </c>
      <c r="CJ16" s="41">
        <v>0</v>
      </c>
      <c r="CK16" s="4"/>
    </row>
    <row r="17" spans="1:89" ht="19">
      <c r="A17" t="s">
        <v>37</v>
      </c>
      <c r="B17" s="7" t="s">
        <v>1</v>
      </c>
      <c r="C17" s="7" t="str">
        <f>VLOOKUP(B17,'REJO.c Escape Paths'!$A$1:$C$5,3,FALSE)</f>
        <v>A: D279A + N460D</v>
      </c>
      <c r="D17" s="10">
        <f>VLOOKUP(A17,Expression!$C$1:$D$462,2,FALSE)</f>
        <v>70.494699999999995</v>
      </c>
      <c r="E17" s="10">
        <f>VLOOKUP(A17,'REJOc Survival Analysis'!$A$1:$C$60,3,FALSE)</f>
        <v>8</v>
      </c>
      <c r="F17" s="10">
        <f>VLOOKUP(A17,'sequencing metadata'!$A$1:$B$34,2,FALSE)</f>
        <v>18</v>
      </c>
      <c r="G17" s="10">
        <f t="shared" si="0"/>
        <v>10</v>
      </c>
      <c r="H17" s="10">
        <f t="shared" si="1"/>
        <v>4</v>
      </c>
      <c r="I17" s="41" t="s">
        <v>37</v>
      </c>
      <c r="J17" s="41">
        <v>0</v>
      </c>
      <c r="K17" s="41">
        <v>0</v>
      </c>
      <c r="L17" s="41">
        <v>0</v>
      </c>
      <c r="M17" s="41">
        <v>0</v>
      </c>
      <c r="N17" s="41">
        <v>0.13243761996161199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0.97777777777777697</v>
      </c>
      <c r="AG17" s="41">
        <v>0</v>
      </c>
      <c r="AH17" s="41">
        <v>0</v>
      </c>
      <c r="AI17" s="41">
        <v>0</v>
      </c>
      <c r="AJ17" s="41">
        <v>0.38740458015267099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0.9296875</v>
      </c>
      <c r="BC17" s="41">
        <v>0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1">
        <v>0</v>
      </c>
      <c r="BS17" s="41">
        <v>0</v>
      </c>
      <c r="BT17" s="41">
        <v>0</v>
      </c>
      <c r="BU17" s="41">
        <v>0</v>
      </c>
      <c r="BV17" s="41">
        <v>0</v>
      </c>
      <c r="BW17" s="41">
        <v>0</v>
      </c>
      <c r="BX17" s="41">
        <v>0</v>
      </c>
      <c r="BY17" s="41">
        <v>0</v>
      </c>
      <c r="BZ17" s="41">
        <v>0</v>
      </c>
      <c r="CA17" s="41">
        <v>0</v>
      </c>
      <c r="CB17" s="41">
        <v>0</v>
      </c>
      <c r="CC17" s="41">
        <v>0</v>
      </c>
      <c r="CD17" s="41">
        <v>0</v>
      </c>
      <c r="CE17" s="41">
        <v>0</v>
      </c>
      <c r="CF17" s="41">
        <v>0</v>
      </c>
      <c r="CG17" s="41">
        <v>0</v>
      </c>
      <c r="CH17" s="41">
        <v>0</v>
      </c>
      <c r="CI17" s="41">
        <v>0</v>
      </c>
      <c r="CJ17" s="41">
        <v>0</v>
      </c>
      <c r="CK17" s="4"/>
    </row>
    <row r="18" spans="1:89" ht="19">
      <c r="A18" t="s">
        <v>18</v>
      </c>
      <c r="B18" s="7" t="s">
        <v>1</v>
      </c>
      <c r="C18" s="7" t="str">
        <f>VLOOKUP(B18,'REJO.c Escape Paths'!$A$1:$C$5,3,FALSE)</f>
        <v>A: D279A + N460D</v>
      </c>
      <c r="D18" s="10">
        <f>VLOOKUP(A18,Expression!$C$1:$D$462,2,FALSE)</f>
        <v>49.747900000000001</v>
      </c>
      <c r="E18" s="10">
        <f>VLOOKUP(A18,'REJOc Survival Analysis'!$A$1:$C$60,3,FALSE)</f>
        <v>4</v>
      </c>
      <c r="F18" s="10">
        <f>VLOOKUP(A18,'sequencing metadata'!$A$1:$B$34,2,FALSE)</f>
        <v>12</v>
      </c>
      <c r="G18" s="10">
        <f t="shared" si="0"/>
        <v>8</v>
      </c>
      <c r="H18" s="10">
        <f t="shared" si="1"/>
        <v>7</v>
      </c>
      <c r="I18" s="41" t="s">
        <v>18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0.99609952925352996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0.50078392246294101</v>
      </c>
      <c r="BC18" s="41">
        <v>0.351981185860889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0</v>
      </c>
      <c r="BZ18" s="41">
        <v>0</v>
      </c>
      <c r="CA18" s="41">
        <v>0</v>
      </c>
      <c r="CB18" s="41">
        <v>0</v>
      </c>
      <c r="CC18" s="41">
        <v>0</v>
      </c>
      <c r="CD18" s="41">
        <v>0.339866003999999</v>
      </c>
      <c r="CE18" s="41">
        <v>0.25093671200000001</v>
      </c>
      <c r="CF18" s="41">
        <v>0</v>
      </c>
      <c r="CG18" s="41">
        <v>0.303373697</v>
      </c>
      <c r="CH18" s="41">
        <v>0.21440875399999901</v>
      </c>
      <c r="CI18" s="41">
        <v>0</v>
      </c>
      <c r="CJ18" s="41">
        <v>0</v>
      </c>
      <c r="CK18" s="4"/>
    </row>
    <row r="19" spans="1:89" ht="19">
      <c r="A19" t="s">
        <v>21</v>
      </c>
      <c r="B19" s="7" t="s">
        <v>1</v>
      </c>
      <c r="C19" s="7" t="str">
        <f>VLOOKUP(B19,'REJO.c Escape Paths'!$A$1:$C$5,3,FALSE)</f>
        <v>A: D279A + N460D</v>
      </c>
      <c r="D19" s="10">
        <f>VLOOKUP(A19,Expression!$C$1:$D$462,2,FALSE)</f>
        <v>77.971800000000002</v>
      </c>
      <c r="E19" s="10">
        <f>VLOOKUP(A19,'REJOc Survival Analysis'!$A$1:$C$60,3,FALSE)</f>
        <v>8</v>
      </c>
      <c r="F19" s="10">
        <f>VLOOKUP(A19,'sequencing metadata'!$A$1:$B$34,2,FALSE)</f>
        <v>17</v>
      </c>
      <c r="G19" s="10">
        <f t="shared" si="0"/>
        <v>9</v>
      </c>
      <c r="H19" s="10">
        <f t="shared" si="1"/>
        <v>4</v>
      </c>
      <c r="I19" s="41" t="s">
        <v>21</v>
      </c>
      <c r="J19" s="41">
        <v>0</v>
      </c>
      <c r="K19" s="41">
        <v>0</v>
      </c>
      <c r="L19" s="41">
        <v>0</v>
      </c>
      <c r="M19" s="41">
        <v>0</v>
      </c>
      <c r="N19" s="41">
        <v>0.64925568033429004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0.991406473789745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0.72065418095489298</v>
      </c>
      <c r="BB19" s="41">
        <v>0.14587440157702</v>
      </c>
      <c r="BC19" s="41">
        <v>0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  <c r="BQ19" s="41">
        <v>0</v>
      </c>
      <c r="BR19" s="41">
        <v>0</v>
      </c>
      <c r="BS19" s="41">
        <v>0</v>
      </c>
      <c r="BT19" s="41">
        <v>0</v>
      </c>
      <c r="BU19" s="41">
        <v>0</v>
      </c>
      <c r="BV19" s="41">
        <v>0</v>
      </c>
      <c r="BW19" s="41">
        <v>0</v>
      </c>
      <c r="BX19" s="41">
        <v>0</v>
      </c>
      <c r="BY19" s="41">
        <v>0</v>
      </c>
      <c r="BZ19" s="41">
        <v>0</v>
      </c>
      <c r="CA19" s="41">
        <v>0</v>
      </c>
      <c r="CB19" s="41">
        <v>0</v>
      </c>
      <c r="CC19" s="41">
        <v>0</v>
      </c>
      <c r="CD19" s="41">
        <v>0</v>
      </c>
      <c r="CE19" s="41">
        <v>0</v>
      </c>
      <c r="CF19" s="41">
        <v>0</v>
      </c>
      <c r="CG19" s="41">
        <v>0</v>
      </c>
      <c r="CH19" s="41">
        <v>0</v>
      </c>
      <c r="CI19" s="41">
        <v>0</v>
      </c>
      <c r="CJ19" s="41">
        <v>0</v>
      </c>
      <c r="CK19" s="4"/>
    </row>
    <row r="20" spans="1:89" ht="19">
      <c r="A20" t="s">
        <v>16</v>
      </c>
      <c r="B20" s="7" t="s">
        <v>1</v>
      </c>
      <c r="C20" s="7" t="str">
        <f>VLOOKUP(B20,'REJO.c Escape Paths'!$A$1:$C$5,3,FALSE)</f>
        <v>A: D279A + N460D</v>
      </c>
      <c r="D20" s="10">
        <f>VLOOKUP(A20,Expression!$C$1:$D$462,2,FALSE)</f>
        <v>74.613299999999995</v>
      </c>
      <c r="E20" s="10">
        <f>VLOOKUP(A20,'REJOc Survival Analysis'!$A$1:$C$60,3,FALSE)</f>
        <v>4</v>
      </c>
      <c r="F20" s="10">
        <f>VLOOKUP(A20,'sequencing metadata'!$A$1:$B$34,2,FALSE)</f>
        <v>20</v>
      </c>
      <c r="G20" s="10">
        <f t="shared" si="0"/>
        <v>16</v>
      </c>
      <c r="H20" s="10">
        <f t="shared" si="1"/>
        <v>11</v>
      </c>
      <c r="I20" s="41" t="s">
        <v>16</v>
      </c>
      <c r="J20" s="41">
        <v>0</v>
      </c>
      <c r="K20" s="41">
        <v>0</v>
      </c>
      <c r="L20" s="41">
        <v>0</v>
      </c>
      <c r="M20" s="41">
        <v>0.52473629475560801</v>
      </c>
      <c r="N20" s="41">
        <v>0.98602230483271303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0.26851336302895301</v>
      </c>
      <c r="X20" s="41">
        <v>0</v>
      </c>
      <c r="Y20" s="41">
        <v>0</v>
      </c>
      <c r="Z20" s="41">
        <v>0</v>
      </c>
      <c r="AA20" s="41">
        <v>0</v>
      </c>
      <c r="AB20" s="41">
        <v>0.139013452914798</v>
      </c>
      <c r="AC20" s="41">
        <v>0</v>
      </c>
      <c r="AD20" s="41">
        <v>0</v>
      </c>
      <c r="AE20" s="41">
        <v>0</v>
      </c>
      <c r="AF20" s="41">
        <v>0.992644895557516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0.27401243232404199</v>
      </c>
      <c r="AS20" s="41">
        <v>0</v>
      </c>
      <c r="AT20" s="41">
        <v>0.163642588154741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0.30905848787446499</v>
      </c>
      <c r="BB20" s="41">
        <v>0.14478396708069799</v>
      </c>
      <c r="BC20" s="41">
        <v>0.53760573039701198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  <c r="BQ20" s="41">
        <v>0</v>
      </c>
      <c r="BR20" s="41">
        <v>0</v>
      </c>
      <c r="BS20" s="41">
        <v>0</v>
      </c>
      <c r="BT20" s="41">
        <v>0</v>
      </c>
      <c r="BU20" s="41">
        <v>0</v>
      </c>
      <c r="BV20" s="41">
        <v>0</v>
      </c>
      <c r="BW20" s="41">
        <v>0</v>
      </c>
      <c r="BX20" s="41">
        <v>0</v>
      </c>
      <c r="BY20" s="41">
        <v>0</v>
      </c>
      <c r="BZ20" s="41">
        <v>0</v>
      </c>
      <c r="CA20" s="41">
        <v>0</v>
      </c>
      <c r="CB20" s="41">
        <v>0</v>
      </c>
      <c r="CC20" s="41">
        <v>0.994299606</v>
      </c>
      <c r="CD20" s="41">
        <v>0</v>
      </c>
      <c r="CE20" s="41">
        <v>0</v>
      </c>
      <c r="CF20" s="41">
        <v>0</v>
      </c>
      <c r="CG20" s="41">
        <v>0</v>
      </c>
      <c r="CH20" s="41">
        <v>0</v>
      </c>
      <c r="CI20" s="41">
        <v>0</v>
      </c>
      <c r="CJ20" s="41">
        <v>0</v>
      </c>
      <c r="CK20" s="4"/>
    </row>
    <row r="21" spans="1:89" ht="19">
      <c r="A21" t="s">
        <v>38</v>
      </c>
      <c r="B21" s="7" t="s">
        <v>49</v>
      </c>
      <c r="C21" s="7" t="str">
        <f>VLOOKUP(B21,'REJO.c Escape Paths'!$A$1:$C$5,3,FALSE)</f>
        <v>B: D279A + N276D</v>
      </c>
      <c r="D21" s="10">
        <f>VLOOKUP(A21,Expression!$C$1:$D$462,2,FALSE)</f>
        <v>109.98560000000001</v>
      </c>
      <c r="E21" s="10">
        <f>VLOOKUP(A21,'REJOc Survival Analysis'!$A$1:$C$60,3,FALSE)</f>
        <v>2</v>
      </c>
      <c r="F21" s="10">
        <f>VLOOKUP(A21,'sequencing metadata'!$A$1:$B$34,2,FALSE)</f>
        <v>20</v>
      </c>
      <c r="G21" s="10">
        <f t="shared" si="0"/>
        <v>18</v>
      </c>
      <c r="H21" s="10">
        <f t="shared" si="1"/>
        <v>5</v>
      </c>
      <c r="I21" s="41" t="s">
        <v>38</v>
      </c>
      <c r="J21" s="41">
        <v>0</v>
      </c>
      <c r="K21" s="41">
        <v>0</v>
      </c>
      <c r="L21" s="41">
        <v>0</v>
      </c>
      <c r="M21" s="41">
        <v>0</v>
      </c>
      <c r="N21" s="41">
        <v>0.99701937406855401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0.99570200573065903</v>
      </c>
      <c r="AF21" s="41">
        <v>0.99712643678160895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0.99517490952955301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  <c r="BQ21" s="41">
        <v>0</v>
      </c>
      <c r="BR21" s="41">
        <v>0</v>
      </c>
      <c r="BS21" s="41">
        <v>0</v>
      </c>
      <c r="BT21" s="41">
        <v>0</v>
      </c>
      <c r="BU21" s="41">
        <v>0</v>
      </c>
      <c r="BV21" s="41">
        <v>0</v>
      </c>
      <c r="BW21" s="41">
        <v>0</v>
      </c>
      <c r="BX21" s="41">
        <v>0</v>
      </c>
      <c r="BY21" s="41">
        <v>0.62894817540631698</v>
      </c>
      <c r="BZ21" s="41">
        <v>0</v>
      </c>
      <c r="CA21" s="41">
        <v>0</v>
      </c>
      <c r="CB21" s="41">
        <v>0</v>
      </c>
      <c r="CC21" s="41">
        <v>0</v>
      </c>
      <c r="CD21" s="41">
        <v>0</v>
      </c>
      <c r="CE21" s="41">
        <v>0</v>
      </c>
      <c r="CF21" s="41">
        <v>0</v>
      </c>
      <c r="CG21" s="41">
        <v>0</v>
      </c>
      <c r="CH21" s="41">
        <v>0</v>
      </c>
      <c r="CI21" s="41">
        <v>0</v>
      </c>
      <c r="CJ21" s="41">
        <v>0</v>
      </c>
      <c r="CK21" s="4"/>
    </row>
    <row r="22" spans="1:89" ht="19">
      <c r="A22" t="s">
        <v>36</v>
      </c>
      <c r="B22" s="7" t="s">
        <v>49</v>
      </c>
      <c r="C22" s="7" t="str">
        <f>VLOOKUP(B22,'REJO.c Escape Paths'!$A$1:$C$5,3,FALSE)</f>
        <v>B: D279A + N276D</v>
      </c>
      <c r="D22" s="10">
        <f>VLOOKUP(A22,Expression!$C$1:$D$462,2,FALSE)</f>
        <v>32.744700000000002</v>
      </c>
      <c r="E22" s="10">
        <f>VLOOKUP(A22,'REJOc Survival Analysis'!$A$1:$C$60,3,FALSE)</f>
        <v>5</v>
      </c>
      <c r="F22" s="10">
        <f>VLOOKUP(A22,'sequencing metadata'!$A$1:$B$34,2,FALSE)</f>
        <v>26</v>
      </c>
      <c r="G22" s="10">
        <f t="shared" si="0"/>
        <v>21</v>
      </c>
      <c r="H22" s="10">
        <f t="shared" si="1"/>
        <v>10</v>
      </c>
      <c r="I22" s="41" t="s">
        <v>36</v>
      </c>
      <c r="J22" s="41">
        <v>0</v>
      </c>
      <c r="K22" s="41">
        <v>0</v>
      </c>
      <c r="L22" s="41">
        <v>0</v>
      </c>
      <c r="M22" s="41">
        <v>0</v>
      </c>
      <c r="N22" s="41">
        <v>0.97145256087321596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0.99567847882454596</v>
      </c>
      <c r="AF22" s="41">
        <v>0.99453237410071904</v>
      </c>
      <c r="AG22" s="41">
        <v>0</v>
      </c>
      <c r="AH22" s="41">
        <v>0</v>
      </c>
      <c r="AI22" s="41">
        <v>0</v>
      </c>
      <c r="AJ22" s="41">
        <v>0.39693446088794898</v>
      </c>
      <c r="AK22" s="41">
        <v>0</v>
      </c>
      <c r="AL22" s="41">
        <v>0</v>
      </c>
      <c r="AM22" s="41">
        <v>0</v>
      </c>
      <c r="AN22" s="41">
        <v>0</v>
      </c>
      <c r="AO22" s="41">
        <v>0.29197936210131298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0.40797476909213698</v>
      </c>
      <c r="AW22" s="41">
        <v>0.36899224806201503</v>
      </c>
      <c r="AX22" s="41">
        <v>0.25741029641185598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0.64760793465577504</v>
      </c>
      <c r="BE22" s="41">
        <v>0</v>
      </c>
      <c r="BF22" s="41">
        <v>0</v>
      </c>
      <c r="BG22" s="41">
        <v>0</v>
      </c>
      <c r="BH22" s="41">
        <v>0</v>
      </c>
      <c r="BI22" s="41">
        <v>0.28911111111111099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  <c r="BQ22" s="41">
        <v>0</v>
      </c>
      <c r="BR22" s="41">
        <v>0</v>
      </c>
      <c r="BS22" s="41">
        <v>0</v>
      </c>
      <c r="BT22" s="41">
        <v>0</v>
      </c>
      <c r="BU22" s="41">
        <v>0</v>
      </c>
      <c r="BV22" s="41">
        <v>0</v>
      </c>
      <c r="BW22" s="41">
        <v>0</v>
      </c>
      <c r="BX22" s="41">
        <v>0</v>
      </c>
      <c r="BY22" s="41">
        <v>0</v>
      </c>
      <c r="BZ22" s="41">
        <v>0</v>
      </c>
      <c r="CA22" s="41">
        <v>0</v>
      </c>
      <c r="CB22" s="41">
        <v>0</v>
      </c>
      <c r="CC22" s="41">
        <v>0</v>
      </c>
      <c r="CD22" s="41">
        <v>0</v>
      </c>
      <c r="CE22" s="41">
        <v>0</v>
      </c>
      <c r="CF22" s="41">
        <v>0</v>
      </c>
      <c r="CG22" s="41">
        <v>0</v>
      </c>
      <c r="CH22" s="41">
        <v>0</v>
      </c>
      <c r="CI22" s="41">
        <v>0</v>
      </c>
      <c r="CJ22" s="41">
        <v>0</v>
      </c>
      <c r="CK22" s="4"/>
    </row>
    <row r="23" spans="1:89" ht="19">
      <c r="A23" t="s">
        <v>22</v>
      </c>
      <c r="B23" s="7" t="s">
        <v>49</v>
      </c>
      <c r="C23" s="7" t="str">
        <f>VLOOKUP(B23,'REJO.c Escape Paths'!$A$1:$C$5,3,FALSE)</f>
        <v>B: D279A + N276D</v>
      </c>
      <c r="D23" s="10">
        <f>VLOOKUP(A23,Expression!$C$1:$D$462,2,FALSE)</f>
        <v>185.36500000000001</v>
      </c>
      <c r="E23" s="10">
        <f>VLOOKUP(A23,'REJOc Survival Analysis'!$A$1:$C$60,3,FALSE)</f>
        <v>5</v>
      </c>
      <c r="F23" s="10">
        <f>VLOOKUP(A23,'sequencing metadata'!$A$1:$B$34,2,FALSE)</f>
        <v>21</v>
      </c>
      <c r="G23" s="10">
        <f t="shared" si="0"/>
        <v>16</v>
      </c>
      <c r="H23" s="10">
        <f t="shared" si="1"/>
        <v>9</v>
      </c>
      <c r="I23" s="41" t="s">
        <v>22</v>
      </c>
      <c r="J23" s="41">
        <v>0</v>
      </c>
      <c r="K23" s="41">
        <v>0</v>
      </c>
      <c r="L23" s="41">
        <v>0</v>
      </c>
      <c r="M23" s="41">
        <v>0</v>
      </c>
      <c r="N23" s="41">
        <v>0.90900952700000004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0.26146127299999999</v>
      </c>
      <c r="AC23" s="41">
        <v>0</v>
      </c>
      <c r="AD23" s="41">
        <v>0</v>
      </c>
      <c r="AE23" s="41">
        <v>0.994773766</v>
      </c>
      <c r="AF23" s="41">
        <v>0.99236288899999903</v>
      </c>
      <c r="AG23" s="41">
        <v>0</v>
      </c>
      <c r="AH23" s="41">
        <v>0</v>
      </c>
      <c r="AI23" s="41">
        <v>0</v>
      </c>
      <c r="AJ23" s="41">
        <v>0.238420931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0.123573077</v>
      </c>
      <c r="AV23" s="41">
        <v>0</v>
      </c>
      <c r="AW23" s="41">
        <v>0</v>
      </c>
      <c r="AX23" s="41">
        <v>0.441939003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0.51406663699999999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0.115243874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  <c r="BQ23" s="41">
        <v>0</v>
      </c>
      <c r="BR23" s="41">
        <v>0</v>
      </c>
      <c r="BS23" s="41">
        <v>0</v>
      </c>
      <c r="BT23" s="41">
        <v>0</v>
      </c>
      <c r="BU23" s="41">
        <v>0</v>
      </c>
      <c r="BV23" s="41">
        <v>0</v>
      </c>
      <c r="BW23" s="41">
        <v>0</v>
      </c>
      <c r="BX23" s="41">
        <v>0</v>
      </c>
      <c r="BY23" s="41">
        <v>0</v>
      </c>
      <c r="BZ23" s="41">
        <v>0</v>
      </c>
      <c r="CA23" s="41">
        <v>0</v>
      </c>
      <c r="CB23" s="41">
        <v>0</v>
      </c>
      <c r="CC23" s="41">
        <v>0</v>
      </c>
      <c r="CD23" s="41">
        <v>0</v>
      </c>
      <c r="CE23" s="41">
        <v>0</v>
      </c>
      <c r="CF23" s="41">
        <v>0</v>
      </c>
      <c r="CG23" s="41">
        <v>0</v>
      </c>
      <c r="CH23" s="41">
        <v>0</v>
      </c>
      <c r="CI23" s="41">
        <v>0</v>
      </c>
      <c r="CJ23" s="41">
        <v>0</v>
      </c>
      <c r="CK23" s="4"/>
    </row>
    <row r="24" spans="1:89" ht="19">
      <c r="A24" t="s">
        <v>19</v>
      </c>
      <c r="B24" s="7" t="s">
        <v>49</v>
      </c>
      <c r="C24" s="7" t="str">
        <f>VLOOKUP(B24,'REJO.c Escape Paths'!$A$1:$C$5,3,FALSE)</f>
        <v>B: D279A + N276D</v>
      </c>
      <c r="D24" s="10">
        <f>VLOOKUP(A24,Expression!$C$1:$D$462,2,FALSE)</f>
        <v>65.932000000000002</v>
      </c>
      <c r="E24" s="10">
        <f>VLOOKUP(A24,'REJOc Survival Analysis'!$A$1:$C$60,3,FALSE)</f>
        <v>6</v>
      </c>
      <c r="F24" s="10">
        <f>VLOOKUP(A24,'sequencing metadata'!$A$1:$B$34,2,FALSE)</f>
        <v>14</v>
      </c>
      <c r="G24" s="10">
        <f t="shared" si="0"/>
        <v>8</v>
      </c>
      <c r="H24" s="10">
        <f t="shared" si="1"/>
        <v>5</v>
      </c>
      <c r="I24" s="41" t="s">
        <v>19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0.72665036674816597</v>
      </c>
      <c r="AF24" s="41">
        <v>0.98327594687653697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0.997509960159362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0.116133518776077</v>
      </c>
      <c r="BB24" s="41">
        <v>0</v>
      </c>
      <c r="BC24" s="41">
        <v>0.24434389140271401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  <c r="BQ24" s="41">
        <v>0</v>
      </c>
      <c r="BR24" s="41">
        <v>0</v>
      </c>
      <c r="BS24" s="41">
        <v>0</v>
      </c>
      <c r="BT24" s="41">
        <v>0</v>
      </c>
      <c r="BU24" s="41">
        <v>0</v>
      </c>
      <c r="BV24" s="41">
        <v>0</v>
      </c>
      <c r="BW24" s="41">
        <v>0</v>
      </c>
      <c r="BX24" s="41">
        <v>0</v>
      </c>
      <c r="BY24" s="41">
        <v>0</v>
      </c>
      <c r="BZ24" s="41">
        <v>0</v>
      </c>
      <c r="CA24" s="41">
        <v>0</v>
      </c>
      <c r="CB24" s="41">
        <v>0</v>
      </c>
      <c r="CC24" s="41">
        <v>0</v>
      </c>
      <c r="CD24" s="41">
        <v>0</v>
      </c>
      <c r="CE24" s="41">
        <v>0</v>
      </c>
      <c r="CF24" s="41">
        <v>0</v>
      </c>
      <c r="CG24" s="41">
        <v>0</v>
      </c>
      <c r="CH24" s="41">
        <v>0</v>
      </c>
      <c r="CI24" s="41">
        <v>0</v>
      </c>
      <c r="CJ24" s="41">
        <v>0</v>
      </c>
      <c r="CK24" s="4"/>
    </row>
    <row r="25" spans="1:89" ht="19">
      <c r="A25" t="s">
        <v>27</v>
      </c>
      <c r="B25" s="7" t="s">
        <v>49</v>
      </c>
      <c r="C25" s="7" t="str">
        <f>VLOOKUP(B25,'REJO.c Escape Paths'!$A$1:$C$5,3,FALSE)</f>
        <v>B: D279A + N276D</v>
      </c>
      <c r="D25" s="10">
        <f>VLOOKUP(A25,Expression!$C$1:$D$462,2,FALSE)</f>
        <v>73.215900000000005</v>
      </c>
      <c r="E25" s="10">
        <f>VLOOKUP(A25,'REJOc Survival Analysis'!$A$1:$C$60,3,FALSE)</f>
        <v>6</v>
      </c>
      <c r="F25" s="10">
        <f>VLOOKUP(A25,'sequencing metadata'!$A$1:$B$34,2,FALSE)</f>
        <v>24</v>
      </c>
      <c r="G25" s="10">
        <f t="shared" si="0"/>
        <v>18</v>
      </c>
      <c r="H25" s="10">
        <f t="shared" si="1"/>
        <v>16</v>
      </c>
      <c r="I25" s="41" t="s">
        <v>27</v>
      </c>
      <c r="J25" s="41">
        <v>0</v>
      </c>
      <c r="K25" s="41">
        <v>0</v>
      </c>
      <c r="L25" s="41">
        <v>0</v>
      </c>
      <c r="M25" s="41">
        <v>0.44963207307789899</v>
      </c>
      <c r="N25" s="41">
        <v>0.75439043013489404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0.25835246110686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0.30883658969804501</v>
      </c>
      <c r="AD25" s="41">
        <v>0</v>
      </c>
      <c r="AE25" s="41">
        <v>0.541676027858908</v>
      </c>
      <c r="AF25" s="41">
        <v>0.92079433919196496</v>
      </c>
      <c r="AG25" s="41">
        <v>0</v>
      </c>
      <c r="AH25" s="41">
        <v>0</v>
      </c>
      <c r="AI25" s="41">
        <v>0</v>
      </c>
      <c r="AJ25" s="41">
        <v>0.64167393199651201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0.39457202505219202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0.42716914986853599</v>
      </c>
      <c r="AY25" s="41">
        <v>0</v>
      </c>
      <c r="AZ25" s="41">
        <v>0.49643366619115498</v>
      </c>
      <c r="BA25" s="41">
        <v>0</v>
      </c>
      <c r="BB25" s="41">
        <v>0.238295633876906</v>
      </c>
      <c r="BC25" s="41">
        <v>0.28108013326319398</v>
      </c>
      <c r="BD25" s="41">
        <v>0.33579269389958599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0.27144818119423397</v>
      </c>
      <c r="BR25" s="41">
        <v>0.33212520593080702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0.25522041763341002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1">
        <v>0</v>
      </c>
      <c r="CI25" s="41">
        <v>0</v>
      </c>
      <c r="CJ25" s="41">
        <v>0</v>
      </c>
      <c r="CK25" s="4"/>
    </row>
    <row r="26" spans="1:89" ht="19">
      <c r="A26" t="s">
        <v>25</v>
      </c>
      <c r="B26" s="7" t="s">
        <v>49</v>
      </c>
      <c r="C26" s="7" t="str">
        <f>VLOOKUP(B26,'REJO.c Escape Paths'!$A$1:$C$5,3,FALSE)</f>
        <v>B: D279A + N276D</v>
      </c>
      <c r="D26" s="10">
        <f>VLOOKUP(A26,Expression!$C$1:$D$462,2,FALSE)</f>
        <v>34.323700000000002</v>
      </c>
      <c r="E26" s="10">
        <f>VLOOKUP(A26,'REJOc Survival Analysis'!$A$1:$C$60,3,FALSE)</f>
        <v>3</v>
      </c>
      <c r="F26" s="10">
        <f>VLOOKUP(A26,'sequencing metadata'!$A$1:$B$34,2,FALSE)</f>
        <v>9</v>
      </c>
      <c r="G26" s="10">
        <f t="shared" si="0"/>
        <v>6</v>
      </c>
      <c r="H26" s="10">
        <f t="shared" si="1"/>
        <v>5</v>
      </c>
      <c r="I26" s="41" t="s">
        <v>25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0.36007326007326002</v>
      </c>
      <c r="AF26" s="41">
        <v>0.99175721243911497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0.11924235901851001</v>
      </c>
      <c r="BD26" s="41">
        <v>0</v>
      </c>
      <c r="BE26" s="41">
        <v>0.36971046770601301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  <c r="BQ26" s="41">
        <v>0</v>
      </c>
      <c r="BR26" s="41">
        <v>0</v>
      </c>
      <c r="BS26" s="41">
        <v>0</v>
      </c>
      <c r="BT26" s="41">
        <v>0</v>
      </c>
      <c r="BU26" s="41">
        <v>0</v>
      </c>
      <c r="BV26" s="41">
        <v>0</v>
      </c>
      <c r="BW26" s="41">
        <v>0</v>
      </c>
      <c r="BX26" s="41">
        <v>0.80791618160651901</v>
      </c>
      <c r="BY26" s="41">
        <v>0</v>
      </c>
      <c r="BZ26" s="41">
        <v>0</v>
      </c>
      <c r="CA26" s="41">
        <v>0</v>
      </c>
      <c r="CB26" s="41">
        <v>0</v>
      </c>
      <c r="CC26" s="41">
        <v>0</v>
      </c>
      <c r="CD26" s="41">
        <v>0</v>
      </c>
      <c r="CE26" s="41">
        <v>0</v>
      </c>
      <c r="CF26" s="41">
        <v>0</v>
      </c>
      <c r="CG26" s="41">
        <v>0</v>
      </c>
      <c r="CH26" s="41">
        <v>0</v>
      </c>
      <c r="CI26" s="41">
        <v>0</v>
      </c>
      <c r="CJ26" s="41">
        <v>0</v>
      </c>
      <c r="CK26" s="4"/>
    </row>
    <row r="27" spans="1:89" ht="19">
      <c r="A27" t="s">
        <v>248</v>
      </c>
      <c r="B27" s="7" t="s">
        <v>50</v>
      </c>
      <c r="C27" s="7" t="str">
        <f>VLOOKUP(B27,'REJO.c Escape Paths'!$A$1:$C$5,3,FALSE)</f>
        <v>C: D279A + Other</v>
      </c>
      <c r="D27" s="10">
        <f>VLOOKUP(A27,Expression!$C$1:$D$462,2,FALSE)</f>
        <v>45.046700000000001</v>
      </c>
      <c r="E27" s="10">
        <f>VLOOKUP(A27,'REJOc Survival Analysis'!$A$1:$C$60,3,FALSE)</f>
        <v>4</v>
      </c>
      <c r="F27" s="10">
        <f>VLOOKUP(A27,'sequencing metadata'!$A$1:$B$34,2,FALSE)</f>
        <v>10</v>
      </c>
      <c r="G27" s="10">
        <f t="shared" si="0"/>
        <v>6</v>
      </c>
      <c r="H27" s="10">
        <f t="shared" si="1"/>
        <v>2</v>
      </c>
      <c r="I27" s="41" t="s">
        <v>248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0.99876847290640403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0.698458282950423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  <c r="BQ27" s="41">
        <v>0</v>
      </c>
      <c r="BR27" s="41">
        <v>0</v>
      </c>
      <c r="BS27" s="41">
        <v>0</v>
      </c>
      <c r="BT27" s="41">
        <v>0</v>
      </c>
      <c r="BU27" s="41">
        <v>0</v>
      </c>
      <c r="BV27" s="41">
        <v>0</v>
      </c>
      <c r="BW27" s="41">
        <v>0</v>
      </c>
      <c r="BX27" s="41">
        <v>0</v>
      </c>
      <c r="BY27" s="41">
        <v>0</v>
      </c>
      <c r="BZ27" s="41">
        <v>0</v>
      </c>
      <c r="CA27" s="41">
        <v>0</v>
      </c>
      <c r="CB27" s="41">
        <v>0</v>
      </c>
      <c r="CC27" s="41">
        <v>0</v>
      </c>
      <c r="CD27" s="41">
        <v>0</v>
      </c>
      <c r="CE27" s="41">
        <v>0</v>
      </c>
      <c r="CF27" s="41">
        <v>0</v>
      </c>
      <c r="CG27" s="41">
        <v>0</v>
      </c>
      <c r="CH27" s="41">
        <v>0</v>
      </c>
      <c r="CI27" s="41">
        <v>0</v>
      </c>
      <c r="CJ27" s="41">
        <v>0</v>
      </c>
      <c r="CK27" s="4"/>
    </row>
    <row r="28" spans="1:89" ht="19">
      <c r="A28" t="s">
        <v>32</v>
      </c>
      <c r="B28" s="7" t="s">
        <v>50</v>
      </c>
      <c r="C28" s="7" t="str">
        <f>VLOOKUP(B28,'REJO.c Escape Paths'!$A$1:$C$5,3,FALSE)</f>
        <v>C: D279A + Other</v>
      </c>
      <c r="D28" s="10">
        <f>VLOOKUP(A28,Expression!$C$1:$D$462,2,FALSE)</f>
        <v>32.966000000000001</v>
      </c>
      <c r="E28" s="10">
        <f>VLOOKUP(A28,'REJOc Survival Analysis'!$A$1:$C$60,3,FALSE)</f>
        <v>7</v>
      </c>
      <c r="F28" s="10">
        <f>VLOOKUP(A28,'sequencing metadata'!$A$1:$B$34,2,FALSE)</f>
        <v>15</v>
      </c>
      <c r="G28" s="10">
        <f t="shared" si="0"/>
        <v>8</v>
      </c>
      <c r="H28" s="10">
        <f t="shared" si="1"/>
        <v>5</v>
      </c>
      <c r="I28" s="41" t="s">
        <v>32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0.96503855999999999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0.995042812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41">
        <v>0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0.99748427699999997</v>
      </c>
      <c r="BK28" s="41">
        <v>0.99686716799999997</v>
      </c>
      <c r="BL28" s="41">
        <v>0</v>
      </c>
      <c r="BM28" s="41">
        <v>0</v>
      </c>
      <c r="BN28" s="41">
        <v>0</v>
      </c>
      <c r="BO28" s="41">
        <v>0</v>
      </c>
      <c r="BP28" s="41">
        <v>0.99608958400000003</v>
      </c>
      <c r="BQ28" s="41">
        <v>0</v>
      </c>
      <c r="BR28" s="41">
        <v>0</v>
      </c>
      <c r="BS28" s="41">
        <v>0</v>
      </c>
      <c r="BT28" s="41">
        <v>0</v>
      </c>
      <c r="BU28" s="41">
        <v>0</v>
      </c>
      <c r="BV28" s="41">
        <v>0</v>
      </c>
      <c r="BW28" s="41">
        <v>0</v>
      </c>
      <c r="BX28" s="41">
        <v>0</v>
      </c>
      <c r="BY28" s="41">
        <v>0</v>
      </c>
      <c r="BZ28" s="41">
        <v>0</v>
      </c>
      <c r="CA28" s="41">
        <v>0</v>
      </c>
      <c r="CB28" s="41">
        <v>0</v>
      </c>
      <c r="CC28" s="41">
        <v>0</v>
      </c>
      <c r="CD28" s="41">
        <v>0</v>
      </c>
      <c r="CE28" s="41">
        <v>0</v>
      </c>
      <c r="CF28" s="41">
        <v>0</v>
      </c>
      <c r="CG28" s="41">
        <v>0</v>
      </c>
      <c r="CH28" s="41">
        <v>0</v>
      </c>
      <c r="CI28" s="41">
        <v>0</v>
      </c>
      <c r="CJ28" s="41">
        <v>0</v>
      </c>
      <c r="CK28" s="4"/>
    </row>
    <row r="29" spans="1:89" ht="19">
      <c r="A29" t="s">
        <v>14</v>
      </c>
      <c r="B29" s="7" t="s">
        <v>50</v>
      </c>
      <c r="C29" s="7" t="str">
        <f>VLOOKUP(B29,'REJO.c Escape Paths'!$A$1:$C$5,3,FALSE)</f>
        <v>C: D279A + Other</v>
      </c>
      <c r="D29" s="10">
        <f>VLOOKUP(A29,Expression!$C$1:$D$462,2,FALSE)</f>
        <v>75.524100000000004</v>
      </c>
      <c r="E29" s="10">
        <f>VLOOKUP(A29,'REJOc Survival Analysis'!$A$1:$C$60,3,FALSE)</f>
        <v>10</v>
      </c>
      <c r="F29" s="10">
        <f>VLOOKUP(A29,'sequencing metadata'!$A$1:$B$34,2,FALSE)</f>
        <v>24</v>
      </c>
      <c r="G29" s="10">
        <f t="shared" si="0"/>
        <v>14</v>
      </c>
      <c r="H29" s="10">
        <f t="shared" si="1"/>
        <v>9</v>
      </c>
      <c r="I29" s="41" t="s">
        <v>14</v>
      </c>
      <c r="J29" s="41">
        <v>0</v>
      </c>
      <c r="K29" s="41">
        <v>0</v>
      </c>
      <c r="L29" s="41">
        <v>0</v>
      </c>
      <c r="M29" s="41">
        <v>0</v>
      </c>
      <c r="N29" s="41">
        <v>0.45980773164246203</v>
      </c>
      <c r="O29" s="41">
        <v>0</v>
      </c>
      <c r="P29" s="41">
        <v>0</v>
      </c>
      <c r="Q29" s="41">
        <v>0.27424466511726098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0.43660009289363599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0.98674285714285703</v>
      </c>
      <c r="AG29" s="41">
        <v>0</v>
      </c>
      <c r="AH29" s="41">
        <v>0</v>
      </c>
      <c r="AI29" s="41">
        <v>0</v>
      </c>
      <c r="AJ29" s="41">
        <v>0.86008423022929303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0.67467652495378905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0.98045784477945197</v>
      </c>
      <c r="BB29" s="41">
        <v>0</v>
      </c>
      <c r="BC29" s="41">
        <v>0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  <c r="BQ29" s="41">
        <v>0</v>
      </c>
      <c r="BR29" s="41">
        <v>0</v>
      </c>
      <c r="BS29" s="41">
        <v>0</v>
      </c>
      <c r="BT29" s="41">
        <v>0</v>
      </c>
      <c r="BU29" s="41">
        <v>0</v>
      </c>
      <c r="BV29" s="41">
        <v>0</v>
      </c>
      <c r="BW29" s="41">
        <v>0</v>
      </c>
      <c r="BX29" s="41">
        <v>0</v>
      </c>
      <c r="BY29" s="41">
        <v>0</v>
      </c>
      <c r="BZ29" s="41">
        <v>0</v>
      </c>
      <c r="CA29" s="41">
        <v>0</v>
      </c>
      <c r="CB29" s="41">
        <v>0</v>
      </c>
      <c r="CC29" s="41">
        <v>0</v>
      </c>
      <c r="CD29" s="41">
        <v>0</v>
      </c>
      <c r="CE29" s="41">
        <v>0</v>
      </c>
      <c r="CF29" s="41">
        <v>0.442066805845511</v>
      </c>
      <c r="CG29" s="41">
        <v>0</v>
      </c>
      <c r="CH29" s="41">
        <v>0</v>
      </c>
      <c r="CI29" s="41">
        <v>0.99366515837103997</v>
      </c>
      <c r="CJ29" s="41">
        <v>0</v>
      </c>
      <c r="CK29" s="4"/>
    </row>
    <row r="30" spans="1:89" ht="19">
      <c r="A30" t="s">
        <v>39</v>
      </c>
      <c r="B30" s="7" t="s">
        <v>50</v>
      </c>
      <c r="C30" s="7" t="str">
        <f>VLOOKUP(B30,'REJO.c Escape Paths'!$A$1:$C$5,3,FALSE)</f>
        <v>C: D279A + Other</v>
      </c>
      <c r="D30" s="10">
        <f>VLOOKUP(A30,Expression!$C$1:$D$462,2,FALSE)</f>
        <v>98.299800000000005</v>
      </c>
      <c r="E30" s="10">
        <f>VLOOKUP(A30,'REJOc Survival Analysis'!$A$1:$C$60,3,FALSE)</f>
        <v>2</v>
      </c>
      <c r="F30" s="10">
        <f>VLOOKUP(A30,'sequencing metadata'!$A$1:$B$34,2,FALSE)</f>
        <v>26</v>
      </c>
      <c r="G30" s="10">
        <f t="shared" si="0"/>
        <v>24</v>
      </c>
      <c r="H30" s="10">
        <f t="shared" si="1"/>
        <v>8</v>
      </c>
      <c r="I30" s="41" t="s">
        <v>39</v>
      </c>
      <c r="J30" s="41">
        <v>0</v>
      </c>
      <c r="K30" s="41">
        <v>0</v>
      </c>
      <c r="L30" s="41">
        <v>0</v>
      </c>
      <c r="M30" s="41">
        <v>0</v>
      </c>
      <c r="N30" s="41">
        <v>0.42832764499999998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0.31750367699999998</v>
      </c>
      <c r="V30" s="41">
        <v>0.45469057099999999</v>
      </c>
      <c r="W30" s="41">
        <v>0</v>
      </c>
      <c r="X30" s="41">
        <v>0</v>
      </c>
      <c r="Y30" s="41">
        <v>0</v>
      </c>
      <c r="Z30" s="41">
        <v>0</v>
      </c>
      <c r="AA30" s="41">
        <v>0.17458926599999999</v>
      </c>
      <c r="AB30" s="41">
        <v>0</v>
      </c>
      <c r="AC30" s="41">
        <v>0</v>
      </c>
      <c r="AD30" s="41">
        <v>0</v>
      </c>
      <c r="AE30" s="41">
        <v>0</v>
      </c>
      <c r="AF30" s="41">
        <v>0.61190476199999999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0.32684701799999999</v>
      </c>
      <c r="AU30" s="41">
        <v>0</v>
      </c>
      <c r="AV30" s="41">
        <v>0</v>
      </c>
      <c r="AW30" s="41">
        <v>0</v>
      </c>
      <c r="AX30" s="41">
        <v>0.25548368999999999</v>
      </c>
      <c r="AY30" s="41">
        <v>0</v>
      </c>
      <c r="AZ30" s="41">
        <v>0</v>
      </c>
      <c r="BA30" s="41">
        <v>0.57604823199999999</v>
      </c>
      <c r="BB30" s="41">
        <v>0</v>
      </c>
      <c r="BC30" s="41">
        <v>0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  <c r="BQ30" s="41">
        <v>0</v>
      </c>
      <c r="BR30" s="41">
        <v>0</v>
      </c>
      <c r="BS30" s="41">
        <v>0</v>
      </c>
      <c r="BT30" s="41">
        <v>0</v>
      </c>
      <c r="BU30" s="41">
        <v>0</v>
      </c>
      <c r="BV30" s="41">
        <v>0</v>
      </c>
      <c r="BW30" s="41">
        <v>0</v>
      </c>
      <c r="BX30" s="41">
        <v>0</v>
      </c>
      <c r="BY30" s="41">
        <v>0</v>
      </c>
      <c r="BZ30" s="41">
        <v>0</v>
      </c>
      <c r="CA30" s="41">
        <v>0</v>
      </c>
      <c r="CB30" s="41">
        <v>0</v>
      </c>
      <c r="CC30" s="41">
        <v>0</v>
      </c>
      <c r="CD30" s="41">
        <v>0</v>
      </c>
      <c r="CE30" s="41">
        <v>0</v>
      </c>
      <c r="CF30" s="41">
        <v>0</v>
      </c>
      <c r="CG30" s="41">
        <v>0</v>
      </c>
      <c r="CH30" s="41">
        <v>0</v>
      </c>
      <c r="CI30" s="41">
        <v>0</v>
      </c>
      <c r="CJ30" s="41">
        <v>0</v>
      </c>
      <c r="CK30" s="4"/>
    </row>
    <row r="31" spans="1:89" ht="19">
      <c r="A31" t="s">
        <v>31</v>
      </c>
      <c r="B31" s="7" t="s">
        <v>5</v>
      </c>
      <c r="C31" s="7" t="str">
        <f>VLOOKUP(B31,'REJO.c Escape Paths'!$A$1:$C$5,3,FALSE)</f>
        <v>D: Other</v>
      </c>
      <c r="D31" s="10">
        <f>VLOOKUP(A31,Expression!$C$1:$D$462,2,FALSE)</f>
        <v>20.088000000000001</v>
      </c>
      <c r="E31" s="10">
        <f>VLOOKUP(A31,'REJOc Survival Analysis'!$A$1:$C$60,3,FALSE)</f>
        <v>12</v>
      </c>
      <c r="F31" s="10">
        <f>VLOOKUP(A31,'sequencing metadata'!$A$1:$B$34,2,FALSE)</f>
        <v>24</v>
      </c>
      <c r="G31" s="10">
        <f t="shared" si="0"/>
        <v>12</v>
      </c>
      <c r="H31" s="10">
        <f t="shared" si="1"/>
        <v>5</v>
      </c>
      <c r="I31" s="41" t="s">
        <v>31</v>
      </c>
      <c r="J31" s="41">
        <v>0</v>
      </c>
      <c r="K31" s="41">
        <v>0.93376475066615905</v>
      </c>
      <c r="L31" s="41">
        <v>0</v>
      </c>
      <c r="M31" s="41">
        <v>0</v>
      </c>
      <c r="N31" s="41">
        <v>0</v>
      </c>
      <c r="O31" s="41">
        <v>0</v>
      </c>
      <c r="P31" s="41">
        <v>0.99269005847953196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0.97008547008546997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41">
        <v>0</v>
      </c>
      <c r="BD31" s="41">
        <v>0</v>
      </c>
      <c r="BE31" s="41">
        <v>0</v>
      </c>
      <c r="BF31" s="41">
        <v>0.97626803164262399</v>
      </c>
      <c r="BG31" s="41">
        <v>0.99529190207156304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  <c r="BQ31" s="41">
        <v>0</v>
      </c>
      <c r="BR31" s="41">
        <v>0</v>
      </c>
      <c r="BS31" s="41">
        <v>0</v>
      </c>
      <c r="BT31" s="41">
        <v>0</v>
      </c>
      <c r="BU31" s="41">
        <v>0</v>
      </c>
      <c r="BV31" s="41">
        <v>0</v>
      </c>
      <c r="BW31" s="41">
        <v>0</v>
      </c>
      <c r="BX31" s="41">
        <v>0</v>
      </c>
      <c r="BY31" s="41">
        <v>0</v>
      </c>
      <c r="BZ31" s="41">
        <v>0</v>
      </c>
      <c r="CA31" s="41">
        <v>0</v>
      </c>
      <c r="CB31" s="41">
        <v>0</v>
      </c>
      <c r="CC31" s="41">
        <v>0</v>
      </c>
      <c r="CD31" s="41">
        <v>0</v>
      </c>
      <c r="CE31" s="41">
        <v>0</v>
      </c>
      <c r="CF31" s="41">
        <v>0</v>
      </c>
      <c r="CG31" s="41">
        <v>0</v>
      </c>
      <c r="CH31" s="41">
        <v>0</v>
      </c>
      <c r="CI31" s="41">
        <v>0</v>
      </c>
      <c r="CJ31" s="41">
        <v>0</v>
      </c>
      <c r="CK31" s="4"/>
    </row>
    <row r="32" spans="1:89" ht="19">
      <c r="A32" t="s">
        <v>33</v>
      </c>
      <c r="B32" s="7" t="s">
        <v>5</v>
      </c>
      <c r="C32" s="7" t="str">
        <f>VLOOKUP(B32,'REJO.c Escape Paths'!$A$1:$C$5,3,FALSE)</f>
        <v>D: Other</v>
      </c>
      <c r="D32" s="10">
        <f>VLOOKUP(A32,Expression!$C$1:$D$462,2,FALSE)</f>
        <v>18.200299999999999</v>
      </c>
      <c r="E32" s="10">
        <f>VLOOKUP(A32,'REJOc Survival Analysis'!$A$1:$C$60,3,FALSE)</f>
        <v>4</v>
      </c>
      <c r="F32" s="10">
        <f>VLOOKUP(A32,'sequencing metadata'!$A$1:$B$34,2,FALSE)</f>
        <v>9</v>
      </c>
      <c r="G32" s="10">
        <f t="shared" si="0"/>
        <v>5</v>
      </c>
      <c r="H32" s="10">
        <f t="shared" si="1"/>
        <v>6</v>
      </c>
      <c r="I32" s="41" t="s">
        <v>33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0.56895193065405802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0.98062015503875899</v>
      </c>
      <c r="BG32" s="41">
        <v>0</v>
      </c>
      <c r="BH32" s="41">
        <v>0.94545454545454499</v>
      </c>
      <c r="BI32" s="41">
        <v>0</v>
      </c>
      <c r="BJ32" s="41">
        <v>0</v>
      </c>
      <c r="BK32" s="41">
        <v>0</v>
      </c>
      <c r="BL32" s="41">
        <v>0</v>
      </c>
      <c r="BM32" s="41">
        <v>0.981790591805766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41">
        <v>0</v>
      </c>
      <c r="BU32" s="41">
        <v>0</v>
      </c>
      <c r="BV32" s="41">
        <v>0</v>
      </c>
      <c r="BW32" s="41">
        <v>0</v>
      </c>
      <c r="BX32" s="41">
        <v>0</v>
      </c>
      <c r="BY32" s="41">
        <v>0</v>
      </c>
      <c r="BZ32" s="41">
        <v>0.301369863013698</v>
      </c>
      <c r="CA32" s="41">
        <v>0</v>
      </c>
      <c r="CB32" s="41">
        <v>0</v>
      </c>
      <c r="CC32" s="41">
        <v>0</v>
      </c>
      <c r="CD32" s="41">
        <v>0</v>
      </c>
      <c r="CE32" s="41">
        <v>0</v>
      </c>
      <c r="CF32" s="41">
        <v>0</v>
      </c>
      <c r="CG32" s="41">
        <v>0</v>
      </c>
      <c r="CH32" s="41">
        <v>0.31853116994022201</v>
      </c>
      <c r="CI32" s="41">
        <v>0</v>
      </c>
      <c r="CJ32" s="41">
        <v>0</v>
      </c>
      <c r="CK32" s="4"/>
    </row>
    <row r="33" spans="1:89" ht="19">
      <c r="A33" t="s">
        <v>35</v>
      </c>
      <c r="B33" s="7" t="s">
        <v>5</v>
      </c>
      <c r="C33" s="7" t="str">
        <f>VLOOKUP(B33,'REJO.c Escape Paths'!$A$1:$C$5,3,FALSE)</f>
        <v>D: Other</v>
      </c>
      <c r="D33" s="10">
        <f>VLOOKUP(A33,Expression!$C$1:$D$462,2,FALSE)</f>
        <v>33.626800000000003</v>
      </c>
      <c r="E33" s="10">
        <f>VLOOKUP(A33,'REJOc Survival Analysis'!$A$1:$C$60,3,FALSE)</f>
        <v>14</v>
      </c>
      <c r="F33" s="10">
        <f>VLOOKUP(A33,'sequencing metadata'!$A$1:$B$34,2,FALSE)</f>
        <v>22</v>
      </c>
      <c r="G33" s="10">
        <f t="shared" si="0"/>
        <v>8</v>
      </c>
      <c r="H33" s="10">
        <f t="shared" si="1"/>
        <v>4</v>
      </c>
      <c r="I33" s="41" t="s">
        <v>35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0.97464387399999997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0.74445676199999999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0.68690033299999997</v>
      </c>
      <c r="BM33" s="41">
        <v>0</v>
      </c>
      <c r="BN33" s="41">
        <v>0</v>
      </c>
      <c r="BO33" s="41">
        <v>0</v>
      </c>
      <c r="BP33" s="41">
        <v>0</v>
      </c>
      <c r="BQ33" s="41">
        <v>0</v>
      </c>
      <c r="BR33" s="41">
        <v>0</v>
      </c>
      <c r="BS33" s="41">
        <v>0</v>
      </c>
      <c r="BT33" s="41">
        <v>0</v>
      </c>
      <c r="BU33" s="41">
        <v>0</v>
      </c>
      <c r="BV33" s="41">
        <v>0</v>
      </c>
      <c r="BW33" s="41">
        <v>0</v>
      </c>
      <c r="BX33" s="41">
        <v>0</v>
      </c>
      <c r="BY33" s="41">
        <v>0</v>
      </c>
      <c r="BZ33" s="41">
        <v>0</v>
      </c>
      <c r="CA33" s="41">
        <v>0</v>
      </c>
      <c r="CB33" s="41">
        <v>0.84090909090909005</v>
      </c>
      <c r="CC33" s="41">
        <v>0</v>
      </c>
      <c r="CD33" s="41">
        <v>0</v>
      </c>
      <c r="CE33" s="41">
        <v>0</v>
      </c>
      <c r="CF33" s="41">
        <v>0</v>
      </c>
      <c r="CG33" s="41">
        <v>0</v>
      </c>
      <c r="CH33" s="41">
        <v>0</v>
      </c>
      <c r="CI33" s="41">
        <v>0</v>
      </c>
      <c r="CJ33" s="41">
        <v>0</v>
      </c>
      <c r="CK33" s="4"/>
    </row>
    <row r="34" spans="1:89" ht="19">
      <c r="A34" t="s">
        <v>26</v>
      </c>
      <c r="B34" s="7" t="s">
        <v>5</v>
      </c>
      <c r="C34" s="7" t="str">
        <f>VLOOKUP(B34,'REJO.c Escape Paths'!$A$1:$C$5,3,FALSE)</f>
        <v>D: Other</v>
      </c>
      <c r="D34" s="10">
        <f>VLOOKUP(A34,Expression!$C$1:$D$462,2,FALSE)</f>
        <v>71.940799999999996</v>
      </c>
      <c r="E34" s="10">
        <f>VLOOKUP(A34,'REJOc Survival Analysis'!$A$1:$C$60,3,FALSE)</f>
        <v>14</v>
      </c>
      <c r="F34" s="10">
        <f>VLOOKUP(A34,'sequencing metadata'!$A$1:$B$34,2,FALSE)</f>
        <v>20</v>
      </c>
      <c r="G34" s="10">
        <f t="shared" si="0"/>
        <v>6</v>
      </c>
      <c r="H34" s="10">
        <f t="shared" si="1"/>
        <v>6</v>
      </c>
      <c r="I34" s="41" t="s">
        <v>26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0.37892095357590899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0.96701495595164899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0.50243483242623799</v>
      </c>
      <c r="BO34" s="41">
        <v>0.99425837320574095</v>
      </c>
      <c r="BP34" s="41">
        <v>0</v>
      </c>
      <c r="BQ34" s="41">
        <v>0</v>
      </c>
      <c r="BR34" s="41">
        <v>0</v>
      </c>
      <c r="BS34" s="41">
        <v>0</v>
      </c>
      <c r="BT34" s="41">
        <v>0</v>
      </c>
      <c r="BU34" s="41">
        <v>0.57130151200711499</v>
      </c>
      <c r="BV34" s="41">
        <v>0.99034981905910702</v>
      </c>
      <c r="BW34" s="41">
        <v>0</v>
      </c>
      <c r="BX34" s="41">
        <v>0</v>
      </c>
      <c r="BY34" s="41">
        <v>0</v>
      </c>
      <c r="BZ34" s="41">
        <v>0</v>
      </c>
      <c r="CA34" s="41">
        <v>0</v>
      </c>
      <c r="CB34" s="41">
        <v>0</v>
      </c>
      <c r="CC34" s="41">
        <v>0</v>
      </c>
      <c r="CD34" s="41">
        <v>0</v>
      </c>
      <c r="CE34" s="41">
        <v>0</v>
      </c>
      <c r="CF34" s="41">
        <v>0</v>
      </c>
      <c r="CG34" s="41">
        <v>0</v>
      </c>
      <c r="CH34" s="41">
        <v>0</v>
      </c>
      <c r="CI34" s="41">
        <v>0</v>
      </c>
      <c r="CJ34" s="41">
        <v>0</v>
      </c>
      <c r="CK34" s="4"/>
    </row>
    <row r="35" spans="1:89" ht="19">
      <c r="A35" t="s">
        <v>20</v>
      </c>
      <c r="B35" s="7" t="s">
        <v>5</v>
      </c>
      <c r="C35" s="7" t="str">
        <f>VLOOKUP(B35,'REJO.c Escape Paths'!$A$1:$C$5,3,FALSE)</f>
        <v>D: Other</v>
      </c>
      <c r="D35" s="10">
        <f>VLOOKUP(A35,Expression!$C$1:$D$462,2,FALSE)</f>
        <v>69.819299999999998</v>
      </c>
      <c r="E35" s="10">
        <f>VLOOKUP(A35,'REJOc Survival Analysis'!$A$1:$C$60,3,FALSE)</f>
        <v>15</v>
      </c>
      <c r="F35" s="10">
        <f>VLOOKUP(A35,'sequencing metadata'!$A$1:$B$34,2,FALSE)</f>
        <v>20</v>
      </c>
      <c r="G35" s="10">
        <f t="shared" si="0"/>
        <v>5</v>
      </c>
      <c r="H35" s="10">
        <f t="shared" si="1"/>
        <v>7</v>
      </c>
      <c r="I35" s="41" t="s">
        <v>20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0.31544703000000002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0.32704387299999998</v>
      </c>
      <c r="BG35" s="41">
        <v>0.74587207799999999</v>
      </c>
      <c r="BH35" s="41">
        <v>0.163994379</v>
      </c>
      <c r="BI35" s="41">
        <v>0</v>
      </c>
      <c r="BJ35" s="41">
        <v>0</v>
      </c>
      <c r="BK35" s="41">
        <v>0</v>
      </c>
      <c r="BL35" s="41">
        <v>0</v>
      </c>
      <c r="BM35" s="41">
        <v>0.91051709699999905</v>
      </c>
      <c r="BN35" s="41">
        <v>0</v>
      </c>
      <c r="BO35" s="41">
        <v>0</v>
      </c>
      <c r="BP35" s="41">
        <v>0</v>
      </c>
      <c r="BQ35" s="41">
        <v>0</v>
      </c>
      <c r="BR35" s="41">
        <v>0</v>
      </c>
      <c r="BS35" s="41">
        <v>0.30125037900000001</v>
      </c>
      <c r="BT35" s="41">
        <v>0</v>
      </c>
      <c r="BU35" s="41">
        <v>0</v>
      </c>
      <c r="BV35" s="41">
        <v>0</v>
      </c>
      <c r="BW35" s="41">
        <v>0</v>
      </c>
      <c r="BX35" s="41">
        <v>0.141245487</v>
      </c>
      <c r="BY35" s="41">
        <v>0</v>
      </c>
      <c r="BZ35" s="41">
        <v>0</v>
      </c>
      <c r="CA35" s="41">
        <v>0</v>
      </c>
      <c r="CB35" s="41">
        <v>0</v>
      </c>
      <c r="CC35" s="41">
        <v>0</v>
      </c>
      <c r="CD35" s="41">
        <v>0</v>
      </c>
      <c r="CE35" s="41">
        <v>0</v>
      </c>
      <c r="CF35" s="41">
        <v>0</v>
      </c>
      <c r="CG35" s="41">
        <v>0</v>
      </c>
      <c r="CH35" s="41">
        <v>0</v>
      </c>
      <c r="CI35" s="41">
        <v>0</v>
      </c>
      <c r="CJ35" s="41">
        <v>0</v>
      </c>
      <c r="CK35" s="4"/>
    </row>
    <row r="39" spans="1:89"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</row>
    <row r="41" spans="1:89"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</row>
    <row r="70" spans="9:9">
      <c r="I70" s="6"/>
    </row>
  </sheetData>
  <autoFilter ref="A9:BU35" xr:uid="{4B19BEEB-1430-AF4E-B46A-390B24A860BB}">
    <sortState xmlns:xlrd2="http://schemas.microsoft.com/office/spreadsheetml/2017/richdata2" ref="A10:BU35">
      <sortCondition ref="B9:B35"/>
    </sortState>
  </autoFilter>
  <conditionalFormatting sqref="I10:CJ35">
    <cfRule type="colorScale" priority="17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topLeftCell="B4" zoomScale="400" zoomScaleNormal="222" workbookViewId="0">
      <selection activeCell="B13" sqref="B13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41</v>
      </c>
      <c r="B1" s="2" t="s">
        <v>54</v>
      </c>
      <c r="C1" s="2" t="s">
        <v>57</v>
      </c>
    </row>
    <row r="2" spans="1:3">
      <c r="A2" s="22" t="s">
        <v>1</v>
      </c>
      <c r="B2" s="2" t="s">
        <v>53</v>
      </c>
      <c r="C2" s="2" t="str">
        <f>_xlfn.CONCAT(A2,": ",B2)</f>
        <v>A: D279A + N460D</v>
      </c>
    </row>
    <row r="3" spans="1:3">
      <c r="A3" s="22" t="s">
        <v>49</v>
      </c>
      <c r="B3" s="2" t="s">
        <v>361</v>
      </c>
      <c r="C3" s="2" t="str">
        <f>_xlfn.CONCAT(A3,": ",B3)</f>
        <v>B: D279A + N276D</v>
      </c>
    </row>
    <row r="4" spans="1:3">
      <c r="A4" s="22" t="s">
        <v>50</v>
      </c>
      <c r="B4" s="2" t="s">
        <v>55</v>
      </c>
      <c r="C4" s="2" t="str">
        <f>_xlfn.CONCAT(A4,": ",B4)</f>
        <v>C: D279A + Other</v>
      </c>
    </row>
    <row r="5" spans="1:3">
      <c r="A5" s="2" t="s">
        <v>5</v>
      </c>
      <c r="B5" s="1" t="s">
        <v>56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dimension ref="A1:AJ894"/>
  <sheetViews>
    <sheetView workbookViewId="0">
      <selection activeCell="H1" sqref="H1:H1048576"/>
    </sheetView>
  </sheetViews>
  <sheetFormatPr baseColWidth="10" defaultRowHeight="16"/>
  <cols>
    <col min="5" max="5" width="0" hidden="1" customWidth="1"/>
    <col min="8" max="8" width="13.1640625" bestFit="1" customWidth="1"/>
  </cols>
  <sheetData>
    <row r="1" spans="1:36">
      <c r="B1" t="s">
        <v>59</v>
      </c>
      <c r="C1" t="s">
        <v>60</v>
      </c>
      <c r="D1" t="s">
        <v>61</v>
      </c>
      <c r="E1" s="6" t="s">
        <v>62</v>
      </c>
      <c r="F1" s="6" t="s">
        <v>83</v>
      </c>
      <c r="G1" t="s">
        <v>63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247</v>
      </c>
      <c r="N1" t="s">
        <v>248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s="6" t="s">
        <v>82</v>
      </c>
    </row>
    <row r="2" spans="1:36">
      <c r="A2">
        <v>0</v>
      </c>
      <c r="B2">
        <v>1</v>
      </c>
      <c r="C2">
        <v>1</v>
      </c>
      <c r="D2" t="s">
        <v>43</v>
      </c>
      <c r="E2" s="6" t="s">
        <v>43</v>
      </c>
      <c r="F2" s="6" t="b">
        <f t="shared" ref="F2:F65" si="0"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COUNTIF(H2:AI2,"&gt;0.1")</f>
        <v>0</v>
      </c>
    </row>
    <row r="3" spans="1:36">
      <c r="A3">
        <v>1</v>
      </c>
      <c r="B3">
        <v>2</v>
      </c>
      <c r="C3">
        <v>2</v>
      </c>
      <c r="D3" t="s">
        <v>8</v>
      </c>
      <c r="E3" s="6" t="s">
        <v>10</v>
      </c>
      <c r="F3" s="6" t="b">
        <f t="shared" si="0"/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J66" si="1">COUNTIF(H3:AI3,"&gt;0.25")</f>
        <v>0</v>
      </c>
    </row>
    <row r="4" spans="1:36">
      <c r="A4">
        <v>2</v>
      </c>
      <c r="B4">
        <v>3</v>
      </c>
      <c r="C4">
        <v>3</v>
      </c>
      <c r="D4" t="s">
        <v>47</v>
      </c>
      <c r="E4" s="6" t="s">
        <v>47</v>
      </c>
      <c r="F4" s="6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</row>
    <row r="5" spans="1:36">
      <c r="A5">
        <v>3</v>
      </c>
      <c r="B5">
        <v>4</v>
      </c>
      <c r="C5">
        <v>4</v>
      </c>
      <c r="D5" t="s">
        <v>8</v>
      </c>
      <c r="E5" s="6" t="s">
        <v>8</v>
      </c>
      <c r="F5" s="6" t="b">
        <f t="shared" si="0"/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</row>
    <row r="6" spans="1:36">
      <c r="A6">
        <v>4</v>
      </c>
      <c r="B6">
        <v>5</v>
      </c>
      <c r="C6" t="s">
        <v>64</v>
      </c>
      <c r="D6" t="s">
        <v>4</v>
      </c>
      <c r="E6" s="6" t="s">
        <v>65</v>
      </c>
      <c r="F6" s="6" t="b">
        <f t="shared" si="0"/>
        <v>0</v>
      </c>
      <c r="G6" t="s">
        <v>10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0.152849740932642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</row>
    <row r="7" spans="1:36">
      <c r="A7">
        <v>5</v>
      </c>
      <c r="B7">
        <v>6</v>
      </c>
      <c r="C7" t="s">
        <v>66</v>
      </c>
      <c r="D7" t="s">
        <v>46</v>
      </c>
      <c r="E7" s="6" t="s">
        <v>65</v>
      </c>
      <c r="F7" s="6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</row>
    <row r="8" spans="1:36">
      <c r="A8">
        <v>6</v>
      </c>
      <c r="B8">
        <v>7</v>
      </c>
      <c r="C8" t="s">
        <v>67</v>
      </c>
      <c r="D8" t="s">
        <v>10</v>
      </c>
      <c r="E8" s="6" t="s">
        <v>65</v>
      </c>
      <c r="F8" s="6" t="b">
        <f t="shared" si="0"/>
        <v>0</v>
      </c>
      <c r="G8" t="s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0.23738872403560801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</row>
    <row r="9" spans="1:36">
      <c r="A9">
        <v>7</v>
      </c>
      <c r="B9">
        <v>7</v>
      </c>
      <c r="C9" t="s">
        <v>67</v>
      </c>
      <c r="D9" t="s">
        <v>10</v>
      </c>
      <c r="E9" s="6" t="s">
        <v>65</v>
      </c>
      <c r="F9" s="6" t="b">
        <f t="shared" si="0"/>
        <v>1</v>
      </c>
      <c r="G9" t="s">
        <v>10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0.130563798219584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</row>
    <row r="10" spans="1:36">
      <c r="A10">
        <v>8</v>
      </c>
      <c r="B10">
        <v>8</v>
      </c>
      <c r="C10">
        <v>5</v>
      </c>
      <c r="D10" t="s">
        <v>10</v>
      </c>
      <c r="E10" s="6" t="s">
        <v>6</v>
      </c>
      <c r="F10" s="6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</row>
    <row r="11" spans="1:36">
      <c r="A11">
        <v>9</v>
      </c>
      <c r="B11">
        <v>9</v>
      </c>
      <c r="C11">
        <v>6</v>
      </c>
      <c r="D11" t="s">
        <v>3</v>
      </c>
      <c r="E11" s="6" t="s">
        <v>8</v>
      </c>
      <c r="F11" s="6" t="b">
        <f t="shared" si="0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</row>
    <row r="12" spans="1:36">
      <c r="A12">
        <v>10</v>
      </c>
      <c r="B12">
        <v>10</v>
      </c>
      <c r="C12">
        <v>7</v>
      </c>
      <c r="D12" t="s">
        <v>68</v>
      </c>
      <c r="E12" s="6" t="s">
        <v>68</v>
      </c>
      <c r="F12" s="6" t="b">
        <f t="shared" si="0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f t="shared" si="1"/>
        <v>0</v>
      </c>
    </row>
    <row r="13" spans="1:36">
      <c r="A13">
        <v>11</v>
      </c>
      <c r="B13">
        <v>11</v>
      </c>
      <c r="C13">
        <v>8</v>
      </c>
      <c r="D13" t="s">
        <v>44</v>
      </c>
      <c r="E13" s="6" t="s">
        <v>44</v>
      </c>
      <c r="F13" s="6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 t="shared" si="1"/>
        <v>0</v>
      </c>
    </row>
    <row r="14" spans="1:36">
      <c r="A14">
        <v>12</v>
      </c>
      <c r="B14">
        <v>12</v>
      </c>
      <c r="C14">
        <v>9</v>
      </c>
      <c r="D14" t="s">
        <v>9</v>
      </c>
      <c r="E14" s="6" t="s">
        <v>9</v>
      </c>
      <c r="F14" s="6" t="b">
        <f t="shared" si="0"/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f t="shared" si="1"/>
        <v>0</v>
      </c>
    </row>
    <row r="15" spans="1:36">
      <c r="A15">
        <v>13</v>
      </c>
      <c r="B15">
        <v>13</v>
      </c>
      <c r="C15">
        <v>10</v>
      </c>
      <c r="D15" t="s">
        <v>42</v>
      </c>
      <c r="E15" s="6" t="s">
        <v>42</v>
      </c>
      <c r="F15" s="6" t="b">
        <f t="shared" si="0"/>
        <v>1</v>
      </c>
      <c r="G15" t="s">
        <v>42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0.16634553628773199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f t="shared" si="1"/>
        <v>0</v>
      </c>
    </row>
    <row r="16" spans="1:36">
      <c r="A16">
        <v>14</v>
      </c>
      <c r="B16">
        <v>14</v>
      </c>
      <c r="C16">
        <v>11</v>
      </c>
      <c r="D16" t="s">
        <v>69</v>
      </c>
      <c r="E16" s="6" t="s">
        <v>69</v>
      </c>
      <c r="F16" s="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f t="shared" si="1"/>
        <v>0</v>
      </c>
    </row>
    <row r="17" spans="1:36">
      <c r="A17">
        <v>15</v>
      </c>
      <c r="B17">
        <v>15</v>
      </c>
      <c r="C17">
        <v>12</v>
      </c>
      <c r="D17" t="s">
        <v>10</v>
      </c>
      <c r="E17" s="6" t="s">
        <v>10</v>
      </c>
      <c r="F17" s="6" t="b">
        <f t="shared" si="0"/>
        <v>0</v>
      </c>
      <c r="G17" t="s">
        <v>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0.185975609756097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 t="shared" si="1"/>
        <v>0</v>
      </c>
    </row>
    <row r="18" spans="1:36">
      <c r="A18">
        <v>16</v>
      </c>
      <c r="B18" t="s">
        <v>70</v>
      </c>
      <c r="C18">
        <v>13</v>
      </c>
      <c r="D18" t="s">
        <v>65</v>
      </c>
      <c r="E18" s="6" t="s">
        <v>69</v>
      </c>
      <c r="F18" s="6" t="b">
        <f t="shared" si="0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 t="shared" si="1"/>
        <v>0</v>
      </c>
    </row>
    <row r="19" spans="1:36">
      <c r="A19">
        <v>17</v>
      </c>
      <c r="B19" t="s">
        <v>71</v>
      </c>
      <c r="C19">
        <v>14</v>
      </c>
      <c r="D19" t="s">
        <v>65</v>
      </c>
      <c r="E19" s="6" t="s">
        <v>4</v>
      </c>
      <c r="F19" s="6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 t="shared" si="1"/>
        <v>0</v>
      </c>
    </row>
    <row r="20" spans="1:36">
      <c r="A20">
        <v>18</v>
      </c>
      <c r="B20" t="s">
        <v>72</v>
      </c>
      <c r="C20">
        <v>15</v>
      </c>
      <c r="D20" t="s">
        <v>65</v>
      </c>
      <c r="E20" s="6" t="s">
        <v>69</v>
      </c>
      <c r="F20" s="6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 t="shared" si="1"/>
        <v>0</v>
      </c>
    </row>
    <row r="21" spans="1:36">
      <c r="A21">
        <v>19</v>
      </c>
      <c r="B21" t="s">
        <v>73</v>
      </c>
      <c r="C21">
        <v>16</v>
      </c>
      <c r="D21" t="s">
        <v>65</v>
      </c>
      <c r="E21" s="6" t="s">
        <v>10</v>
      </c>
      <c r="F21" s="6" t="b">
        <f t="shared" si="0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f t="shared" si="1"/>
        <v>0</v>
      </c>
    </row>
    <row r="22" spans="1:36">
      <c r="A22">
        <v>20</v>
      </c>
      <c r="B22">
        <v>16</v>
      </c>
      <c r="C22">
        <v>17</v>
      </c>
      <c r="D22" t="s">
        <v>69</v>
      </c>
      <c r="E22" s="6" t="s">
        <v>69</v>
      </c>
      <c r="F22" s="6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f t="shared" si="1"/>
        <v>0</v>
      </c>
    </row>
    <row r="23" spans="1:36">
      <c r="A23">
        <v>21</v>
      </c>
      <c r="B23">
        <v>17</v>
      </c>
      <c r="C23">
        <v>18</v>
      </c>
      <c r="D23" t="s">
        <v>4</v>
      </c>
      <c r="E23" s="6" t="s">
        <v>4</v>
      </c>
      <c r="F23" s="6" t="b">
        <f t="shared" si="0"/>
        <v>0</v>
      </c>
      <c r="G23" t="s">
        <v>7</v>
      </c>
      <c r="H23">
        <v>0</v>
      </c>
      <c r="I23">
        <v>0.31366361628273898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0.24365207995678001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f t="shared" si="1"/>
        <v>1</v>
      </c>
    </row>
    <row r="24" spans="1:36">
      <c r="A24">
        <v>22</v>
      </c>
      <c r="B24">
        <v>18</v>
      </c>
      <c r="C24">
        <v>19</v>
      </c>
      <c r="D24" t="s">
        <v>46</v>
      </c>
      <c r="E24" s="6" t="s">
        <v>2</v>
      </c>
      <c r="F24" s="6" t="b">
        <f t="shared" si="0"/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f t="shared" si="1"/>
        <v>0</v>
      </c>
    </row>
    <row r="25" spans="1:36">
      <c r="A25">
        <v>23</v>
      </c>
      <c r="B25">
        <v>19</v>
      </c>
      <c r="C25">
        <v>20</v>
      </c>
      <c r="D25" t="s">
        <v>43</v>
      </c>
      <c r="E25" s="6" t="s">
        <v>43</v>
      </c>
      <c r="F25" s="6" t="b">
        <f t="shared" si="0"/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f t="shared" si="1"/>
        <v>0</v>
      </c>
    </row>
    <row r="26" spans="1:36">
      <c r="A26">
        <v>24</v>
      </c>
      <c r="B26">
        <v>20</v>
      </c>
      <c r="C26">
        <v>21</v>
      </c>
      <c r="D26" t="s">
        <v>42</v>
      </c>
      <c r="E26" s="6" t="s">
        <v>42</v>
      </c>
      <c r="F26" s="6" t="b">
        <f t="shared" si="0"/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f t="shared" si="1"/>
        <v>0</v>
      </c>
    </row>
    <row r="27" spans="1:36">
      <c r="A27">
        <v>25</v>
      </c>
      <c r="B27">
        <v>21</v>
      </c>
      <c r="C27">
        <v>22</v>
      </c>
      <c r="D27" t="s">
        <v>42</v>
      </c>
      <c r="E27" s="6" t="s">
        <v>42</v>
      </c>
      <c r="F27" s="6" t="b">
        <f t="shared" si="0"/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f t="shared" si="1"/>
        <v>0</v>
      </c>
    </row>
    <row r="28" spans="1:36">
      <c r="A28">
        <v>26</v>
      </c>
      <c r="B28">
        <v>22</v>
      </c>
      <c r="C28">
        <v>23</v>
      </c>
      <c r="D28" t="s">
        <v>4</v>
      </c>
      <c r="E28" s="6" t="s">
        <v>4</v>
      </c>
      <c r="F28" s="6" t="b">
        <f t="shared" si="0"/>
        <v>0</v>
      </c>
      <c r="G28" t="s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0.14056224899598299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f t="shared" si="1"/>
        <v>0</v>
      </c>
    </row>
    <row r="29" spans="1:36">
      <c r="A29">
        <v>27</v>
      </c>
      <c r="B29">
        <v>23</v>
      </c>
      <c r="C29">
        <v>24</v>
      </c>
      <c r="D29" t="s">
        <v>46</v>
      </c>
      <c r="E29" s="6" t="s">
        <v>43</v>
      </c>
      <c r="F29" s="6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f t="shared" si="1"/>
        <v>0</v>
      </c>
    </row>
    <row r="30" spans="1:36">
      <c r="A30">
        <v>28</v>
      </c>
      <c r="B30">
        <v>24</v>
      </c>
      <c r="C30">
        <v>25</v>
      </c>
      <c r="D30" t="s">
        <v>42</v>
      </c>
      <c r="E30" s="6" t="s">
        <v>42</v>
      </c>
      <c r="F30" s="6" t="b">
        <f t="shared" si="0"/>
        <v>1</v>
      </c>
      <c r="G30" t="s">
        <v>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0.11111111111111099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f t="shared" si="1"/>
        <v>0</v>
      </c>
    </row>
    <row r="31" spans="1:36">
      <c r="A31">
        <v>29</v>
      </c>
      <c r="B31">
        <v>25</v>
      </c>
      <c r="C31">
        <v>26</v>
      </c>
      <c r="D31" t="s">
        <v>43</v>
      </c>
      <c r="E31" s="6" t="s">
        <v>43</v>
      </c>
      <c r="F31" s="6" t="b">
        <f t="shared" si="0"/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f t="shared" si="1"/>
        <v>0</v>
      </c>
    </row>
    <row r="32" spans="1:36">
      <c r="A32">
        <v>30</v>
      </c>
      <c r="B32">
        <v>26</v>
      </c>
      <c r="C32">
        <v>27</v>
      </c>
      <c r="D32" t="s">
        <v>46</v>
      </c>
      <c r="E32" s="6" t="s">
        <v>46</v>
      </c>
      <c r="F32" s="6" t="b">
        <f t="shared" si="0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f t="shared" si="1"/>
        <v>0</v>
      </c>
    </row>
    <row r="33" spans="1:36">
      <c r="A33">
        <v>31</v>
      </c>
      <c r="B33">
        <v>27</v>
      </c>
      <c r="C33">
        <v>28</v>
      </c>
      <c r="D33" t="s">
        <v>50</v>
      </c>
      <c r="E33" s="6" t="s">
        <v>50</v>
      </c>
      <c r="F33" s="6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f t="shared" si="1"/>
        <v>0</v>
      </c>
    </row>
    <row r="34" spans="1:36">
      <c r="A34">
        <v>32</v>
      </c>
      <c r="B34">
        <v>28</v>
      </c>
      <c r="C34">
        <v>29</v>
      </c>
      <c r="D34" t="s">
        <v>7</v>
      </c>
      <c r="E34" s="6" t="s">
        <v>7</v>
      </c>
      <c r="F34" s="6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f t="shared" si="1"/>
        <v>0</v>
      </c>
    </row>
    <row r="35" spans="1:36">
      <c r="A35">
        <v>33</v>
      </c>
      <c r="B35">
        <v>29</v>
      </c>
      <c r="C35">
        <v>30</v>
      </c>
      <c r="D35" t="s">
        <v>1</v>
      </c>
      <c r="E35" s="6" t="s">
        <v>1</v>
      </c>
      <c r="F35" s="6" t="b">
        <f t="shared" si="0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f t="shared" si="1"/>
        <v>0</v>
      </c>
    </row>
    <row r="36" spans="1:36">
      <c r="A36">
        <v>34</v>
      </c>
      <c r="B36">
        <v>30</v>
      </c>
      <c r="C36">
        <v>31</v>
      </c>
      <c r="D36" t="s">
        <v>2</v>
      </c>
      <c r="E36" s="6" t="s">
        <v>2</v>
      </c>
      <c r="F36" s="6" t="b">
        <f t="shared" si="0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f t="shared" si="1"/>
        <v>0</v>
      </c>
    </row>
    <row r="37" spans="1:36">
      <c r="A37">
        <v>35</v>
      </c>
      <c r="B37">
        <v>31</v>
      </c>
      <c r="C37">
        <v>32</v>
      </c>
      <c r="D37" t="s">
        <v>6</v>
      </c>
      <c r="E37" s="6" t="s">
        <v>6</v>
      </c>
      <c r="F37" s="6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f t="shared" si="1"/>
        <v>0</v>
      </c>
    </row>
    <row r="38" spans="1:36">
      <c r="A38">
        <v>36</v>
      </c>
      <c r="B38">
        <v>32</v>
      </c>
      <c r="C38">
        <v>33</v>
      </c>
      <c r="D38" t="s">
        <v>8</v>
      </c>
      <c r="E38" s="6" t="s">
        <v>8</v>
      </c>
      <c r="F38" s="6" t="b">
        <f t="shared" si="0"/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f t="shared" si="1"/>
        <v>0</v>
      </c>
    </row>
    <row r="39" spans="1:36">
      <c r="A39">
        <v>37</v>
      </c>
      <c r="B39">
        <v>33</v>
      </c>
      <c r="C39">
        <v>34</v>
      </c>
      <c r="D39" t="s">
        <v>42</v>
      </c>
      <c r="E39" s="6" t="s">
        <v>42</v>
      </c>
      <c r="F39" s="6" t="b">
        <f t="shared" si="0"/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f t="shared" si="1"/>
        <v>0</v>
      </c>
    </row>
    <row r="40" spans="1:36">
      <c r="A40">
        <v>38</v>
      </c>
      <c r="B40">
        <v>34</v>
      </c>
      <c r="C40">
        <v>35</v>
      </c>
      <c r="D40" t="s">
        <v>69</v>
      </c>
      <c r="E40" s="6" t="s">
        <v>69</v>
      </c>
      <c r="F40" s="6" t="b">
        <f t="shared" si="0"/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f t="shared" si="1"/>
        <v>0</v>
      </c>
    </row>
    <row r="41" spans="1:36">
      <c r="A41">
        <v>39</v>
      </c>
      <c r="B41">
        <v>35</v>
      </c>
      <c r="C41">
        <v>36</v>
      </c>
      <c r="D41" t="s">
        <v>47</v>
      </c>
      <c r="E41" s="6" t="s">
        <v>47</v>
      </c>
      <c r="F41" s="6" t="b">
        <f t="shared" si="0"/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f t="shared" si="1"/>
        <v>0</v>
      </c>
    </row>
    <row r="42" spans="1:36">
      <c r="A42">
        <v>40</v>
      </c>
      <c r="B42">
        <v>36</v>
      </c>
      <c r="C42">
        <v>37</v>
      </c>
      <c r="D42" t="s">
        <v>2</v>
      </c>
      <c r="E42" s="6" t="s">
        <v>2</v>
      </c>
      <c r="F42" s="6" t="b">
        <f t="shared" si="0"/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f t="shared" si="1"/>
        <v>0</v>
      </c>
    </row>
    <row r="43" spans="1:36">
      <c r="A43">
        <v>41</v>
      </c>
      <c r="B43">
        <v>37</v>
      </c>
      <c r="C43">
        <v>38</v>
      </c>
      <c r="D43" t="s">
        <v>47</v>
      </c>
      <c r="E43" s="6" t="s">
        <v>47</v>
      </c>
      <c r="F43" s="6" t="b">
        <f t="shared" si="0"/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f t="shared" si="1"/>
        <v>0</v>
      </c>
    </row>
    <row r="44" spans="1:36">
      <c r="A44">
        <v>42</v>
      </c>
      <c r="B44">
        <v>38</v>
      </c>
      <c r="C44">
        <v>39</v>
      </c>
      <c r="D44" t="s">
        <v>68</v>
      </c>
      <c r="E44" s="6" t="s">
        <v>68</v>
      </c>
      <c r="F44" s="6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f t="shared" si="1"/>
        <v>0</v>
      </c>
    </row>
    <row r="45" spans="1:36">
      <c r="A45">
        <v>43</v>
      </c>
      <c r="B45">
        <v>39</v>
      </c>
      <c r="C45">
        <v>40</v>
      </c>
      <c r="D45" t="s">
        <v>68</v>
      </c>
      <c r="E45" s="6" t="s">
        <v>68</v>
      </c>
      <c r="F45" s="6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f t="shared" si="1"/>
        <v>0</v>
      </c>
    </row>
    <row r="46" spans="1:36">
      <c r="A46">
        <v>44</v>
      </c>
      <c r="B46">
        <v>40</v>
      </c>
      <c r="C46">
        <v>41</v>
      </c>
      <c r="D46" t="s">
        <v>4</v>
      </c>
      <c r="E46" s="6" t="s">
        <v>4</v>
      </c>
      <c r="F46" s="6" t="b">
        <f t="shared" si="0"/>
        <v>0</v>
      </c>
      <c r="G46" t="s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0.1394777265745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f t="shared" si="1"/>
        <v>0</v>
      </c>
    </row>
    <row r="47" spans="1:36">
      <c r="A47">
        <v>45</v>
      </c>
      <c r="B47">
        <v>41</v>
      </c>
      <c r="C47">
        <v>42</v>
      </c>
      <c r="D47" t="s">
        <v>47</v>
      </c>
      <c r="E47" s="6" t="s">
        <v>47</v>
      </c>
      <c r="F47" s="6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f t="shared" si="1"/>
        <v>0</v>
      </c>
    </row>
    <row r="48" spans="1:36">
      <c r="A48">
        <v>46</v>
      </c>
      <c r="B48">
        <v>42</v>
      </c>
      <c r="C48">
        <v>43</v>
      </c>
      <c r="D48" t="s">
        <v>45</v>
      </c>
      <c r="E48" s="6" t="s">
        <v>45</v>
      </c>
      <c r="F48" s="6" t="b">
        <f t="shared" si="0"/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f t="shared" si="1"/>
        <v>0</v>
      </c>
    </row>
    <row r="49" spans="1:36">
      <c r="A49">
        <v>47</v>
      </c>
      <c r="B49">
        <v>43</v>
      </c>
      <c r="C49">
        <v>44</v>
      </c>
      <c r="D49" t="s">
        <v>47</v>
      </c>
      <c r="E49" s="6" t="s">
        <v>47</v>
      </c>
      <c r="F49" s="6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f t="shared" si="1"/>
        <v>0</v>
      </c>
    </row>
    <row r="50" spans="1:36">
      <c r="A50">
        <v>48</v>
      </c>
      <c r="B50">
        <v>44</v>
      </c>
      <c r="C50">
        <v>45</v>
      </c>
      <c r="D50" t="s">
        <v>69</v>
      </c>
      <c r="E50" s="6" t="s">
        <v>69</v>
      </c>
      <c r="F50" s="6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f t="shared" si="1"/>
        <v>0</v>
      </c>
    </row>
    <row r="51" spans="1:36">
      <c r="A51">
        <v>49</v>
      </c>
      <c r="B51">
        <v>45</v>
      </c>
      <c r="C51">
        <v>46</v>
      </c>
      <c r="D51" t="s">
        <v>8</v>
      </c>
      <c r="E51" s="6" t="s">
        <v>8</v>
      </c>
      <c r="F51" s="6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f t="shared" si="1"/>
        <v>0</v>
      </c>
    </row>
    <row r="52" spans="1:36">
      <c r="A52">
        <v>50</v>
      </c>
      <c r="B52">
        <v>46</v>
      </c>
      <c r="C52">
        <v>47</v>
      </c>
      <c r="D52" t="s">
        <v>6</v>
      </c>
      <c r="E52" s="6" t="s">
        <v>6</v>
      </c>
      <c r="F52" s="6" t="b">
        <f t="shared" si="0"/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f t="shared" si="1"/>
        <v>0</v>
      </c>
    </row>
    <row r="53" spans="1:36">
      <c r="A53">
        <v>51</v>
      </c>
      <c r="B53">
        <v>47</v>
      </c>
      <c r="C53">
        <v>48</v>
      </c>
      <c r="D53" t="s">
        <v>1</v>
      </c>
      <c r="E53" s="6" t="s">
        <v>1</v>
      </c>
      <c r="F53" s="6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f t="shared" si="1"/>
        <v>0</v>
      </c>
    </row>
    <row r="54" spans="1:36">
      <c r="A54">
        <v>52</v>
      </c>
      <c r="B54">
        <v>48</v>
      </c>
      <c r="C54">
        <v>49</v>
      </c>
      <c r="D54" t="s">
        <v>2</v>
      </c>
      <c r="E54" s="6" t="s">
        <v>2</v>
      </c>
      <c r="F54" s="6" t="b">
        <f t="shared" si="0"/>
        <v>0</v>
      </c>
      <c r="G54" t="s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0.93376475066615905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f t="shared" si="1"/>
        <v>1</v>
      </c>
    </row>
    <row r="55" spans="1:36">
      <c r="A55">
        <v>53</v>
      </c>
      <c r="B55">
        <v>49</v>
      </c>
      <c r="C55">
        <v>50</v>
      </c>
      <c r="D55" t="s">
        <v>2</v>
      </c>
      <c r="E55" s="6" t="s">
        <v>2</v>
      </c>
      <c r="F55" s="6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f t="shared" si="1"/>
        <v>0</v>
      </c>
    </row>
    <row r="56" spans="1:36">
      <c r="A56">
        <v>54</v>
      </c>
      <c r="B56">
        <v>50</v>
      </c>
      <c r="C56">
        <v>51</v>
      </c>
      <c r="D56" t="s">
        <v>2</v>
      </c>
      <c r="E56" s="6" t="s">
        <v>2</v>
      </c>
      <c r="F56" s="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f t="shared" si="1"/>
        <v>0</v>
      </c>
    </row>
    <row r="57" spans="1:36">
      <c r="A57">
        <v>55</v>
      </c>
      <c r="B57">
        <v>51</v>
      </c>
      <c r="C57">
        <v>52</v>
      </c>
      <c r="D57" t="s">
        <v>42</v>
      </c>
      <c r="E57" s="6" t="s">
        <v>42</v>
      </c>
      <c r="F57" s="6" t="b">
        <f t="shared" si="0"/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f t="shared" si="1"/>
        <v>0</v>
      </c>
    </row>
    <row r="58" spans="1:36">
      <c r="A58">
        <v>56</v>
      </c>
      <c r="B58">
        <v>52</v>
      </c>
      <c r="C58">
        <v>53</v>
      </c>
      <c r="D58" t="s">
        <v>48</v>
      </c>
      <c r="E58" s="6" t="s">
        <v>48</v>
      </c>
      <c r="F58" s="6" t="b">
        <f t="shared" si="0"/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f t="shared" si="1"/>
        <v>0</v>
      </c>
    </row>
    <row r="59" spans="1:36">
      <c r="A59">
        <v>57</v>
      </c>
      <c r="B59">
        <v>53</v>
      </c>
      <c r="C59">
        <v>54</v>
      </c>
      <c r="D59" t="s">
        <v>50</v>
      </c>
      <c r="E59" s="6" t="s">
        <v>50</v>
      </c>
      <c r="F59" s="6" t="b">
        <f t="shared" si="0"/>
        <v>1</v>
      </c>
      <c r="G59" t="s">
        <v>50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0.99792099792099798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f t="shared" si="1"/>
        <v>1</v>
      </c>
    </row>
    <row r="60" spans="1:36">
      <c r="A60">
        <v>58</v>
      </c>
      <c r="B60">
        <v>54</v>
      </c>
      <c r="C60">
        <v>55</v>
      </c>
      <c r="D60" t="s">
        <v>1</v>
      </c>
      <c r="E60" s="6" t="s">
        <v>1</v>
      </c>
      <c r="F60" s="6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f t="shared" si="1"/>
        <v>0</v>
      </c>
    </row>
    <row r="61" spans="1:36">
      <c r="A61">
        <v>59</v>
      </c>
      <c r="B61">
        <v>55</v>
      </c>
      <c r="C61">
        <v>56</v>
      </c>
      <c r="D61" t="s">
        <v>7</v>
      </c>
      <c r="E61" s="6" t="s">
        <v>7</v>
      </c>
      <c r="F61" s="6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f t="shared" si="1"/>
        <v>0</v>
      </c>
    </row>
    <row r="62" spans="1:36">
      <c r="A62">
        <v>60</v>
      </c>
      <c r="B62">
        <v>56</v>
      </c>
      <c r="C62">
        <v>57</v>
      </c>
      <c r="D62" t="s">
        <v>5</v>
      </c>
      <c r="E62" s="6" t="s">
        <v>5</v>
      </c>
      <c r="F62" s="6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f t="shared" si="1"/>
        <v>0</v>
      </c>
    </row>
    <row r="63" spans="1:36">
      <c r="A63">
        <v>61</v>
      </c>
      <c r="B63">
        <v>57</v>
      </c>
      <c r="C63">
        <v>58</v>
      </c>
      <c r="D63" t="s">
        <v>1</v>
      </c>
      <c r="E63" s="6" t="s">
        <v>1</v>
      </c>
      <c r="F63" s="6" t="b">
        <f t="shared" si="0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f t="shared" si="1"/>
        <v>0</v>
      </c>
    </row>
    <row r="64" spans="1:36">
      <c r="A64">
        <v>62</v>
      </c>
      <c r="B64">
        <v>58</v>
      </c>
      <c r="C64">
        <v>59</v>
      </c>
      <c r="D64" t="s">
        <v>8</v>
      </c>
      <c r="E64" s="6" t="s">
        <v>8</v>
      </c>
      <c r="F64" s="6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f t="shared" si="1"/>
        <v>0</v>
      </c>
    </row>
    <row r="65" spans="1:36">
      <c r="A65">
        <v>63</v>
      </c>
      <c r="B65">
        <v>59</v>
      </c>
      <c r="C65">
        <v>60</v>
      </c>
      <c r="D65" t="s">
        <v>1</v>
      </c>
      <c r="E65" s="6" t="s">
        <v>1</v>
      </c>
      <c r="F65" s="6" t="b">
        <f t="shared" si="0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f t="shared" si="1"/>
        <v>0</v>
      </c>
    </row>
    <row r="66" spans="1:36">
      <c r="A66">
        <v>64</v>
      </c>
      <c r="B66">
        <v>60</v>
      </c>
      <c r="C66">
        <v>61</v>
      </c>
      <c r="D66" t="s">
        <v>68</v>
      </c>
      <c r="E66" s="6" t="s">
        <v>68</v>
      </c>
      <c r="F66" s="6" t="b">
        <f t="shared" ref="F66:F129" si="2">D66=G66</f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f t="shared" si="1"/>
        <v>0</v>
      </c>
    </row>
    <row r="67" spans="1:36">
      <c r="A67">
        <v>65</v>
      </c>
      <c r="B67">
        <v>61</v>
      </c>
      <c r="C67">
        <v>62</v>
      </c>
      <c r="D67" t="s">
        <v>5</v>
      </c>
      <c r="E67" s="6" t="s">
        <v>5</v>
      </c>
      <c r="F67" s="6" t="b">
        <f t="shared" si="2"/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f t="shared" ref="AJ67:AJ130" si="3">COUNTIF(H67:AI67,"&gt;0.25")</f>
        <v>0</v>
      </c>
    </row>
    <row r="68" spans="1:36">
      <c r="A68">
        <v>66</v>
      </c>
      <c r="B68">
        <v>62</v>
      </c>
      <c r="C68">
        <v>63</v>
      </c>
      <c r="D68" t="s">
        <v>44</v>
      </c>
      <c r="E68" s="6" t="s">
        <v>2</v>
      </c>
      <c r="F68" s="6" t="b">
        <f t="shared" si="2"/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f t="shared" si="3"/>
        <v>0</v>
      </c>
    </row>
    <row r="69" spans="1:36">
      <c r="A69">
        <v>67</v>
      </c>
      <c r="B69">
        <v>63</v>
      </c>
      <c r="C69">
        <v>64</v>
      </c>
      <c r="D69" t="s">
        <v>6</v>
      </c>
      <c r="E69" s="6" t="s">
        <v>6</v>
      </c>
      <c r="F69" s="6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f t="shared" si="3"/>
        <v>0</v>
      </c>
    </row>
    <row r="70" spans="1:36">
      <c r="A70">
        <v>68</v>
      </c>
      <c r="B70">
        <v>64</v>
      </c>
      <c r="C70">
        <v>65</v>
      </c>
      <c r="D70" t="s">
        <v>46</v>
      </c>
      <c r="E70" s="6" t="s">
        <v>47</v>
      </c>
      <c r="F70" s="6" t="b">
        <f t="shared" si="2"/>
        <v>0</v>
      </c>
      <c r="G70" t="s">
        <v>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0.10836707199999999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f t="shared" si="3"/>
        <v>0</v>
      </c>
    </row>
    <row r="71" spans="1:36">
      <c r="A71">
        <v>69</v>
      </c>
      <c r="B71">
        <v>65</v>
      </c>
      <c r="C71">
        <v>66</v>
      </c>
      <c r="D71" t="s">
        <v>9</v>
      </c>
      <c r="E71" s="6" t="s">
        <v>9</v>
      </c>
      <c r="F71" s="6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f t="shared" si="3"/>
        <v>0</v>
      </c>
    </row>
    <row r="72" spans="1:36">
      <c r="A72">
        <v>70</v>
      </c>
      <c r="B72">
        <v>66</v>
      </c>
      <c r="C72">
        <v>67</v>
      </c>
      <c r="D72" t="s">
        <v>3</v>
      </c>
      <c r="E72" s="6" t="s">
        <v>3</v>
      </c>
      <c r="F72" s="6" t="b">
        <f t="shared" si="2"/>
        <v>1</v>
      </c>
      <c r="G72" t="s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0.195969238928666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f t="shared" si="3"/>
        <v>0</v>
      </c>
    </row>
    <row r="73" spans="1:36">
      <c r="A73">
        <v>71</v>
      </c>
      <c r="B73">
        <v>67</v>
      </c>
      <c r="C73">
        <v>68</v>
      </c>
      <c r="D73" t="s">
        <v>46</v>
      </c>
      <c r="E73" s="6" t="s">
        <v>47</v>
      </c>
      <c r="F73" s="6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f t="shared" si="3"/>
        <v>0</v>
      </c>
    </row>
    <row r="74" spans="1:36">
      <c r="A74">
        <v>72</v>
      </c>
      <c r="B74">
        <v>68</v>
      </c>
      <c r="C74">
        <v>69</v>
      </c>
      <c r="D74" t="s">
        <v>69</v>
      </c>
      <c r="E74" s="6" t="s">
        <v>69</v>
      </c>
      <c r="F74" s="6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f t="shared" si="3"/>
        <v>0</v>
      </c>
    </row>
    <row r="75" spans="1:36">
      <c r="A75">
        <v>73</v>
      </c>
      <c r="B75">
        <v>69</v>
      </c>
      <c r="C75">
        <v>70</v>
      </c>
      <c r="D75" t="s">
        <v>1</v>
      </c>
      <c r="E75" s="6" t="s">
        <v>1</v>
      </c>
      <c r="F75" s="6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f t="shared" si="3"/>
        <v>0</v>
      </c>
    </row>
    <row r="76" spans="1:36">
      <c r="A76">
        <v>74</v>
      </c>
      <c r="B76">
        <v>70</v>
      </c>
      <c r="C76">
        <v>71</v>
      </c>
      <c r="D76" t="s">
        <v>2</v>
      </c>
      <c r="E76" s="6" t="s">
        <v>2</v>
      </c>
      <c r="F76" s="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f t="shared" si="3"/>
        <v>0</v>
      </c>
    </row>
    <row r="77" spans="1:36">
      <c r="A77">
        <v>75</v>
      </c>
      <c r="B77">
        <v>71</v>
      </c>
      <c r="C77">
        <v>72</v>
      </c>
      <c r="D77" t="s">
        <v>9</v>
      </c>
      <c r="E77" s="6" t="s">
        <v>9</v>
      </c>
      <c r="F77" s="6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f t="shared" si="3"/>
        <v>0</v>
      </c>
    </row>
    <row r="78" spans="1:36">
      <c r="A78">
        <v>76</v>
      </c>
      <c r="B78">
        <v>72</v>
      </c>
      <c r="C78">
        <v>73</v>
      </c>
      <c r="D78" t="s">
        <v>1</v>
      </c>
      <c r="E78" s="6" t="s">
        <v>1</v>
      </c>
      <c r="F78" s="6" t="b">
        <f t="shared" si="2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f t="shared" si="3"/>
        <v>0</v>
      </c>
    </row>
    <row r="79" spans="1:36">
      <c r="A79">
        <v>77</v>
      </c>
      <c r="B79">
        <v>73</v>
      </c>
      <c r="C79">
        <v>74</v>
      </c>
      <c r="D79" t="s">
        <v>50</v>
      </c>
      <c r="E79" s="6" t="s">
        <v>50</v>
      </c>
      <c r="F79" s="6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f t="shared" si="3"/>
        <v>0</v>
      </c>
    </row>
    <row r="80" spans="1:36">
      <c r="A80">
        <v>78</v>
      </c>
      <c r="B80">
        <v>74</v>
      </c>
      <c r="C80">
        <v>75</v>
      </c>
      <c r="D80" t="s">
        <v>47</v>
      </c>
      <c r="E80" s="6" t="s">
        <v>47</v>
      </c>
      <c r="F80" s="6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f t="shared" si="3"/>
        <v>0</v>
      </c>
    </row>
    <row r="81" spans="1:36">
      <c r="A81">
        <v>79</v>
      </c>
      <c r="B81">
        <v>75</v>
      </c>
      <c r="C81">
        <v>76</v>
      </c>
      <c r="D81" t="s">
        <v>45</v>
      </c>
      <c r="E81" s="6" t="s">
        <v>45</v>
      </c>
      <c r="F81" s="6" t="b">
        <f t="shared" si="2"/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f t="shared" si="3"/>
        <v>0</v>
      </c>
    </row>
    <row r="82" spans="1:36">
      <c r="A82">
        <v>80</v>
      </c>
      <c r="B82">
        <v>76</v>
      </c>
      <c r="C82">
        <v>77</v>
      </c>
      <c r="D82" t="s">
        <v>2</v>
      </c>
      <c r="E82" s="6" t="s">
        <v>2</v>
      </c>
      <c r="F82" s="6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f t="shared" si="3"/>
        <v>0</v>
      </c>
    </row>
    <row r="83" spans="1:36">
      <c r="A83">
        <v>81</v>
      </c>
      <c r="B83">
        <v>77</v>
      </c>
      <c r="C83">
        <v>78</v>
      </c>
      <c r="D83" t="s">
        <v>5</v>
      </c>
      <c r="E83" s="6" t="s">
        <v>5</v>
      </c>
      <c r="F83" s="6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f t="shared" si="3"/>
        <v>0</v>
      </c>
    </row>
    <row r="84" spans="1:36">
      <c r="A84">
        <v>82</v>
      </c>
      <c r="B84">
        <v>78</v>
      </c>
      <c r="C84">
        <v>79</v>
      </c>
      <c r="D84" t="s">
        <v>45</v>
      </c>
      <c r="E84" s="6" t="s">
        <v>45</v>
      </c>
      <c r="F84" s="6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f t="shared" si="3"/>
        <v>0</v>
      </c>
    </row>
    <row r="85" spans="1:36">
      <c r="A85">
        <v>83</v>
      </c>
      <c r="B85">
        <v>79</v>
      </c>
      <c r="C85">
        <v>80</v>
      </c>
      <c r="D85" t="s">
        <v>3</v>
      </c>
      <c r="E85" s="6" t="s">
        <v>3</v>
      </c>
      <c r="F85" s="6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f t="shared" si="3"/>
        <v>0</v>
      </c>
    </row>
    <row r="86" spans="1:36">
      <c r="A86">
        <v>84</v>
      </c>
      <c r="B86">
        <v>80</v>
      </c>
      <c r="C86">
        <v>81</v>
      </c>
      <c r="D86" t="s">
        <v>45</v>
      </c>
      <c r="E86" s="6" t="s">
        <v>45</v>
      </c>
      <c r="F86" s="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f t="shared" si="3"/>
        <v>0</v>
      </c>
    </row>
    <row r="87" spans="1:36">
      <c r="A87">
        <v>85</v>
      </c>
      <c r="B87">
        <v>81</v>
      </c>
      <c r="C87">
        <v>82</v>
      </c>
      <c r="D87" t="s">
        <v>44</v>
      </c>
      <c r="E87" s="6" t="s">
        <v>44</v>
      </c>
      <c r="F87" s="6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f t="shared" si="3"/>
        <v>0</v>
      </c>
    </row>
    <row r="88" spans="1:36">
      <c r="A88">
        <v>86</v>
      </c>
      <c r="B88">
        <v>82</v>
      </c>
      <c r="C88">
        <v>83</v>
      </c>
      <c r="D88" t="s">
        <v>6</v>
      </c>
      <c r="E88" s="6" t="s">
        <v>6</v>
      </c>
      <c r="F88" s="6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f t="shared" si="3"/>
        <v>0</v>
      </c>
    </row>
    <row r="89" spans="1:36">
      <c r="A89">
        <v>87</v>
      </c>
      <c r="B89">
        <v>83</v>
      </c>
      <c r="C89">
        <v>84</v>
      </c>
      <c r="D89" t="s">
        <v>47</v>
      </c>
      <c r="E89" s="6" t="s">
        <v>47</v>
      </c>
      <c r="F89" s="6" t="b">
        <f t="shared" si="2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f t="shared" si="3"/>
        <v>0</v>
      </c>
    </row>
    <row r="90" spans="1:36">
      <c r="A90">
        <v>88</v>
      </c>
      <c r="B90">
        <v>84</v>
      </c>
      <c r="C90">
        <v>85</v>
      </c>
      <c r="D90" t="s">
        <v>6</v>
      </c>
      <c r="E90" s="6" t="s">
        <v>47</v>
      </c>
      <c r="F90" s="6" t="b">
        <f t="shared" si="2"/>
        <v>0</v>
      </c>
      <c r="G90" t="s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0.13637738131236701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f t="shared" si="3"/>
        <v>0</v>
      </c>
    </row>
    <row r="91" spans="1:36">
      <c r="A91">
        <v>89</v>
      </c>
      <c r="B91">
        <v>85</v>
      </c>
      <c r="C91">
        <v>86</v>
      </c>
      <c r="D91" t="s">
        <v>42</v>
      </c>
      <c r="E91" s="6" t="s">
        <v>42</v>
      </c>
      <c r="F91" s="6" t="b">
        <f t="shared" si="2"/>
        <v>1</v>
      </c>
      <c r="G91" t="s">
        <v>42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0.16182466870540199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f t="shared" si="3"/>
        <v>0</v>
      </c>
    </row>
    <row r="92" spans="1:36">
      <c r="A92">
        <v>90</v>
      </c>
      <c r="B92">
        <v>86</v>
      </c>
      <c r="C92">
        <v>87</v>
      </c>
      <c r="D92" t="s">
        <v>8</v>
      </c>
      <c r="E92" s="6" t="s">
        <v>47</v>
      </c>
      <c r="F92" s="6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f t="shared" si="3"/>
        <v>0</v>
      </c>
    </row>
    <row r="93" spans="1:36">
      <c r="A93">
        <v>91</v>
      </c>
      <c r="B93">
        <v>87</v>
      </c>
      <c r="C93">
        <v>88</v>
      </c>
      <c r="D93" t="s">
        <v>3</v>
      </c>
      <c r="E93" s="6" t="s">
        <v>3</v>
      </c>
      <c r="F93" s="6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f t="shared" si="3"/>
        <v>0</v>
      </c>
    </row>
    <row r="94" spans="1:36">
      <c r="A94">
        <v>92</v>
      </c>
      <c r="B94">
        <v>88</v>
      </c>
      <c r="C94">
        <v>89</v>
      </c>
      <c r="D94" t="s">
        <v>47</v>
      </c>
      <c r="E94" s="6" t="s">
        <v>47</v>
      </c>
      <c r="F94" s="6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f t="shared" si="3"/>
        <v>0</v>
      </c>
    </row>
    <row r="95" spans="1:36">
      <c r="A95">
        <v>93</v>
      </c>
      <c r="B95">
        <v>89</v>
      </c>
      <c r="C95">
        <v>90</v>
      </c>
      <c r="D95" t="s">
        <v>2</v>
      </c>
      <c r="E95" s="6" t="s">
        <v>2</v>
      </c>
      <c r="F95" s="6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f t="shared" si="3"/>
        <v>0</v>
      </c>
    </row>
    <row r="96" spans="1:36">
      <c r="A96">
        <v>94</v>
      </c>
      <c r="B96">
        <v>90</v>
      </c>
      <c r="C96">
        <v>91</v>
      </c>
      <c r="D96" t="s">
        <v>6</v>
      </c>
      <c r="E96" s="6" t="s">
        <v>6</v>
      </c>
      <c r="F96" s="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f t="shared" si="3"/>
        <v>0</v>
      </c>
    </row>
    <row r="97" spans="1:36">
      <c r="A97">
        <v>95</v>
      </c>
      <c r="B97">
        <v>91</v>
      </c>
      <c r="C97">
        <v>92</v>
      </c>
      <c r="D97" t="s">
        <v>3</v>
      </c>
      <c r="E97" s="6" t="s">
        <v>3</v>
      </c>
      <c r="F97" s="6" t="b">
        <f t="shared" si="2"/>
        <v>1</v>
      </c>
      <c r="G97" t="s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0.17003188097768299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f t="shared" si="3"/>
        <v>0</v>
      </c>
    </row>
    <row r="98" spans="1:36">
      <c r="A98">
        <v>96</v>
      </c>
      <c r="B98">
        <v>92</v>
      </c>
      <c r="C98">
        <v>93</v>
      </c>
      <c r="D98" t="s">
        <v>48</v>
      </c>
      <c r="E98" s="6" t="s">
        <v>48</v>
      </c>
      <c r="F98" s="6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f t="shared" si="3"/>
        <v>0</v>
      </c>
    </row>
    <row r="99" spans="1:36">
      <c r="A99">
        <v>97</v>
      </c>
      <c r="B99">
        <v>93</v>
      </c>
      <c r="C99">
        <v>94</v>
      </c>
      <c r="D99" t="s">
        <v>3</v>
      </c>
      <c r="E99" s="6" t="s">
        <v>3</v>
      </c>
      <c r="F99" s="6" t="b">
        <f t="shared" si="2"/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f t="shared" si="3"/>
        <v>0</v>
      </c>
    </row>
    <row r="100" spans="1:36">
      <c r="A100">
        <v>98</v>
      </c>
      <c r="B100">
        <v>94</v>
      </c>
      <c r="C100">
        <v>95</v>
      </c>
      <c r="D100" t="s">
        <v>43</v>
      </c>
      <c r="E100" s="6" t="s">
        <v>43</v>
      </c>
      <c r="F100" s="6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f t="shared" si="3"/>
        <v>0</v>
      </c>
    </row>
    <row r="101" spans="1:36">
      <c r="A101">
        <v>99</v>
      </c>
      <c r="B101">
        <v>95</v>
      </c>
      <c r="C101">
        <v>96</v>
      </c>
      <c r="D101" t="s">
        <v>69</v>
      </c>
      <c r="E101" s="6" t="s">
        <v>69</v>
      </c>
      <c r="F101" s="6" t="b">
        <f t="shared" si="2"/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f t="shared" si="3"/>
        <v>0</v>
      </c>
    </row>
    <row r="102" spans="1:36">
      <c r="A102">
        <v>100</v>
      </c>
      <c r="B102">
        <v>96</v>
      </c>
      <c r="C102">
        <v>97</v>
      </c>
      <c r="D102" t="s">
        <v>8</v>
      </c>
      <c r="E102" s="6" t="s">
        <v>8</v>
      </c>
      <c r="F102" s="6" t="b">
        <f t="shared" si="2"/>
        <v>0</v>
      </c>
      <c r="G102" t="s">
        <v>6</v>
      </c>
      <c r="H102">
        <v>0</v>
      </c>
      <c r="I102">
        <v>0</v>
      </c>
      <c r="J102">
        <v>0.52473629475560801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0.168350168350168</v>
      </c>
      <c r="U102">
        <v>0</v>
      </c>
      <c r="V102">
        <v>0</v>
      </c>
      <c r="W102">
        <v>0.44963207307789899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f t="shared" si="3"/>
        <v>2</v>
      </c>
    </row>
    <row r="103" spans="1:36">
      <c r="A103">
        <v>101</v>
      </c>
      <c r="B103">
        <v>97</v>
      </c>
      <c r="C103">
        <v>98</v>
      </c>
      <c r="D103" t="s">
        <v>7</v>
      </c>
      <c r="E103" s="6" t="s">
        <v>3</v>
      </c>
      <c r="F103" s="6" t="b">
        <f t="shared" si="2"/>
        <v>0</v>
      </c>
      <c r="G103" t="s">
        <v>3</v>
      </c>
      <c r="H103">
        <v>0.45980773164246203</v>
      </c>
      <c r="I103">
        <v>0.62283642334268297</v>
      </c>
      <c r="J103">
        <v>0.98602230483271303</v>
      </c>
      <c r="K103">
        <v>0.35964287670482498</v>
      </c>
      <c r="L103">
        <v>0</v>
      </c>
      <c r="M103">
        <v>0.74219810040705503</v>
      </c>
      <c r="N103">
        <v>0</v>
      </c>
      <c r="O103">
        <v>0</v>
      </c>
      <c r="P103">
        <v>0</v>
      </c>
      <c r="Q103">
        <v>0.64925568033429004</v>
      </c>
      <c r="R103">
        <v>0.90900952700000004</v>
      </c>
      <c r="S103">
        <v>0.990522422561257</v>
      </c>
      <c r="T103">
        <v>0.82706766917293195</v>
      </c>
      <c r="U103">
        <v>0</v>
      </c>
      <c r="V103">
        <v>0</v>
      </c>
      <c r="W103">
        <v>0.75439043013489404</v>
      </c>
      <c r="X103">
        <v>0.99510869565217397</v>
      </c>
      <c r="Y103">
        <v>0</v>
      </c>
      <c r="Z103">
        <v>0.34073441502988899</v>
      </c>
      <c r="AA103">
        <v>0</v>
      </c>
      <c r="AB103">
        <v>0</v>
      </c>
      <c r="AC103">
        <v>0</v>
      </c>
      <c r="AD103">
        <v>0.86976744186046495</v>
      </c>
      <c r="AE103">
        <v>0</v>
      </c>
      <c r="AF103">
        <v>0.97145256087321596</v>
      </c>
      <c r="AG103">
        <v>0.13243761996161199</v>
      </c>
      <c r="AH103">
        <v>0.99701937406855401</v>
      </c>
      <c r="AI103">
        <v>0.42832764499999998</v>
      </c>
      <c r="AJ103">
        <f t="shared" si="3"/>
        <v>16</v>
      </c>
    </row>
    <row r="104" spans="1:36">
      <c r="A104">
        <v>102</v>
      </c>
      <c r="B104">
        <v>98</v>
      </c>
      <c r="C104">
        <v>99</v>
      </c>
      <c r="D104" t="s">
        <v>3</v>
      </c>
      <c r="E104" s="6" t="s">
        <v>5</v>
      </c>
      <c r="F104" s="6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f t="shared" si="3"/>
        <v>0</v>
      </c>
    </row>
    <row r="105" spans="1:36">
      <c r="A105">
        <v>103</v>
      </c>
      <c r="B105">
        <v>99</v>
      </c>
      <c r="C105">
        <v>100</v>
      </c>
      <c r="D105" t="s">
        <v>43</v>
      </c>
      <c r="E105" s="6" t="s">
        <v>43</v>
      </c>
      <c r="F105" s="6" t="b">
        <f t="shared" si="2"/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f t="shared" si="3"/>
        <v>0</v>
      </c>
    </row>
    <row r="106" spans="1:36">
      <c r="A106">
        <v>104</v>
      </c>
      <c r="B106">
        <v>100</v>
      </c>
      <c r="C106">
        <v>101</v>
      </c>
      <c r="D106" t="s">
        <v>47</v>
      </c>
      <c r="E106" s="6" t="s">
        <v>47</v>
      </c>
      <c r="F106" s="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f t="shared" si="3"/>
        <v>0</v>
      </c>
    </row>
    <row r="107" spans="1:36">
      <c r="A107">
        <v>105</v>
      </c>
      <c r="B107">
        <v>101</v>
      </c>
      <c r="C107">
        <v>102</v>
      </c>
      <c r="D107" t="s">
        <v>6</v>
      </c>
      <c r="E107" s="6" t="s">
        <v>6</v>
      </c>
      <c r="F107" s="6" t="b">
        <f t="shared" si="2"/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f t="shared" si="3"/>
        <v>0</v>
      </c>
    </row>
    <row r="108" spans="1:36">
      <c r="A108">
        <v>106</v>
      </c>
      <c r="B108">
        <v>102</v>
      </c>
      <c r="C108">
        <v>103</v>
      </c>
      <c r="D108" t="s">
        <v>44</v>
      </c>
      <c r="E108" s="6" t="s">
        <v>44</v>
      </c>
      <c r="F108" s="6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f t="shared" si="3"/>
        <v>0</v>
      </c>
    </row>
    <row r="109" spans="1:36">
      <c r="A109">
        <v>107</v>
      </c>
      <c r="B109">
        <v>103</v>
      </c>
      <c r="C109">
        <v>104</v>
      </c>
      <c r="D109" t="s">
        <v>43</v>
      </c>
      <c r="E109" s="6" t="s">
        <v>43</v>
      </c>
      <c r="F109" s="6" t="b">
        <f t="shared" si="2"/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f t="shared" si="3"/>
        <v>0</v>
      </c>
    </row>
    <row r="110" spans="1:36">
      <c r="A110">
        <v>108</v>
      </c>
      <c r="B110">
        <v>104</v>
      </c>
      <c r="C110">
        <v>105</v>
      </c>
      <c r="D110" t="s">
        <v>9</v>
      </c>
      <c r="E110" s="6" t="s">
        <v>9</v>
      </c>
      <c r="F110" s="6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f t="shared" si="3"/>
        <v>0</v>
      </c>
    </row>
    <row r="111" spans="1:36">
      <c r="A111">
        <v>109</v>
      </c>
      <c r="B111">
        <v>105</v>
      </c>
      <c r="C111">
        <v>106</v>
      </c>
      <c r="D111" t="s">
        <v>6</v>
      </c>
      <c r="E111" s="6" t="s">
        <v>6</v>
      </c>
      <c r="F111" s="6" t="b">
        <f t="shared" si="2"/>
        <v>1</v>
      </c>
      <c r="G111" t="s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0.149718736477715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f t="shared" si="3"/>
        <v>0</v>
      </c>
    </row>
    <row r="112" spans="1:36">
      <c r="A112">
        <v>110</v>
      </c>
      <c r="B112">
        <v>106</v>
      </c>
      <c r="C112">
        <v>107</v>
      </c>
      <c r="D112" t="s">
        <v>5</v>
      </c>
      <c r="E112" s="6" t="s">
        <v>5</v>
      </c>
      <c r="F112" s="6" t="b">
        <f t="shared" si="2"/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f t="shared" si="3"/>
        <v>0</v>
      </c>
    </row>
    <row r="113" spans="1:36">
      <c r="A113">
        <v>111</v>
      </c>
      <c r="B113">
        <v>107</v>
      </c>
      <c r="C113">
        <v>108</v>
      </c>
      <c r="D113" t="s">
        <v>46</v>
      </c>
      <c r="E113" s="6" t="s">
        <v>46</v>
      </c>
      <c r="F113" s="6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f t="shared" si="3"/>
        <v>0</v>
      </c>
    </row>
    <row r="114" spans="1:36">
      <c r="A114">
        <v>112</v>
      </c>
      <c r="B114">
        <v>108</v>
      </c>
      <c r="C114">
        <v>109</v>
      </c>
      <c r="D114" t="s">
        <v>46</v>
      </c>
      <c r="E114" s="6" t="s">
        <v>46</v>
      </c>
      <c r="F114" s="6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f t="shared" si="3"/>
        <v>0</v>
      </c>
    </row>
    <row r="115" spans="1:36">
      <c r="A115">
        <v>113</v>
      </c>
      <c r="B115">
        <v>109</v>
      </c>
      <c r="C115">
        <v>110</v>
      </c>
      <c r="D115" t="s">
        <v>7</v>
      </c>
      <c r="E115" s="6" t="s">
        <v>7</v>
      </c>
      <c r="F115" s="6" t="b">
        <f t="shared" si="2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f t="shared" si="3"/>
        <v>0</v>
      </c>
    </row>
    <row r="116" spans="1:36">
      <c r="A116">
        <v>114</v>
      </c>
      <c r="B116">
        <v>110</v>
      </c>
      <c r="C116">
        <v>111</v>
      </c>
      <c r="D116" t="s">
        <v>42</v>
      </c>
      <c r="E116" s="6" t="s">
        <v>42</v>
      </c>
      <c r="F116" s="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f t="shared" si="3"/>
        <v>0</v>
      </c>
    </row>
    <row r="117" spans="1:36">
      <c r="A117">
        <v>115</v>
      </c>
      <c r="B117">
        <v>111</v>
      </c>
      <c r="C117">
        <v>112</v>
      </c>
      <c r="D117" t="s">
        <v>69</v>
      </c>
      <c r="E117" s="6" t="s">
        <v>69</v>
      </c>
      <c r="F117" s="6" t="b">
        <f t="shared" si="2"/>
        <v>0</v>
      </c>
      <c r="G117" t="s">
        <v>51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0.13987160224013101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f t="shared" si="3"/>
        <v>0</v>
      </c>
    </row>
    <row r="118" spans="1:36">
      <c r="A118">
        <v>116</v>
      </c>
      <c r="B118">
        <v>112</v>
      </c>
      <c r="C118">
        <v>113</v>
      </c>
      <c r="D118" t="s">
        <v>5</v>
      </c>
      <c r="E118" s="6" t="s">
        <v>5</v>
      </c>
      <c r="F118" s="6" t="b">
        <f t="shared" si="2"/>
        <v>0</v>
      </c>
      <c r="G118" t="s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0.96503855999999999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f t="shared" si="3"/>
        <v>1</v>
      </c>
    </row>
    <row r="119" spans="1:36">
      <c r="A119">
        <v>117</v>
      </c>
      <c r="B119">
        <v>113</v>
      </c>
      <c r="C119">
        <v>114</v>
      </c>
      <c r="D119" t="s">
        <v>44</v>
      </c>
      <c r="E119" s="6" t="s">
        <v>44</v>
      </c>
      <c r="F119" s="6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f t="shared" si="3"/>
        <v>0</v>
      </c>
    </row>
    <row r="120" spans="1:36">
      <c r="A120">
        <v>118</v>
      </c>
      <c r="B120">
        <v>114</v>
      </c>
      <c r="C120">
        <v>115</v>
      </c>
      <c r="D120" t="s">
        <v>7</v>
      </c>
      <c r="E120" s="6" t="s">
        <v>7</v>
      </c>
      <c r="F120" s="6" t="b">
        <f t="shared" si="2"/>
        <v>1</v>
      </c>
      <c r="G120" t="s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0.185556141275698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f t="shared" si="3"/>
        <v>0</v>
      </c>
    </row>
    <row r="121" spans="1:36">
      <c r="A121">
        <v>119</v>
      </c>
      <c r="B121">
        <v>115</v>
      </c>
      <c r="C121">
        <v>116</v>
      </c>
      <c r="D121" t="s">
        <v>42</v>
      </c>
      <c r="E121" s="6" t="s">
        <v>42</v>
      </c>
      <c r="F121" s="6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f t="shared" si="3"/>
        <v>0</v>
      </c>
    </row>
    <row r="122" spans="1:36">
      <c r="A122">
        <v>120</v>
      </c>
      <c r="B122">
        <v>116</v>
      </c>
      <c r="C122">
        <v>117</v>
      </c>
      <c r="D122" t="s">
        <v>8</v>
      </c>
      <c r="E122" s="6" t="s">
        <v>8</v>
      </c>
      <c r="F122" s="6" t="b">
        <f t="shared" si="2"/>
        <v>1</v>
      </c>
      <c r="G122" t="s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0.179512680258577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f t="shared" si="3"/>
        <v>0</v>
      </c>
    </row>
    <row r="123" spans="1:36">
      <c r="A123">
        <v>121</v>
      </c>
      <c r="B123">
        <v>117</v>
      </c>
      <c r="C123">
        <v>118</v>
      </c>
      <c r="D123" t="s">
        <v>45</v>
      </c>
      <c r="E123" s="6" t="s">
        <v>45</v>
      </c>
      <c r="F123" s="6" t="b">
        <f t="shared" si="2"/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f t="shared" si="3"/>
        <v>0</v>
      </c>
    </row>
    <row r="124" spans="1:36">
      <c r="A124">
        <v>122</v>
      </c>
      <c r="B124">
        <v>118</v>
      </c>
      <c r="C124">
        <v>119</v>
      </c>
      <c r="D124" t="s">
        <v>50</v>
      </c>
      <c r="E124" s="6" t="s">
        <v>50</v>
      </c>
      <c r="F124" s="6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f t="shared" si="3"/>
        <v>0</v>
      </c>
    </row>
    <row r="125" spans="1:36">
      <c r="A125">
        <v>123</v>
      </c>
      <c r="B125">
        <v>119</v>
      </c>
      <c r="C125">
        <v>120</v>
      </c>
      <c r="D125" t="s">
        <v>47</v>
      </c>
      <c r="E125" s="6" t="s">
        <v>47</v>
      </c>
      <c r="F125" s="6" t="b">
        <f t="shared" si="2"/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f t="shared" si="3"/>
        <v>0</v>
      </c>
    </row>
    <row r="126" spans="1:36">
      <c r="A126">
        <v>124</v>
      </c>
      <c r="B126">
        <v>120</v>
      </c>
      <c r="C126">
        <v>121</v>
      </c>
      <c r="D126" t="s">
        <v>8</v>
      </c>
      <c r="E126" s="6" t="s">
        <v>8</v>
      </c>
      <c r="F126" s="6" t="b">
        <f t="shared" si="2"/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f t="shared" si="3"/>
        <v>0</v>
      </c>
    </row>
    <row r="127" spans="1:36">
      <c r="A127">
        <v>125</v>
      </c>
      <c r="B127">
        <v>121</v>
      </c>
      <c r="C127">
        <v>122</v>
      </c>
      <c r="D127" t="s">
        <v>42</v>
      </c>
      <c r="E127" s="6" t="s">
        <v>42</v>
      </c>
      <c r="F127" s="6" t="b">
        <f t="shared" si="2"/>
        <v>0</v>
      </c>
      <c r="G127" t="s">
        <v>46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0.99269005847953196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f t="shared" si="3"/>
        <v>1</v>
      </c>
    </row>
    <row r="128" spans="1:36">
      <c r="A128">
        <v>126</v>
      </c>
      <c r="B128">
        <v>122</v>
      </c>
      <c r="C128">
        <v>123</v>
      </c>
      <c r="D128" t="s">
        <v>2</v>
      </c>
      <c r="E128" s="6" t="s">
        <v>2</v>
      </c>
      <c r="F128" s="6" t="b">
        <f t="shared" si="2"/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f t="shared" si="3"/>
        <v>0</v>
      </c>
    </row>
    <row r="129" spans="1:36">
      <c r="A129">
        <v>127</v>
      </c>
      <c r="B129">
        <v>123</v>
      </c>
      <c r="C129">
        <v>124</v>
      </c>
      <c r="D129" t="s">
        <v>45</v>
      </c>
      <c r="E129" s="6" t="s">
        <v>45</v>
      </c>
      <c r="F129" s="6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f t="shared" si="3"/>
        <v>0</v>
      </c>
    </row>
    <row r="130" spans="1:36">
      <c r="A130">
        <v>128</v>
      </c>
      <c r="B130">
        <v>124</v>
      </c>
      <c r="C130">
        <v>125</v>
      </c>
      <c r="D130" t="s">
        <v>42</v>
      </c>
      <c r="E130" s="6" t="s">
        <v>42</v>
      </c>
      <c r="F130" s="6" t="b">
        <f t="shared" ref="F130:F193" si="4">D130=G130</f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f t="shared" si="3"/>
        <v>0</v>
      </c>
    </row>
    <row r="131" spans="1:36">
      <c r="A131">
        <v>129</v>
      </c>
      <c r="B131">
        <v>125</v>
      </c>
      <c r="C131">
        <v>126</v>
      </c>
      <c r="D131" t="s">
        <v>50</v>
      </c>
      <c r="E131" s="6" t="s">
        <v>50</v>
      </c>
      <c r="F131" s="6" t="b">
        <f t="shared" si="4"/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f t="shared" ref="AJ131:AJ194" si="5">COUNTIF(H131:AI131,"&gt;0.25")</f>
        <v>0</v>
      </c>
    </row>
    <row r="132" spans="1:36">
      <c r="A132">
        <v>130</v>
      </c>
      <c r="B132">
        <v>126</v>
      </c>
      <c r="C132">
        <v>127</v>
      </c>
      <c r="D132" t="s">
        <v>47</v>
      </c>
      <c r="E132" s="6" t="s">
        <v>47</v>
      </c>
      <c r="F132" s="6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f t="shared" si="5"/>
        <v>0</v>
      </c>
    </row>
    <row r="133" spans="1:36">
      <c r="A133">
        <v>131</v>
      </c>
      <c r="B133">
        <v>127</v>
      </c>
      <c r="C133">
        <v>128</v>
      </c>
      <c r="D133" t="s">
        <v>2</v>
      </c>
      <c r="E133" s="6" t="s">
        <v>7</v>
      </c>
      <c r="F133" s="6" t="b">
        <f t="shared" si="4"/>
        <v>0</v>
      </c>
      <c r="G133" t="s">
        <v>3</v>
      </c>
      <c r="H133">
        <v>0.27424466511726098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f t="shared" si="5"/>
        <v>1</v>
      </c>
    </row>
    <row r="134" spans="1:36">
      <c r="A134">
        <v>132</v>
      </c>
      <c r="B134">
        <v>127</v>
      </c>
      <c r="C134">
        <v>128</v>
      </c>
      <c r="D134" t="s">
        <v>2</v>
      </c>
      <c r="E134" s="6" t="s">
        <v>7</v>
      </c>
      <c r="F134" s="6" t="b">
        <f t="shared" si="4"/>
        <v>1</v>
      </c>
      <c r="G134" t="s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0.12888839299999999</v>
      </c>
      <c r="AJ134">
        <f t="shared" si="5"/>
        <v>0</v>
      </c>
    </row>
    <row r="135" spans="1:36">
      <c r="A135">
        <v>133</v>
      </c>
      <c r="B135">
        <v>128</v>
      </c>
      <c r="C135">
        <v>129</v>
      </c>
      <c r="D135" t="s">
        <v>42</v>
      </c>
      <c r="E135" s="6" t="s">
        <v>42</v>
      </c>
      <c r="F135" s="6" t="b">
        <f t="shared" si="4"/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f t="shared" si="5"/>
        <v>0</v>
      </c>
    </row>
    <row r="136" spans="1:36">
      <c r="A136">
        <v>134</v>
      </c>
      <c r="B136">
        <v>129</v>
      </c>
      <c r="C136">
        <v>130</v>
      </c>
      <c r="D136" t="s">
        <v>8</v>
      </c>
      <c r="E136" s="6" t="s">
        <v>8</v>
      </c>
      <c r="F136" s="6" t="b">
        <f t="shared" si="4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f t="shared" si="5"/>
        <v>0</v>
      </c>
    </row>
    <row r="137" spans="1:36">
      <c r="A137">
        <v>135</v>
      </c>
      <c r="B137">
        <v>130</v>
      </c>
      <c r="C137">
        <v>131</v>
      </c>
      <c r="D137" t="s">
        <v>50</v>
      </c>
      <c r="E137" s="6" t="s">
        <v>50</v>
      </c>
      <c r="F137" s="6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f t="shared" si="5"/>
        <v>0</v>
      </c>
    </row>
    <row r="138" spans="1:36">
      <c r="A138">
        <v>136</v>
      </c>
      <c r="B138">
        <v>131</v>
      </c>
      <c r="C138">
        <v>132</v>
      </c>
      <c r="D138" t="s">
        <v>2</v>
      </c>
      <c r="E138" s="6" t="s">
        <v>2</v>
      </c>
      <c r="F138" s="6" t="b">
        <f t="shared" si="4"/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f t="shared" si="5"/>
        <v>0</v>
      </c>
    </row>
    <row r="139" spans="1:36">
      <c r="A139">
        <v>137</v>
      </c>
      <c r="B139">
        <v>132</v>
      </c>
      <c r="C139">
        <v>133</v>
      </c>
      <c r="D139" t="s">
        <v>5</v>
      </c>
      <c r="E139" s="6" t="s">
        <v>5</v>
      </c>
      <c r="F139" s="6" t="b">
        <f t="shared" si="4"/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f t="shared" si="5"/>
        <v>0</v>
      </c>
    </row>
    <row r="140" spans="1:36">
      <c r="A140">
        <v>138</v>
      </c>
      <c r="B140">
        <v>133</v>
      </c>
      <c r="C140">
        <v>134</v>
      </c>
      <c r="D140" t="s">
        <v>42</v>
      </c>
      <c r="E140" s="6" t="s">
        <v>42</v>
      </c>
      <c r="F140" s="6" t="b">
        <f t="shared" si="4"/>
        <v>0</v>
      </c>
      <c r="G140" t="s">
        <v>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0.227902532250358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f t="shared" si="5"/>
        <v>0</v>
      </c>
    </row>
    <row r="141" spans="1:36">
      <c r="A141">
        <v>139</v>
      </c>
      <c r="B141">
        <v>133</v>
      </c>
      <c r="C141">
        <v>134</v>
      </c>
      <c r="D141" t="s">
        <v>42</v>
      </c>
      <c r="E141" s="6" t="s">
        <v>42</v>
      </c>
      <c r="F141" s="6" t="b">
        <f t="shared" si="4"/>
        <v>0</v>
      </c>
      <c r="G141" t="s">
        <v>48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0.100856881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f t="shared" si="5"/>
        <v>0</v>
      </c>
    </row>
    <row r="142" spans="1:36">
      <c r="A142">
        <v>140</v>
      </c>
      <c r="B142">
        <v>134</v>
      </c>
      <c r="C142">
        <v>135</v>
      </c>
      <c r="D142" t="s">
        <v>3</v>
      </c>
      <c r="E142" s="6" t="s">
        <v>8</v>
      </c>
      <c r="F142" s="6" t="b">
        <f t="shared" si="4"/>
        <v>0</v>
      </c>
      <c r="G142" t="s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0.100665003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f t="shared" si="5"/>
        <v>0</v>
      </c>
    </row>
    <row r="143" spans="1:36">
      <c r="A143">
        <v>141</v>
      </c>
      <c r="B143">
        <v>135</v>
      </c>
      <c r="C143" t="s">
        <v>74</v>
      </c>
      <c r="D143" t="s">
        <v>47</v>
      </c>
      <c r="E143" s="6" t="s">
        <v>65</v>
      </c>
      <c r="F143" s="6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f t="shared" si="5"/>
        <v>0</v>
      </c>
    </row>
    <row r="144" spans="1:36">
      <c r="A144">
        <v>142</v>
      </c>
      <c r="B144">
        <v>136</v>
      </c>
      <c r="C144" t="s">
        <v>75</v>
      </c>
      <c r="D144" t="s">
        <v>2</v>
      </c>
      <c r="E144" s="6" t="s">
        <v>65</v>
      </c>
      <c r="F144" s="6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f t="shared" si="5"/>
        <v>0</v>
      </c>
    </row>
    <row r="145" spans="1:36">
      <c r="A145">
        <v>143</v>
      </c>
      <c r="B145">
        <v>137</v>
      </c>
      <c r="C145">
        <v>136</v>
      </c>
      <c r="D145" t="s">
        <v>3</v>
      </c>
      <c r="E145" s="6" t="s">
        <v>3</v>
      </c>
      <c r="F145" s="6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f t="shared" si="5"/>
        <v>0</v>
      </c>
    </row>
    <row r="146" spans="1:36">
      <c r="A146">
        <v>144</v>
      </c>
      <c r="B146">
        <v>138</v>
      </c>
      <c r="C146">
        <v>137</v>
      </c>
      <c r="D146" t="s">
        <v>7</v>
      </c>
      <c r="E146" s="6" t="s">
        <v>5</v>
      </c>
      <c r="F146" s="6" t="b">
        <f t="shared" si="4"/>
        <v>0</v>
      </c>
      <c r="G146" t="s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0.247769128536168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f t="shared" si="5"/>
        <v>0</v>
      </c>
    </row>
    <row r="147" spans="1:36">
      <c r="A147">
        <v>145</v>
      </c>
      <c r="B147">
        <v>139</v>
      </c>
      <c r="C147">
        <v>138</v>
      </c>
      <c r="D147" t="s">
        <v>3</v>
      </c>
      <c r="E147" s="6" t="s">
        <v>2</v>
      </c>
      <c r="F147" s="6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f t="shared" si="5"/>
        <v>0</v>
      </c>
    </row>
    <row r="148" spans="1:36">
      <c r="A148">
        <v>146</v>
      </c>
      <c r="B148">
        <v>140</v>
      </c>
      <c r="C148">
        <v>139</v>
      </c>
      <c r="D148" t="s">
        <v>7</v>
      </c>
      <c r="E148" s="6" t="s">
        <v>3</v>
      </c>
      <c r="F148" s="6" t="b">
        <f t="shared" si="4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f t="shared" si="5"/>
        <v>0</v>
      </c>
    </row>
    <row r="149" spans="1:36">
      <c r="A149">
        <v>147</v>
      </c>
      <c r="B149">
        <v>141</v>
      </c>
      <c r="C149">
        <v>140</v>
      </c>
      <c r="D149" t="s">
        <v>2</v>
      </c>
      <c r="E149" s="6" t="s">
        <v>2</v>
      </c>
      <c r="F149" s="6" t="b">
        <f t="shared" si="4"/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f t="shared" si="5"/>
        <v>0</v>
      </c>
    </row>
    <row r="150" spans="1:36">
      <c r="A150">
        <v>148</v>
      </c>
      <c r="B150">
        <v>142</v>
      </c>
      <c r="C150">
        <v>141</v>
      </c>
      <c r="D150" t="s">
        <v>5</v>
      </c>
      <c r="E150" s="6" t="s">
        <v>3</v>
      </c>
      <c r="F150" s="6" t="b">
        <f t="shared" si="4"/>
        <v>0</v>
      </c>
      <c r="G150" t="s">
        <v>3</v>
      </c>
      <c r="H150">
        <v>0</v>
      </c>
      <c r="I150">
        <v>0.99017270033962002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f t="shared" si="5"/>
        <v>1</v>
      </c>
    </row>
    <row r="151" spans="1:36">
      <c r="A151">
        <v>149</v>
      </c>
      <c r="B151">
        <v>143</v>
      </c>
      <c r="C151">
        <v>142</v>
      </c>
      <c r="D151" t="s">
        <v>9</v>
      </c>
      <c r="E151" s="6" t="s">
        <v>7</v>
      </c>
      <c r="F151" s="6" t="b">
        <f t="shared" si="4"/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f t="shared" si="5"/>
        <v>0</v>
      </c>
    </row>
    <row r="152" spans="1:36">
      <c r="A152">
        <v>150</v>
      </c>
      <c r="B152">
        <v>144</v>
      </c>
      <c r="C152">
        <v>143</v>
      </c>
      <c r="D152" t="s">
        <v>7</v>
      </c>
      <c r="E152" s="6" t="s">
        <v>7</v>
      </c>
      <c r="F152" s="6" t="b">
        <f t="shared" si="4"/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f t="shared" si="5"/>
        <v>0</v>
      </c>
    </row>
    <row r="153" spans="1:36">
      <c r="A153">
        <v>151</v>
      </c>
      <c r="B153">
        <v>145</v>
      </c>
      <c r="C153">
        <v>144</v>
      </c>
      <c r="D153" t="s">
        <v>2</v>
      </c>
      <c r="E153" s="6" t="s">
        <v>7</v>
      </c>
      <c r="F153" s="6" t="b">
        <f t="shared" si="4"/>
        <v>0</v>
      </c>
      <c r="G153" t="s">
        <v>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0.106079931972789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f t="shared" si="5"/>
        <v>0</v>
      </c>
    </row>
    <row r="154" spans="1:36">
      <c r="A154">
        <v>152</v>
      </c>
      <c r="B154">
        <v>146</v>
      </c>
      <c r="C154">
        <v>145</v>
      </c>
      <c r="D154" t="s">
        <v>3</v>
      </c>
      <c r="E154" s="6" t="s">
        <v>4</v>
      </c>
      <c r="F154" s="6" t="b">
        <f t="shared" si="4"/>
        <v>0</v>
      </c>
      <c r="G154" t="s">
        <v>51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0.14619378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f t="shared" si="5"/>
        <v>0</v>
      </c>
    </row>
    <row r="155" spans="1:36">
      <c r="A155">
        <v>153</v>
      </c>
      <c r="B155">
        <v>147</v>
      </c>
      <c r="C155">
        <v>146</v>
      </c>
      <c r="D155" t="s">
        <v>7</v>
      </c>
      <c r="E155" s="6" t="s">
        <v>10</v>
      </c>
      <c r="F155" s="6" t="b">
        <f t="shared" si="4"/>
        <v>0</v>
      </c>
      <c r="G155" t="s">
        <v>51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0.14622698100000001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f t="shared" si="5"/>
        <v>0</v>
      </c>
    </row>
    <row r="156" spans="1:36">
      <c r="A156">
        <v>154</v>
      </c>
      <c r="B156">
        <v>148</v>
      </c>
      <c r="C156">
        <v>147</v>
      </c>
      <c r="D156" t="s">
        <v>7</v>
      </c>
      <c r="E156" s="6" t="s">
        <v>43</v>
      </c>
      <c r="F156" s="6" t="b">
        <f t="shared" si="4"/>
        <v>0</v>
      </c>
      <c r="G156" t="s">
        <v>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0.16699314397649301</v>
      </c>
      <c r="AG156">
        <v>0</v>
      </c>
      <c r="AH156">
        <v>0</v>
      </c>
      <c r="AI156">
        <v>0</v>
      </c>
      <c r="AJ156">
        <f t="shared" si="5"/>
        <v>0</v>
      </c>
    </row>
    <row r="157" spans="1:36">
      <c r="A157">
        <v>155</v>
      </c>
      <c r="B157">
        <v>149</v>
      </c>
      <c r="C157">
        <v>148</v>
      </c>
      <c r="D157" t="s">
        <v>42</v>
      </c>
      <c r="E157" s="6" t="s">
        <v>46</v>
      </c>
      <c r="F157" s="6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f t="shared" si="5"/>
        <v>0</v>
      </c>
    </row>
    <row r="158" spans="1:36">
      <c r="A158">
        <v>156</v>
      </c>
      <c r="B158">
        <v>150</v>
      </c>
      <c r="C158">
        <v>149</v>
      </c>
      <c r="D158" t="s">
        <v>6</v>
      </c>
      <c r="E158" s="6" t="s">
        <v>43</v>
      </c>
      <c r="F158" s="6" t="b">
        <f t="shared" si="4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f t="shared" si="5"/>
        <v>0</v>
      </c>
    </row>
    <row r="159" spans="1:36">
      <c r="A159">
        <v>157</v>
      </c>
      <c r="B159">
        <v>151</v>
      </c>
      <c r="C159">
        <v>150</v>
      </c>
      <c r="D159" t="s">
        <v>2</v>
      </c>
      <c r="E159" s="6" t="s">
        <v>6</v>
      </c>
      <c r="F159" s="6" t="b">
        <f t="shared" si="4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f t="shared" si="5"/>
        <v>0</v>
      </c>
    </row>
    <row r="160" spans="1:36">
      <c r="A160">
        <v>158</v>
      </c>
      <c r="B160">
        <v>152</v>
      </c>
      <c r="C160">
        <v>151</v>
      </c>
      <c r="D160" t="s">
        <v>8</v>
      </c>
      <c r="E160" s="6" t="s">
        <v>8</v>
      </c>
      <c r="F160" s="6" t="b">
        <f t="shared" si="4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f t="shared" si="5"/>
        <v>0</v>
      </c>
    </row>
    <row r="161" spans="1:36">
      <c r="A161">
        <v>159</v>
      </c>
      <c r="B161">
        <v>153</v>
      </c>
      <c r="C161">
        <v>152</v>
      </c>
      <c r="D161" t="s">
        <v>4</v>
      </c>
      <c r="E161" s="6" t="s">
        <v>4</v>
      </c>
      <c r="F161" s="6" t="b">
        <f t="shared" si="4"/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f t="shared" si="5"/>
        <v>0</v>
      </c>
    </row>
    <row r="162" spans="1:36">
      <c r="A162">
        <v>160</v>
      </c>
      <c r="B162">
        <v>154</v>
      </c>
      <c r="C162">
        <v>153</v>
      </c>
      <c r="D162" t="s">
        <v>6</v>
      </c>
      <c r="E162" s="6" t="s">
        <v>6</v>
      </c>
      <c r="F162" s="6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f t="shared" si="5"/>
        <v>0</v>
      </c>
    </row>
    <row r="163" spans="1:36">
      <c r="A163">
        <v>161</v>
      </c>
      <c r="B163">
        <v>155</v>
      </c>
      <c r="C163">
        <v>154</v>
      </c>
      <c r="D163" t="s">
        <v>46</v>
      </c>
      <c r="E163" s="6" t="s">
        <v>46</v>
      </c>
      <c r="F163" s="6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f t="shared" si="5"/>
        <v>0</v>
      </c>
    </row>
    <row r="164" spans="1:36">
      <c r="A164">
        <v>162</v>
      </c>
      <c r="B164">
        <v>156</v>
      </c>
      <c r="C164">
        <v>155</v>
      </c>
      <c r="D164" t="s">
        <v>8</v>
      </c>
      <c r="E164" s="6" t="s">
        <v>8</v>
      </c>
      <c r="F164" s="6" t="b">
        <f t="shared" si="4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f t="shared" si="5"/>
        <v>0</v>
      </c>
    </row>
    <row r="165" spans="1:36">
      <c r="A165">
        <v>163</v>
      </c>
      <c r="B165">
        <v>157</v>
      </c>
      <c r="C165">
        <v>156</v>
      </c>
      <c r="D165" t="s">
        <v>3</v>
      </c>
      <c r="E165" s="6" t="s">
        <v>3</v>
      </c>
      <c r="F165" s="6" t="b">
        <f t="shared" si="4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f t="shared" si="5"/>
        <v>0</v>
      </c>
    </row>
    <row r="166" spans="1:36">
      <c r="A166">
        <v>164</v>
      </c>
      <c r="B166">
        <v>158</v>
      </c>
      <c r="C166">
        <v>157</v>
      </c>
      <c r="D166" t="s">
        <v>50</v>
      </c>
      <c r="E166" s="6" t="s">
        <v>50</v>
      </c>
      <c r="F166" s="6" t="b">
        <f t="shared" si="4"/>
        <v>0</v>
      </c>
      <c r="G166" t="s">
        <v>42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0.130224389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f t="shared" si="5"/>
        <v>0</v>
      </c>
    </row>
    <row r="167" spans="1:36">
      <c r="A167">
        <v>165</v>
      </c>
      <c r="B167">
        <v>159</v>
      </c>
      <c r="C167">
        <v>158</v>
      </c>
      <c r="D167" t="s">
        <v>7</v>
      </c>
      <c r="E167" s="6" t="s">
        <v>7</v>
      </c>
      <c r="F167" s="6" t="b">
        <f t="shared" si="4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f t="shared" si="5"/>
        <v>0</v>
      </c>
    </row>
    <row r="168" spans="1:36">
      <c r="A168">
        <v>166</v>
      </c>
      <c r="B168">
        <v>160</v>
      </c>
      <c r="C168">
        <v>159</v>
      </c>
      <c r="D168" t="s">
        <v>48</v>
      </c>
      <c r="E168" s="6" t="s">
        <v>48</v>
      </c>
      <c r="F168" s="6" t="b">
        <f t="shared" si="4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f t="shared" si="5"/>
        <v>0</v>
      </c>
    </row>
    <row r="169" spans="1:36">
      <c r="A169">
        <v>167</v>
      </c>
      <c r="B169">
        <v>161</v>
      </c>
      <c r="C169">
        <v>160</v>
      </c>
      <c r="D169" t="s">
        <v>3</v>
      </c>
      <c r="E169" s="6" t="s">
        <v>3</v>
      </c>
      <c r="F169" s="6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f t="shared" si="5"/>
        <v>0</v>
      </c>
    </row>
    <row r="170" spans="1:36">
      <c r="A170">
        <v>168</v>
      </c>
      <c r="B170">
        <v>162</v>
      </c>
      <c r="C170">
        <v>161</v>
      </c>
      <c r="D170" t="s">
        <v>46</v>
      </c>
      <c r="E170" s="6" t="s">
        <v>46</v>
      </c>
      <c r="F170" s="6" t="b">
        <f t="shared" si="4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f t="shared" si="5"/>
        <v>0</v>
      </c>
    </row>
    <row r="171" spans="1:36">
      <c r="A171">
        <v>169</v>
      </c>
      <c r="B171">
        <v>163</v>
      </c>
      <c r="C171">
        <v>162</v>
      </c>
      <c r="D171" t="s">
        <v>2</v>
      </c>
      <c r="E171" s="6" t="s">
        <v>7</v>
      </c>
      <c r="F171" s="6" t="b">
        <f t="shared" si="4"/>
        <v>0</v>
      </c>
      <c r="G171" t="s">
        <v>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0.121418289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f t="shared" si="5"/>
        <v>0</v>
      </c>
    </row>
    <row r="172" spans="1:36">
      <c r="A172">
        <v>170</v>
      </c>
      <c r="B172">
        <v>163</v>
      </c>
      <c r="C172">
        <v>162</v>
      </c>
      <c r="D172" t="s">
        <v>2</v>
      </c>
      <c r="E172" s="6" t="s">
        <v>7</v>
      </c>
      <c r="F172" s="6" t="b">
        <f t="shared" si="4"/>
        <v>0</v>
      </c>
      <c r="G172" t="s">
        <v>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0.97464387399999997</v>
      </c>
      <c r="AF172">
        <v>0</v>
      </c>
      <c r="AG172">
        <v>0</v>
      </c>
      <c r="AH172">
        <v>0</v>
      </c>
      <c r="AI172">
        <v>0</v>
      </c>
      <c r="AJ172">
        <f t="shared" si="5"/>
        <v>1</v>
      </c>
    </row>
    <row r="173" spans="1:36">
      <c r="A173">
        <v>171</v>
      </c>
      <c r="B173">
        <v>164</v>
      </c>
      <c r="C173">
        <v>163</v>
      </c>
      <c r="D173" t="s">
        <v>2</v>
      </c>
      <c r="E173" s="6" t="s">
        <v>2</v>
      </c>
      <c r="F173" s="6" t="b">
        <f t="shared" si="4"/>
        <v>1</v>
      </c>
      <c r="G173" t="s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0.211367981922475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f t="shared" si="5"/>
        <v>0</v>
      </c>
    </row>
    <row r="174" spans="1:36">
      <c r="A174">
        <v>172</v>
      </c>
      <c r="B174">
        <v>165</v>
      </c>
      <c r="C174">
        <v>164</v>
      </c>
      <c r="D174" t="s">
        <v>2</v>
      </c>
      <c r="E174" s="6" t="s">
        <v>7</v>
      </c>
      <c r="F174" s="6" t="b">
        <f t="shared" si="4"/>
        <v>0</v>
      </c>
      <c r="G174" t="s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0.24011571841851401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f t="shared" si="5"/>
        <v>0</v>
      </c>
    </row>
    <row r="175" spans="1:36">
      <c r="A175">
        <v>173</v>
      </c>
      <c r="B175">
        <v>166</v>
      </c>
      <c r="C175">
        <v>165</v>
      </c>
      <c r="D175" t="s">
        <v>45</v>
      </c>
      <c r="E175" s="6" t="s">
        <v>46</v>
      </c>
      <c r="F175" s="6" t="b">
        <f t="shared" si="4"/>
        <v>0</v>
      </c>
      <c r="G175" t="s">
        <v>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0.37892095357590899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f t="shared" si="5"/>
        <v>1</v>
      </c>
    </row>
    <row r="176" spans="1:36">
      <c r="A176">
        <v>174</v>
      </c>
      <c r="B176">
        <v>166</v>
      </c>
      <c r="C176">
        <v>165</v>
      </c>
      <c r="D176" t="s">
        <v>45</v>
      </c>
      <c r="E176" s="6" t="s">
        <v>46</v>
      </c>
      <c r="F176" s="6" t="b">
        <f t="shared" si="4"/>
        <v>0</v>
      </c>
      <c r="G176" t="s">
        <v>44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0.31750367699999998</v>
      </c>
      <c r="AJ176">
        <f t="shared" si="5"/>
        <v>1</v>
      </c>
    </row>
    <row r="177" spans="1:36">
      <c r="A177">
        <v>175</v>
      </c>
      <c r="B177">
        <v>167</v>
      </c>
      <c r="C177">
        <v>166</v>
      </c>
      <c r="D177" t="s">
        <v>10</v>
      </c>
      <c r="E177" s="6" t="s">
        <v>10</v>
      </c>
      <c r="F177" s="6" t="b">
        <f t="shared" si="4"/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f t="shared" si="5"/>
        <v>0</v>
      </c>
    </row>
    <row r="178" spans="1:36">
      <c r="A178">
        <v>176</v>
      </c>
      <c r="B178">
        <v>168</v>
      </c>
      <c r="C178">
        <v>167</v>
      </c>
      <c r="D178" t="s">
        <v>5</v>
      </c>
      <c r="E178" s="6" t="s">
        <v>4</v>
      </c>
      <c r="F178" s="6" t="b">
        <f t="shared" si="4"/>
        <v>0</v>
      </c>
      <c r="G178" t="s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0.45469057099999999</v>
      </c>
      <c r="AJ178">
        <f t="shared" si="5"/>
        <v>1</v>
      </c>
    </row>
    <row r="179" spans="1:36">
      <c r="A179">
        <v>177</v>
      </c>
      <c r="B179">
        <v>168</v>
      </c>
      <c r="C179">
        <v>167</v>
      </c>
      <c r="D179" t="s">
        <v>5</v>
      </c>
      <c r="E179" s="6" t="s">
        <v>4</v>
      </c>
      <c r="F179" s="6" t="b">
        <f t="shared" si="4"/>
        <v>0</v>
      </c>
      <c r="G179" t="s">
        <v>3</v>
      </c>
      <c r="H179">
        <v>0.43660009289363599</v>
      </c>
      <c r="I179">
        <v>0</v>
      </c>
      <c r="J179">
        <v>0.26851336302895301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0.25835246110686</v>
      </c>
      <c r="X179">
        <v>0.48346909439386598</v>
      </c>
      <c r="Y179">
        <v>0.36417910447761098</v>
      </c>
      <c r="Z179">
        <v>0.318646734854445</v>
      </c>
      <c r="AA179">
        <v>0</v>
      </c>
      <c r="AB179">
        <v>0</v>
      </c>
      <c r="AC179">
        <v>0</v>
      </c>
      <c r="AD179">
        <v>0.48985801217038499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f t="shared" si="5"/>
        <v>7</v>
      </c>
    </row>
    <row r="180" spans="1:36">
      <c r="A180">
        <v>178</v>
      </c>
      <c r="B180">
        <v>169</v>
      </c>
      <c r="C180">
        <v>168</v>
      </c>
      <c r="D180" t="s">
        <v>8</v>
      </c>
      <c r="E180" s="6" t="s">
        <v>8</v>
      </c>
      <c r="F180" s="6" t="b">
        <f t="shared" si="4"/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f t="shared" si="5"/>
        <v>0</v>
      </c>
    </row>
    <row r="181" spans="1:36">
      <c r="A181">
        <v>179</v>
      </c>
      <c r="B181">
        <v>170</v>
      </c>
      <c r="C181">
        <v>169</v>
      </c>
      <c r="D181" t="s">
        <v>46</v>
      </c>
      <c r="E181" s="6" t="s">
        <v>47</v>
      </c>
      <c r="F181" s="6" t="b">
        <f t="shared" si="4"/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f t="shared" si="5"/>
        <v>0</v>
      </c>
    </row>
    <row r="182" spans="1:36">
      <c r="A182">
        <v>180</v>
      </c>
      <c r="B182">
        <v>171</v>
      </c>
      <c r="C182">
        <v>170</v>
      </c>
      <c r="D182" t="s">
        <v>44</v>
      </c>
      <c r="E182" s="6" t="s">
        <v>44</v>
      </c>
      <c r="F182" s="6" t="b">
        <f t="shared" si="4"/>
        <v>1</v>
      </c>
      <c r="G182" t="s">
        <v>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0.56895193065405802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f t="shared" si="5"/>
        <v>1</v>
      </c>
    </row>
    <row r="183" spans="1:36">
      <c r="A183">
        <v>181</v>
      </c>
      <c r="B183">
        <v>172</v>
      </c>
      <c r="C183">
        <v>171</v>
      </c>
      <c r="D183" t="s">
        <v>8</v>
      </c>
      <c r="E183" s="6" t="s">
        <v>8</v>
      </c>
      <c r="F183" s="6" t="b">
        <f t="shared" si="4"/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f t="shared" si="5"/>
        <v>0</v>
      </c>
    </row>
    <row r="184" spans="1:36">
      <c r="A184">
        <v>182</v>
      </c>
      <c r="B184">
        <v>173</v>
      </c>
      <c r="C184">
        <v>172</v>
      </c>
      <c r="D184" t="s">
        <v>6</v>
      </c>
      <c r="E184" s="6" t="s">
        <v>6</v>
      </c>
      <c r="F184" s="6" t="b">
        <f t="shared" si="4"/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f t="shared" si="5"/>
        <v>0</v>
      </c>
    </row>
    <row r="185" spans="1:36">
      <c r="A185">
        <v>183</v>
      </c>
      <c r="B185">
        <v>174</v>
      </c>
      <c r="C185">
        <v>173</v>
      </c>
      <c r="D185" t="s">
        <v>68</v>
      </c>
      <c r="E185" s="6" t="s">
        <v>68</v>
      </c>
      <c r="F185" s="6" t="b">
        <f t="shared" si="4"/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f t="shared" si="5"/>
        <v>0</v>
      </c>
    </row>
    <row r="186" spans="1:36">
      <c r="A186">
        <v>184</v>
      </c>
      <c r="B186">
        <v>175</v>
      </c>
      <c r="C186">
        <v>174</v>
      </c>
      <c r="D186" t="s">
        <v>1</v>
      </c>
      <c r="E186" s="6" t="s">
        <v>1</v>
      </c>
      <c r="F186" s="6" t="b">
        <f t="shared" si="4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f t="shared" si="5"/>
        <v>0</v>
      </c>
    </row>
    <row r="187" spans="1:36">
      <c r="A187">
        <v>185</v>
      </c>
      <c r="B187">
        <v>176</v>
      </c>
      <c r="C187">
        <v>175</v>
      </c>
      <c r="D187" t="s">
        <v>46</v>
      </c>
      <c r="E187" s="6" t="s">
        <v>48</v>
      </c>
      <c r="F187" s="6" t="b">
        <f t="shared" si="4"/>
        <v>0</v>
      </c>
      <c r="G187" t="s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0.172313649564375</v>
      </c>
      <c r="AG187">
        <v>0</v>
      </c>
      <c r="AH187">
        <v>0</v>
      </c>
      <c r="AI187">
        <v>0.123946584</v>
      </c>
      <c r="AJ187">
        <f t="shared" si="5"/>
        <v>0</v>
      </c>
    </row>
    <row r="188" spans="1:36">
      <c r="A188">
        <v>186</v>
      </c>
      <c r="B188">
        <v>176</v>
      </c>
      <c r="C188">
        <v>175</v>
      </c>
      <c r="D188" t="s">
        <v>46</v>
      </c>
      <c r="E188" s="6" t="s">
        <v>48</v>
      </c>
      <c r="F188" s="6" t="b">
        <f t="shared" si="4"/>
        <v>0</v>
      </c>
      <c r="G188" t="s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0.10406582768635</v>
      </c>
      <c r="AG188">
        <v>0</v>
      </c>
      <c r="AH188">
        <v>0</v>
      </c>
      <c r="AI188">
        <v>0</v>
      </c>
      <c r="AJ188">
        <f t="shared" si="5"/>
        <v>0</v>
      </c>
    </row>
    <row r="189" spans="1:36">
      <c r="A189">
        <v>187</v>
      </c>
      <c r="B189">
        <v>177</v>
      </c>
      <c r="C189">
        <v>176</v>
      </c>
      <c r="D189" t="s">
        <v>48</v>
      </c>
      <c r="E189" s="6" t="s">
        <v>48</v>
      </c>
      <c r="F189" s="6" t="b">
        <f t="shared" si="4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f t="shared" si="5"/>
        <v>0</v>
      </c>
    </row>
    <row r="190" spans="1:36">
      <c r="A190">
        <v>188</v>
      </c>
      <c r="B190">
        <v>178</v>
      </c>
      <c r="C190">
        <v>177</v>
      </c>
      <c r="D190" t="s">
        <v>68</v>
      </c>
      <c r="E190" s="6" t="s">
        <v>68</v>
      </c>
      <c r="F190" s="6" t="b">
        <f t="shared" si="4"/>
        <v>0</v>
      </c>
      <c r="G190" t="s">
        <v>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0.117795361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f t="shared" si="5"/>
        <v>0</v>
      </c>
    </row>
    <row r="191" spans="1:36">
      <c r="A191">
        <v>189</v>
      </c>
      <c r="B191">
        <v>179</v>
      </c>
      <c r="C191">
        <v>178</v>
      </c>
      <c r="D191" t="s">
        <v>8</v>
      </c>
      <c r="E191" s="6" t="s">
        <v>8</v>
      </c>
      <c r="F191" s="6" t="b">
        <f t="shared" si="4"/>
        <v>0</v>
      </c>
      <c r="G191" t="s">
        <v>51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0.11693374099999999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f t="shared" si="5"/>
        <v>0</v>
      </c>
    </row>
    <row r="192" spans="1:36">
      <c r="A192">
        <v>190</v>
      </c>
      <c r="B192">
        <v>179</v>
      </c>
      <c r="C192">
        <v>178</v>
      </c>
      <c r="D192" t="s">
        <v>8</v>
      </c>
      <c r="E192" s="6" t="s">
        <v>8</v>
      </c>
      <c r="F192" s="6" t="b">
        <f t="shared" si="4"/>
        <v>1</v>
      </c>
      <c r="G192" t="s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0.148984198645598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f t="shared" si="5"/>
        <v>0</v>
      </c>
    </row>
    <row r="193" spans="1:36">
      <c r="A193">
        <v>191</v>
      </c>
      <c r="B193">
        <v>180</v>
      </c>
      <c r="C193">
        <v>179</v>
      </c>
      <c r="D193" t="s">
        <v>44</v>
      </c>
      <c r="E193" s="6" t="s">
        <v>42</v>
      </c>
      <c r="F193" s="6" t="b">
        <f t="shared" si="4"/>
        <v>0</v>
      </c>
      <c r="G193" t="s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0.114833571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f t="shared" si="5"/>
        <v>0</v>
      </c>
    </row>
    <row r="194" spans="1:36">
      <c r="A194">
        <v>192</v>
      </c>
      <c r="B194">
        <v>181</v>
      </c>
      <c r="C194">
        <v>180</v>
      </c>
      <c r="D194" t="s">
        <v>5</v>
      </c>
      <c r="E194" s="6" t="s">
        <v>5</v>
      </c>
      <c r="F194" s="6" t="b">
        <f t="shared" ref="F194:F257" si="6">D194=G194</f>
        <v>0</v>
      </c>
      <c r="G194" t="s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0.113373604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f t="shared" si="5"/>
        <v>0</v>
      </c>
    </row>
    <row r="195" spans="1:36">
      <c r="A195">
        <v>193</v>
      </c>
      <c r="B195">
        <v>182</v>
      </c>
      <c r="C195">
        <v>181</v>
      </c>
      <c r="D195" t="s">
        <v>47</v>
      </c>
      <c r="E195" s="6" t="s">
        <v>46</v>
      </c>
      <c r="F195" s="6" t="b">
        <f t="shared" si="6"/>
        <v>0</v>
      </c>
      <c r="G195" t="s">
        <v>50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0.110504302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f t="shared" ref="AJ195:AJ258" si="7">COUNTIF(H195:AI195,"&gt;0.25")</f>
        <v>0</v>
      </c>
    </row>
    <row r="196" spans="1:36">
      <c r="A196">
        <v>194</v>
      </c>
      <c r="B196">
        <v>183</v>
      </c>
      <c r="C196">
        <v>182</v>
      </c>
      <c r="D196" t="s">
        <v>47</v>
      </c>
      <c r="E196" s="6" t="s">
        <v>46</v>
      </c>
      <c r="F196" s="6" t="b">
        <f t="shared" si="6"/>
        <v>0</v>
      </c>
      <c r="G196" t="s">
        <v>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0.106727534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f t="shared" si="7"/>
        <v>0</v>
      </c>
    </row>
    <row r="197" spans="1:36">
      <c r="A197">
        <v>195</v>
      </c>
      <c r="B197">
        <v>184</v>
      </c>
      <c r="C197">
        <v>183</v>
      </c>
      <c r="D197" t="s">
        <v>45</v>
      </c>
      <c r="E197" s="6" t="s">
        <v>45</v>
      </c>
      <c r="F197" s="6" t="b">
        <f t="shared" si="6"/>
        <v>0</v>
      </c>
      <c r="G197" t="s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0.105999649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f t="shared" si="7"/>
        <v>0</v>
      </c>
    </row>
    <row r="198" spans="1:36">
      <c r="A198">
        <v>196</v>
      </c>
      <c r="B198">
        <v>185</v>
      </c>
      <c r="C198">
        <v>184</v>
      </c>
      <c r="D198" t="s">
        <v>46</v>
      </c>
      <c r="E198" s="6" t="s">
        <v>46</v>
      </c>
      <c r="F198" s="6" t="b">
        <f t="shared" si="6"/>
        <v>0</v>
      </c>
      <c r="G198" t="s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0.10353923399999999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f t="shared" si="7"/>
        <v>0</v>
      </c>
    </row>
    <row r="199" spans="1:36">
      <c r="A199">
        <v>197</v>
      </c>
      <c r="B199">
        <v>186</v>
      </c>
      <c r="C199">
        <v>185</v>
      </c>
      <c r="D199" t="s">
        <v>8</v>
      </c>
      <c r="E199" s="6" t="s">
        <v>5</v>
      </c>
      <c r="F199" s="6" t="b">
        <f t="shared" si="6"/>
        <v>0</v>
      </c>
      <c r="G199" t="s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0.115781126090404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f t="shared" si="7"/>
        <v>0</v>
      </c>
    </row>
    <row r="200" spans="1:36">
      <c r="A200">
        <v>198</v>
      </c>
      <c r="B200">
        <v>187</v>
      </c>
      <c r="C200">
        <v>186</v>
      </c>
      <c r="D200" t="s">
        <v>3</v>
      </c>
      <c r="E200" s="6" t="s">
        <v>3</v>
      </c>
      <c r="F200" s="6" t="b">
        <f t="shared" si="6"/>
        <v>0</v>
      </c>
      <c r="G200" t="s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0.10470309699999999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f t="shared" si="7"/>
        <v>0</v>
      </c>
    </row>
    <row r="201" spans="1:36">
      <c r="A201">
        <v>199</v>
      </c>
      <c r="B201">
        <v>188</v>
      </c>
      <c r="C201">
        <v>187</v>
      </c>
      <c r="D201" t="s">
        <v>5</v>
      </c>
      <c r="E201" s="6" t="s">
        <v>5</v>
      </c>
      <c r="F201" s="6" t="b">
        <f t="shared" si="6"/>
        <v>0</v>
      </c>
      <c r="G201" t="s">
        <v>51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0.18270045299999901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f t="shared" si="7"/>
        <v>0</v>
      </c>
    </row>
    <row r="202" spans="1:36">
      <c r="A202">
        <v>200</v>
      </c>
      <c r="B202">
        <v>189</v>
      </c>
      <c r="C202">
        <v>188</v>
      </c>
      <c r="D202" t="s">
        <v>3</v>
      </c>
      <c r="E202" s="6" t="s">
        <v>2</v>
      </c>
      <c r="F202" s="6" t="b">
        <f t="shared" si="6"/>
        <v>0</v>
      </c>
      <c r="G202" t="s">
        <v>51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0.10154866999999999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f t="shared" si="7"/>
        <v>0</v>
      </c>
    </row>
    <row r="203" spans="1:36">
      <c r="A203">
        <v>201</v>
      </c>
      <c r="B203">
        <v>190</v>
      </c>
      <c r="C203">
        <v>189</v>
      </c>
      <c r="D203" t="s">
        <v>46</v>
      </c>
      <c r="E203" s="6" t="s">
        <v>2</v>
      </c>
      <c r="F203" s="6" t="b">
        <f t="shared" si="6"/>
        <v>0</v>
      </c>
      <c r="G203" t="s">
        <v>68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0.100208214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f t="shared" si="7"/>
        <v>0</v>
      </c>
    </row>
    <row r="204" spans="1:36">
      <c r="A204">
        <v>202</v>
      </c>
      <c r="B204">
        <v>191</v>
      </c>
      <c r="C204">
        <v>190</v>
      </c>
      <c r="D204" t="s">
        <v>7</v>
      </c>
      <c r="E204" s="6" t="s">
        <v>7</v>
      </c>
      <c r="F204" s="6" t="b">
        <f t="shared" si="6"/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f t="shared" si="7"/>
        <v>0</v>
      </c>
    </row>
    <row r="205" spans="1:36">
      <c r="A205">
        <v>203</v>
      </c>
      <c r="B205">
        <v>192</v>
      </c>
      <c r="C205">
        <v>191</v>
      </c>
      <c r="D205" t="s">
        <v>68</v>
      </c>
      <c r="E205" s="6" t="s">
        <v>68</v>
      </c>
      <c r="F205" s="6" t="b">
        <f t="shared" si="6"/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f t="shared" si="7"/>
        <v>0</v>
      </c>
    </row>
    <row r="206" spans="1:36">
      <c r="A206">
        <v>204</v>
      </c>
      <c r="B206">
        <v>193</v>
      </c>
      <c r="C206">
        <v>192</v>
      </c>
      <c r="D206" t="s">
        <v>10</v>
      </c>
      <c r="E206" s="6" t="s">
        <v>8</v>
      </c>
      <c r="F206" s="6" t="b">
        <f t="shared" si="6"/>
        <v>0</v>
      </c>
      <c r="G206" t="s">
        <v>8</v>
      </c>
      <c r="H206">
        <v>0</v>
      </c>
      <c r="I206">
        <v>0</v>
      </c>
      <c r="J206">
        <v>0</v>
      </c>
      <c r="K206">
        <v>0.20829309512312799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0.16862839298582699</v>
      </c>
      <c r="Y206">
        <v>0.166016211347943</v>
      </c>
      <c r="Z206">
        <v>0.12709395484340799</v>
      </c>
      <c r="AA206">
        <v>0</v>
      </c>
      <c r="AB206">
        <v>0</v>
      </c>
      <c r="AC206">
        <v>0</v>
      </c>
      <c r="AD206">
        <v>0.47968545216251601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f t="shared" si="7"/>
        <v>1</v>
      </c>
    </row>
    <row r="207" spans="1:36">
      <c r="A207">
        <v>205</v>
      </c>
      <c r="B207">
        <v>194</v>
      </c>
      <c r="C207">
        <v>193</v>
      </c>
      <c r="D207" t="s">
        <v>42</v>
      </c>
      <c r="E207" s="6" t="s">
        <v>42</v>
      </c>
      <c r="F207" s="6" t="b">
        <f t="shared" si="6"/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f t="shared" si="7"/>
        <v>0</v>
      </c>
    </row>
    <row r="208" spans="1:36">
      <c r="A208">
        <v>206</v>
      </c>
      <c r="B208">
        <v>195</v>
      </c>
      <c r="C208">
        <v>194</v>
      </c>
      <c r="D208" t="s">
        <v>46</v>
      </c>
      <c r="E208" s="6" t="s">
        <v>2</v>
      </c>
      <c r="F208" s="6" t="b">
        <f t="shared" si="6"/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f t="shared" si="7"/>
        <v>0</v>
      </c>
    </row>
    <row r="209" spans="1:36">
      <c r="A209">
        <v>207</v>
      </c>
      <c r="B209">
        <v>196</v>
      </c>
      <c r="C209">
        <v>195</v>
      </c>
      <c r="D209" t="s">
        <v>7</v>
      </c>
      <c r="E209" s="6" t="s">
        <v>7</v>
      </c>
      <c r="F209" s="6" t="b">
        <f t="shared" si="6"/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f t="shared" si="7"/>
        <v>0</v>
      </c>
    </row>
    <row r="210" spans="1:36">
      <c r="A210">
        <v>208</v>
      </c>
      <c r="B210">
        <v>197</v>
      </c>
      <c r="C210">
        <v>196</v>
      </c>
      <c r="D210" t="s">
        <v>50</v>
      </c>
      <c r="E210" s="6" t="s">
        <v>50</v>
      </c>
      <c r="F210" s="6" t="b">
        <f t="shared" si="6"/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f t="shared" si="7"/>
        <v>0</v>
      </c>
    </row>
    <row r="211" spans="1:36">
      <c r="A211">
        <v>209</v>
      </c>
      <c r="B211">
        <v>198</v>
      </c>
      <c r="C211">
        <v>197</v>
      </c>
      <c r="D211" t="s">
        <v>3</v>
      </c>
      <c r="E211" s="6" t="s">
        <v>3</v>
      </c>
      <c r="F211" s="6" t="b">
        <f t="shared" si="6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f t="shared" si="7"/>
        <v>0</v>
      </c>
    </row>
    <row r="212" spans="1:36">
      <c r="A212">
        <v>210</v>
      </c>
      <c r="B212">
        <v>199</v>
      </c>
      <c r="C212">
        <v>198</v>
      </c>
      <c r="D212" t="s">
        <v>2</v>
      </c>
      <c r="E212" s="6" t="s">
        <v>2</v>
      </c>
      <c r="F212" s="6" t="b">
        <f t="shared" si="6"/>
        <v>0</v>
      </c>
      <c r="G212" t="s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0.74445676199999999</v>
      </c>
      <c r="AF212">
        <v>0</v>
      </c>
      <c r="AG212">
        <v>0</v>
      </c>
      <c r="AH212">
        <v>0</v>
      </c>
      <c r="AI212">
        <v>0</v>
      </c>
      <c r="AJ212">
        <f t="shared" si="7"/>
        <v>1</v>
      </c>
    </row>
    <row r="213" spans="1:36">
      <c r="A213">
        <v>211</v>
      </c>
      <c r="B213">
        <v>200</v>
      </c>
      <c r="C213">
        <v>199</v>
      </c>
      <c r="D213" t="s">
        <v>7</v>
      </c>
      <c r="E213" s="6" t="s">
        <v>7</v>
      </c>
      <c r="F213" s="6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f t="shared" si="7"/>
        <v>0</v>
      </c>
    </row>
    <row r="214" spans="1:36">
      <c r="A214">
        <v>212</v>
      </c>
      <c r="B214">
        <v>201</v>
      </c>
      <c r="C214">
        <v>200</v>
      </c>
      <c r="D214" t="s">
        <v>47</v>
      </c>
      <c r="E214" s="6" t="s">
        <v>47</v>
      </c>
      <c r="F214" s="6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f t="shared" si="7"/>
        <v>0</v>
      </c>
    </row>
    <row r="215" spans="1:36">
      <c r="A215">
        <v>213</v>
      </c>
      <c r="B215">
        <v>202</v>
      </c>
      <c r="C215">
        <v>201</v>
      </c>
      <c r="D215" t="s">
        <v>46</v>
      </c>
      <c r="E215" s="6" t="s">
        <v>46</v>
      </c>
      <c r="F215" s="6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f t="shared" si="7"/>
        <v>0</v>
      </c>
    </row>
    <row r="216" spans="1:36">
      <c r="A216">
        <v>214</v>
      </c>
      <c r="B216">
        <v>203</v>
      </c>
      <c r="C216">
        <v>202</v>
      </c>
      <c r="D216" t="s">
        <v>2</v>
      </c>
      <c r="E216" s="6" t="s">
        <v>2</v>
      </c>
      <c r="F216" s="6" t="b">
        <f t="shared" si="6"/>
        <v>0</v>
      </c>
      <c r="G216" t="s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0.26509982309830599</v>
      </c>
      <c r="Z216">
        <v>0.22347771500313801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0.17458926599999999</v>
      </c>
      <c r="AJ216">
        <f t="shared" si="7"/>
        <v>1</v>
      </c>
    </row>
    <row r="217" spans="1:36">
      <c r="A217">
        <v>215</v>
      </c>
      <c r="B217">
        <v>204</v>
      </c>
      <c r="C217">
        <v>203</v>
      </c>
      <c r="D217" t="s">
        <v>44</v>
      </c>
      <c r="E217" s="6" t="s">
        <v>44</v>
      </c>
      <c r="F217" s="6" t="b">
        <f t="shared" si="6"/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f t="shared" si="7"/>
        <v>0</v>
      </c>
    </row>
    <row r="218" spans="1:36">
      <c r="A218">
        <v>216</v>
      </c>
      <c r="B218">
        <v>205</v>
      </c>
      <c r="C218">
        <v>204</v>
      </c>
      <c r="D218" t="s">
        <v>1</v>
      </c>
      <c r="E218" s="6" t="s">
        <v>1</v>
      </c>
      <c r="F218" s="6" t="b">
        <f t="shared" si="6"/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f t="shared" si="7"/>
        <v>0</v>
      </c>
    </row>
    <row r="219" spans="1:36">
      <c r="A219">
        <v>217</v>
      </c>
      <c r="B219">
        <v>206</v>
      </c>
      <c r="C219">
        <v>205</v>
      </c>
      <c r="D219" t="s">
        <v>50</v>
      </c>
      <c r="E219" s="6" t="s">
        <v>50</v>
      </c>
      <c r="F219" s="6" t="b">
        <f t="shared" si="6"/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f t="shared" si="7"/>
        <v>0</v>
      </c>
    </row>
    <row r="220" spans="1:36">
      <c r="A220">
        <v>218</v>
      </c>
      <c r="B220">
        <v>207</v>
      </c>
      <c r="C220">
        <v>206</v>
      </c>
      <c r="D220" t="s">
        <v>45</v>
      </c>
      <c r="E220" s="6" t="s">
        <v>45</v>
      </c>
      <c r="F220" s="6" t="b">
        <f t="shared" si="6"/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f t="shared" si="7"/>
        <v>0</v>
      </c>
    </row>
    <row r="221" spans="1:36">
      <c r="A221">
        <v>219</v>
      </c>
      <c r="B221">
        <v>208</v>
      </c>
      <c r="C221">
        <v>207</v>
      </c>
      <c r="D221" t="s">
        <v>8</v>
      </c>
      <c r="E221" s="6" t="s">
        <v>8</v>
      </c>
      <c r="F221" s="6" t="b">
        <f t="shared" si="6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f t="shared" si="7"/>
        <v>0</v>
      </c>
    </row>
    <row r="222" spans="1:36">
      <c r="A222">
        <v>220</v>
      </c>
      <c r="B222">
        <v>209</v>
      </c>
      <c r="C222">
        <v>208</v>
      </c>
      <c r="D222" t="s">
        <v>47</v>
      </c>
      <c r="E222" s="6" t="s">
        <v>47</v>
      </c>
      <c r="F222" s="6" t="b">
        <f t="shared" si="6"/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f t="shared" si="7"/>
        <v>0</v>
      </c>
    </row>
    <row r="223" spans="1:36">
      <c r="A223">
        <v>221</v>
      </c>
      <c r="B223">
        <v>210</v>
      </c>
      <c r="C223">
        <v>209</v>
      </c>
      <c r="D223" t="s">
        <v>2</v>
      </c>
      <c r="E223" s="6" t="s">
        <v>7</v>
      </c>
      <c r="F223" s="6" t="b">
        <f t="shared" si="6"/>
        <v>1</v>
      </c>
      <c r="G223" t="s">
        <v>2</v>
      </c>
      <c r="H223">
        <v>0</v>
      </c>
      <c r="I223">
        <v>0</v>
      </c>
      <c r="J223">
        <v>0</v>
      </c>
      <c r="K223">
        <v>0</v>
      </c>
      <c r="L223">
        <v>0.10615514983437301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f t="shared" si="7"/>
        <v>0</v>
      </c>
    </row>
    <row r="224" spans="1:36">
      <c r="A224">
        <v>222</v>
      </c>
      <c r="B224">
        <v>211</v>
      </c>
      <c r="C224">
        <v>210</v>
      </c>
      <c r="D224" t="s">
        <v>48</v>
      </c>
      <c r="E224" s="6" t="s">
        <v>48</v>
      </c>
      <c r="F224" s="6" t="b">
        <f t="shared" si="6"/>
        <v>1</v>
      </c>
      <c r="G224" t="s">
        <v>48</v>
      </c>
      <c r="H224">
        <v>0</v>
      </c>
      <c r="I224">
        <v>0</v>
      </c>
      <c r="J224">
        <v>0</v>
      </c>
      <c r="K224">
        <v>0.187496246471683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f t="shared" si="7"/>
        <v>0</v>
      </c>
    </row>
    <row r="225" spans="1:36">
      <c r="A225">
        <v>223</v>
      </c>
      <c r="B225">
        <v>212</v>
      </c>
      <c r="C225">
        <v>211</v>
      </c>
      <c r="D225" t="s">
        <v>6</v>
      </c>
      <c r="E225" s="6" t="s">
        <v>6</v>
      </c>
      <c r="F225" s="6" t="b">
        <f t="shared" si="6"/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f t="shared" si="7"/>
        <v>0</v>
      </c>
    </row>
    <row r="226" spans="1:36">
      <c r="A226">
        <v>224</v>
      </c>
      <c r="B226">
        <v>213</v>
      </c>
      <c r="C226">
        <v>212</v>
      </c>
      <c r="D226" t="s">
        <v>45</v>
      </c>
      <c r="E226" s="6" t="s">
        <v>45</v>
      </c>
      <c r="F226" s="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f t="shared" si="7"/>
        <v>0</v>
      </c>
    </row>
    <row r="227" spans="1:36">
      <c r="A227">
        <v>225</v>
      </c>
      <c r="B227">
        <v>214</v>
      </c>
      <c r="C227">
        <v>213</v>
      </c>
      <c r="D227" t="s">
        <v>46</v>
      </c>
      <c r="E227" s="6" t="s">
        <v>46</v>
      </c>
      <c r="F227" s="6" t="b">
        <f t="shared" si="6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f t="shared" si="7"/>
        <v>0</v>
      </c>
    </row>
    <row r="228" spans="1:36">
      <c r="A228">
        <v>226</v>
      </c>
      <c r="B228">
        <v>215</v>
      </c>
      <c r="C228">
        <v>214</v>
      </c>
      <c r="D228" t="s">
        <v>45</v>
      </c>
      <c r="E228" s="6" t="s">
        <v>45</v>
      </c>
      <c r="F228" s="6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f t="shared" si="7"/>
        <v>0</v>
      </c>
    </row>
    <row r="229" spans="1:36">
      <c r="A229">
        <v>227</v>
      </c>
      <c r="B229">
        <v>216</v>
      </c>
      <c r="C229">
        <v>215</v>
      </c>
      <c r="D229" t="s">
        <v>46</v>
      </c>
      <c r="E229" s="6" t="s">
        <v>46</v>
      </c>
      <c r="F229" s="6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f t="shared" si="7"/>
        <v>0</v>
      </c>
    </row>
    <row r="230" spans="1:36">
      <c r="A230">
        <v>228</v>
      </c>
      <c r="B230">
        <v>217</v>
      </c>
      <c r="C230">
        <v>216</v>
      </c>
      <c r="D230" t="s">
        <v>9</v>
      </c>
      <c r="E230" s="6" t="s">
        <v>9</v>
      </c>
      <c r="F230" s="6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f t="shared" si="7"/>
        <v>0</v>
      </c>
    </row>
    <row r="231" spans="1:36">
      <c r="A231">
        <v>229</v>
      </c>
      <c r="B231">
        <v>218</v>
      </c>
      <c r="C231">
        <v>217</v>
      </c>
      <c r="D231" t="s">
        <v>68</v>
      </c>
      <c r="E231" s="6" t="s">
        <v>68</v>
      </c>
      <c r="F231" s="6" t="b">
        <f t="shared" si="6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f t="shared" si="7"/>
        <v>0</v>
      </c>
    </row>
    <row r="232" spans="1:36">
      <c r="A232">
        <v>230</v>
      </c>
      <c r="B232">
        <v>219</v>
      </c>
      <c r="C232">
        <v>218</v>
      </c>
      <c r="D232" t="s">
        <v>50</v>
      </c>
      <c r="E232" s="6" t="s">
        <v>50</v>
      </c>
      <c r="F232" s="6" t="b">
        <f t="shared" si="6"/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f t="shared" si="7"/>
        <v>0</v>
      </c>
    </row>
    <row r="233" spans="1:36">
      <c r="A233">
        <v>231</v>
      </c>
      <c r="B233">
        <v>220</v>
      </c>
      <c r="C233">
        <v>219</v>
      </c>
      <c r="D233" t="s">
        <v>1</v>
      </c>
      <c r="E233" s="6" t="s">
        <v>1</v>
      </c>
      <c r="F233" s="6" t="b">
        <f t="shared" si="6"/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f t="shared" si="7"/>
        <v>0</v>
      </c>
    </row>
    <row r="234" spans="1:36">
      <c r="A234">
        <v>232</v>
      </c>
      <c r="B234">
        <v>221</v>
      </c>
      <c r="C234">
        <v>220</v>
      </c>
      <c r="D234" t="s">
        <v>45</v>
      </c>
      <c r="E234" s="6" t="s">
        <v>45</v>
      </c>
      <c r="F234" s="6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0.23599999999999999</v>
      </c>
      <c r="Q234">
        <v>233</v>
      </c>
      <c r="R234">
        <v>232</v>
      </c>
      <c r="S234" t="s">
        <v>4</v>
      </c>
      <c r="T234" t="s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f t="shared" si="7"/>
        <v>2</v>
      </c>
    </row>
    <row r="235" spans="1:36">
      <c r="A235">
        <v>234</v>
      </c>
      <c r="B235">
        <v>223</v>
      </c>
      <c r="C235">
        <v>222</v>
      </c>
      <c r="D235" t="s">
        <v>4</v>
      </c>
      <c r="E235" s="6" t="s">
        <v>1</v>
      </c>
      <c r="F235" s="6" t="b">
        <f t="shared" si="6"/>
        <v>1</v>
      </c>
      <c r="G235" t="s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0.19999999999999901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f t="shared" si="7"/>
        <v>0</v>
      </c>
    </row>
    <row r="236" spans="1:36">
      <c r="A236">
        <v>235</v>
      </c>
      <c r="B236">
        <v>224</v>
      </c>
      <c r="C236">
        <v>223</v>
      </c>
      <c r="D236" t="s">
        <v>48</v>
      </c>
      <c r="E236" s="6" t="s">
        <v>4</v>
      </c>
      <c r="F236" s="6" t="b">
        <f t="shared" si="6"/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f t="shared" si="7"/>
        <v>0</v>
      </c>
    </row>
    <row r="237" spans="1:36">
      <c r="A237">
        <v>236</v>
      </c>
      <c r="B237">
        <v>225</v>
      </c>
      <c r="C237">
        <v>224</v>
      </c>
      <c r="D237" t="s">
        <v>1</v>
      </c>
      <c r="E237" s="6" t="s">
        <v>48</v>
      </c>
      <c r="F237" s="6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f t="shared" si="7"/>
        <v>0</v>
      </c>
    </row>
    <row r="238" spans="1:36">
      <c r="A238">
        <v>237</v>
      </c>
      <c r="B238">
        <v>226</v>
      </c>
      <c r="C238">
        <v>225</v>
      </c>
      <c r="D238" t="s">
        <v>46</v>
      </c>
      <c r="E238" s="6" t="s">
        <v>1</v>
      </c>
      <c r="F238" s="6" t="b">
        <f t="shared" si="6"/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f t="shared" si="7"/>
        <v>0</v>
      </c>
    </row>
    <row r="239" spans="1:36">
      <c r="A239">
        <v>238</v>
      </c>
      <c r="B239">
        <v>227</v>
      </c>
      <c r="C239">
        <v>226</v>
      </c>
      <c r="D239" t="s">
        <v>42</v>
      </c>
      <c r="E239" s="6" t="s">
        <v>46</v>
      </c>
      <c r="F239" s="6" t="b">
        <f t="shared" si="6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f t="shared" si="7"/>
        <v>0</v>
      </c>
    </row>
    <row r="240" spans="1:36">
      <c r="A240">
        <v>239</v>
      </c>
      <c r="B240">
        <v>228</v>
      </c>
      <c r="C240">
        <v>227</v>
      </c>
      <c r="D240" t="s">
        <v>8</v>
      </c>
      <c r="E240" s="6" t="s">
        <v>42</v>
      </c>
      <c r="F240" s="6" t="b">
        <f t="shared" si="6"/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f t="shared" si="7"/>
        <v>0</v>
      </c>
    </row>
    <row r="241" spans="1:36">
      <c r="A241">
        <v>240</v>
      </c>
      <c r="B241">
        <v>229</v>
      </c>
      <c r="C241">
        <v>228</v>
      </c>
      <c r="D241" t="s">
        <v>50</v>
      </c>
      <c r="E241" s="6" t="s">
        <v>8</v>
      </c>
      <c r="F241" s="6" t="b">
        <f t="shared" si="6"/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f t="shared" si="7"/>
        <v>0</v>
      </c>
    </row>
    <row r="242" spans="1:36">
      <c r="A242">
        <v>241</v>
      </c>
      <c r="B242">
        <v>230</v>
      </c>
      <c r="C242">
        <v>229</v>
      </c>
      <c r="D242" t="s">
        <v>3</v>
      </c>
      <c r="E242" s="6" t="s">
        <v>50</v>
      </c>
      <c r="F242" s="6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f t="shared" si="7"/>
        <v>0</v>
      </c>
    </row>
    <row r="243" spans="1:36">
      <c r="A243">
        <v>242</v>
      </c>
      <c r="B243">
        <v>231</v>
      </c>
      <c r="C243">
        <v>230</v>
      </c>
      <c r="D243" t="s">
        <v>5</v>
      </c>
      <c r="E243" s="6" t="s">
        <v>3</v>
      </c>
      <c r="F243" s="6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f t="shared" si="7"/>
        <v>0</v>
      </c>
    </row>
    <row r="244" spans="1:36">
      <c r="A244">
        <v>243</v>
      </c>
      <c r="B244">
        <v>232</v>
      </c>
      <c r="C244">
        <v>231</v>
      </c>
      <c r="D244" t="s">
        <v>8</v>
      </c>
      <c r="E244" s="6" t="s">
        <v>3</v>
      </c>
      <c r="F244" s="6" t="b">
        <f t="shared" si="6"/>
        <v>1</v>
      </c>
      <c r="G244" t="s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0.11120577299999999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f t="shared" si="7"/>
        <v>0</v>
      </c>
    </row>
    <row r="245" spans="1:36">
      <c r="A245">
        <v>244</v>
      </c>
      <c r="B245">
        <v>233</v>
      </c>
      <c r="C245">
        <v>232</v>
      </c>
      <c r="D245" t="s">
        <v>4</v>
      </c>
      <c r="E245" s="6" t="s">
        <v>8</v>
      </c>
      <c r="F245" s="6" t="b">
        <f t="shared" si="6"/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f t="shared" si="7"/>
        <v>0</v>
      </c>
    </row>
    <row r="246" spans="1:36">
      <c r="A246">
        <v>245</v>
      </c>
      <c r="B246">
        <v>234</v>
      </c>
      <c r="C246">
        <v>233</v>
      </c>
      <c r="D246" t="s">
        <v>48</v>
      </c>
      <c r="E246" s="6" t="s">
        <v>2</v>
      </c>
      <c r="F246" s="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f t="shared" si="7"/>
        <v>0</v>
      </c>
    </row>
    <row r="247" spans="1:36">
      <c r="A247">
        <v>246</v>
      </c>
      <c r="B247">
        <v>235</v>
      </c>
      <c r="C247">
        <v>234</v>
      </c>
      <c r="D247" t="s">
        <v>3</v>
      </c>
      <c r="E247" s="6" t="s">
        <v>48</v>
      </c>
      <c r="F247" s="6" t="b">
        <f t="shared" si="6"/>
        <v>0</v>
      </c>
      <c r="G247" t="s">
        <v>7</v>
      </c>
      <c r="H247">
        <v>0</v>
      </c>
      <c r="I247">
        <v>0</v>
      </c>
      <c r="J247">
        <v>0.139013452914798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0.26146127299999999</v>
      </c>
      <c r="S247">
        <v>0</v>
      </c>
      <c r="T247">
        <v>0.33417721518987298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f t="shared" si="7"/>
        <v>2</v>
      </c>
    </row>
    <row r="248" spans="1:36">
      <c r="A248">
        <v>247</v>
      </c>
      <c r="B248">
        <v>236</v>
      </c>
      <c r="C248">
        <v>235</v>
      </c>
      <c r="D248" t="s">
        <v>4</v>
      </c>
      <c r="E248" s="6" t="s">
        <v>3</v>
      </c>
      <c r="F248" s="6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f t="shared" si="7"/>
        <v>0</v>
      </c>
    </row>
    <row r="249" spans="1:36">
      <c r="A249">
        <v>248</v>
      </c>
      <c r="B249">
        <v>237</v>
      </c>
      <c r="C249">
        <v>236</v>
      </c>
      <c r="D249" t="s">
        <v>2</v>
      </c>
      <c r="E249" s="6" t="s">
        <v>4</v>
      </c>
      <c r="F249" s="6" t="b">
        <f t="shared" si="6"/>
        <v>1</v>
      </c>
      <c r="G249" t="s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0.109090929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f t="shared" si="7"/>
        <v>0</v>
      </c>
    </row>
    <row r="250" spans="1:36">
      <c r="A250">
        <v>249</v>
      </c>
      <c r="B250">
        <v>238</v>
      </c>
      <c r="C250">
        <v>237</v>
      </c>
      <c r="D250" t="s">
        <v>4</v>
      </c>
      <c r="E250" s="6" t="s">
        <v>2</v>
      </c>
      <c r="F250" s="6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f t="shared" si="7"/>
        <v>0</v>
      </c>
    </row>
    <row r="251" spans="1:36">
      <c r="A251">
        <v>250</v>
      </c>
      <c r="B251">
        <v>239</v>
      </c>
      <c r="C251">
        <v>238</v>
      </c>
      <c r="D251" t="s">
        <v>45</v>
      </c>
      <c r="E251" s="6" t="s">
        <v>4</v>
      </c>
      <c r="F251" s="6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f t="shared" si="7"/>
        <v>0</v>
      </c>
    </row>
    <row r="252" spans="1:36">
      <c r="A252">
        <v>251</v>
      </c>
      <c r="B252">
        <v>240</v>
      </c>
      <c r="C252">
        <v>239</v>
      </c>
      <c r="D252" t="s">
        <v>50</v>
      </c>
      <c r="E252" s="6" t="s">
        <v>45</v>
      </c>
      <c r="F252" s="6" t="b">
        <f t="shared" si="6"/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f t="shared" si="7"/>
        <v>0</v>
      </c>
    </row>
    <row r="253" spans="1:36">
      <c r="A253">
        <v>252</v>
      </c>
      <c r="B253">
        <v>241</v>
      </c>
      <c r="C253">
        <v>240</v>
      </c>
      <c r="D253" t="s">
        <v>2</v>
      </c>
      <c r="E253" s="6" t="s">
        <v>50</v>
      </c>
      <c r="F253" s="6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f t="shared" si="7"/>
        <v>0</v>
      </c>
    </row>
    <row r="254" spans="1:36">
      <c r="A254">
        <v>253</v>
      </c>
      <c r="B254">
        <v>242</v>
      </c>
      <c r="C254">
        <v>241</v>
      </c>
      <c r="D254" t="s">
        <v>3</v>
      </c>
      <c r="E254" s="6" t="s">
        <v>2</v>
      </c>
      <c r="F254" s="6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f t="shared" si="7"/>
        <v>0</v>
      </c>
    </row>
    <row r="255" spans="1:36">
      <c r="A255">
        <v>254</v>
      </c>
      <c r="B255">
        <v>243</v>
      </c>
      <c r="C255">
        <v>242</v>
      </c>
      <c r="D255" t="s">
        <v>47</v>
      </c>
      <c r="E255" s="6" t="s">
        <v>3</v>
      </c>
      <c r="F255" s="6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f t="shared" si="7"/>
        <v>0</v>
      </c>
    </row>
    <row r="256" spans="1:36">
      <c r="A256">
        <v>255</v>
      </c>
      <c r="B256">
        <v>244</v>
      </c>
      <c r="C256">
        <v>243</v>
      </c>
      <c r="D256" t="s">
        <v>7</v>
      </c>
      <c r="E256" s="6" t="s">
        <v>47</v>
      </c>
      <c r="F256" s="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f t="shared" si="7"/>
        <v>0</v>
      </c>
    </row>
    <row r="257" spans="1:36">
      <c r="A257">
        <v>256</v>
      </c>
      <c r="B257">
        <v>245</v>
      </c>
      <c r="C257">
        <v>244</v>
      </c>
      <c r="D257" t="s">
        <v>2</v>
      </c>
      <c r="E257" s="6" t="s">
        <v>7</v>
      </c>
      <c r="F257" s="6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f t="shared" si="7"/>
        <v>0</v>
      </c>
    </row>
    <row r="258" spans="1:36">
      <c r="A258">
        <v>257</v>
      </c>
      <c r="B258">
        <v>246</v>
      </c>
      <c r="C258">
        <v>245</v>
      </c>
      <c r="D258" t="s">
        <v>47</v>
      </c>
      <c r="E258" s="6" t="s">
        <v>2</v>
      </c>
      <c r="F258" s="6" t="b">
        <f t="shared" ref="F258:F321" si="8">D258=G258</f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f t="shared" si="7"/>
        <v>0</v>
      </c>
    </row>
    <row r="259" spans="1:36">
      <c r="A259">
        <v>258</v>
      </c>
      <c r="B259">
        <v>247</v>
      </c>
      <c r="C259">
        <v>246</v>
      </c>
      <c r="D259" t="s">
        <v>44</v>
      </c>
      <c r="E259" s="6" t="s">
        <v>47</v>
      </c>
      <c r="F259" s="6" t="b">
        <f t="shared" si="8"/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f t="shared" ref="AJ259:AJ322" si="9">COUNTIF(H259:AI259,"&gt;0.25")</f>
        <v>0</v>
      </c>
    </row>
    <row r="260" spans="1:36">
      <c r="A260">
        <v>259</v>
      </c>
      <c r="B260">
        <v>248</v>
      </c>
      <c r="C260">
        <v>247</v>
      </c>
      <c r="D260" t="s">
        <v>50</v>
      </c>
      <c r="E260" s="6" t="s">
        <v>44</v>
      </c>
      <c r="F260" s="6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f t="shared" si="9"/>
        <v>0</v>
      </c>
    </row>
    <row r="261" spans="1:36">
      <c r="A261">
        <v>260</v>
      </c>
      <c r="B261">
        <v>249</v>
      </c>
      <c r="C261">
        <v>248</v>
      </c>
      <c r="D261" t="s">
        <v>2</v>
      </c>
      <c r="E261" s="6" t="s">
        <v>50</v>
      </c>
      <c r="F261" s="6" t="b">
        <f t="shared" si="8"/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f t="shared" si="9"/>
        <v>0</v>
      </c>
    </row>
    <row r="262" spans="1:36">
      <c r="A262">
        <v>261</v>
      </c>
      <c r="B262">
        <v>250</v>
      </c>
      <c r="C262">
        <v>249</v>
      </c>
      <c r="D262" t="s">
        <v>9</v>
      </c>
      <c r="E262" s="6" t="s">
        <v>2</v>
      </c>
      <c r="F262" s="6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f t="shared" si="9"/>
        <v>0</v>
      </c>
    </row>
    <row r="263" spans="1:36">
      <c r="A263">
        <v>262</v>
      </c>
      <c r="B263">
        <v>251</v>
      </c>
      <c r="C263">
        <v>250</v>
      </c>
      <c r="D263" t="s">
        <v>4</v>
      </c>
      <c r="E263" s="6" t="s">
        <v>9</v>
      </c>
      <c r="F263" s="6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f t="shared" si="9"/>
        <v>0</v>
      </c>
    </row>
    <row r="264" spans="1:36">
      <c r="A264">
        <v>263</v>
      </c>
      <c r="B264">
        <v>252</v>
      </c>
      <c r="C264">
        <v>251</v>
      </c>
      <c r="D264" t="s">
        <v>46</v>
      </c>
      <c r="E264" s="6" t="s">
        <v>4</v>
      </c>
      <c r="F264" s="6" t="b">
        <f t="shared" si="8"/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f t="shared" si="9"/>
        <v>0</v>
      </c>
    </row>
    <row r="265" spans="1:36">
      <c r="A265">
        <v>264</v>
      </c>
      <c r="B265">
        <v>253</v>
      </c>
      <c r="C265">
        <v>252</v>
      </c>
      <c r="D265" t="s">
        <v>10</v>
      </c>
      <c r="E265" s="6" t="s">
        <v>46</v>
      </c>
      <c r="F265" s="6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f t="shared" si="9"/>
        <v>0</v>
      </c>
    </row>
    <row r="266" spans="1:36">
      <c r="A266">
        <v>265</v>
      </c>
      <c r="B266">
        <v>254</v>
      </c>
      <c r="C266">
        <v>253</v>
      </c>
      <c r="D266" t="s">
        <v>45</v>
      </c>
      <c r="E266" s="6" t="s">
        <v>10</v>
      </c>
      <c r="F266" s="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f t="shared" si="9"/>
        <v>0</v>
      </c>
    </row>
    <row r="267" spans="1:36">
      <c r="A267">
        <v>266</v>
      </c>
      <c r="B267">
        <v>255</v>
      </c>
      <c r="C267">
        <v>254</v>
      </c>
      <c r="D267" t="s">
        <v>47</v>
      </c>
      <c r="E267" s="6" t="s">
        <v>45</v>
      </c>
      <c r="F267" s="6" t="b">
        <f t="shared" si="8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f t="shared" si="9"/>
        <v>0</v>
      </c>
    </row>
    <row r="268" spans="1:36">
      <c r="A268">
        <v>267</v>
      </c>
      <c r="B268">
        <v>256</v>
      </c>
      <c r="C268">
        <v>255</v>
      </c>
      <c r="D268" t="s">
        <v>46</v>
      </c>
      <c r="E268" s="6" t="s">
        <v>47</v>
      </c>
      <c r="F268" s="6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f t="shared" si="9"/>
        <v>0</v>
      </c>
    </row>
    <row r="269" spans="1:36">
      <c r="A269">
        <v>268</v>
      </c>
      <c r="B269">
        <v>257</v>
      </c>
      <c r="C269">
        <v>256</v>
      </c>
      <c r="D269" t="s">
        <v>7</v>
      </c>
      <c r="E269" s="6" t="s">
        <v>47</v>
      </c>
      <c r="F269" s="6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f t="shared" si="9"/>
        <v>0</v>
      </c>
    </row>
    <row r="270" spans="1:36">
      <c r="A270">
        <v>269</v>
      </c>
      <c r="B270">
        <v>258</v>
      </c>
      <c r="C270">
        <v>257</v>
      </c>
      <c r="D270" t="s">
        <v>2</v>
      </c>
      <c r="E270" s="6" t="s">
        <v>7</v>
      </c>
      <c r="F270" s="6" t="b">
        <f t="shared" si="8"/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f t="shared" si="9"/>
        <v>0</v>
      </c>
    </row>
    <row r="271" spans="1:36">
      <c r="A271">
        <v>270</v>
      </c>
      <c r="B271">
        <v>259</v>
      </c>
      <c r="C271">
        <v>258</v>
      </c>
      <c r="D271" t="s">
        <v>44</v>
      </c>
      <c r="E271" s="6" t="s">
        <v>2</v>
      </c>
      <c r="F271" s="6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f t="shared" si="9"/>
        <v>0</v>
      </c>
    </row>
    <row r="272" spans="1:36">
      <c r="A272">
        <v>271</v>
      </c>
      <c r="B272">
        <v>260</v>
      </c>
      <c r="C272">
        <v>259</v>
      </c>
      <c r="D272" t="s">
        <v>42</v>
      </c>
      <c r="E272" s="6" t="s">
        <v>44</v>
      </c>
      <c r="F272" s="6" t="b">
        <f t="shared" si="8"/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f t="shared" si="9"/>
        <v>0</v>
      </c>
    </row>
    <row r="273" spans="1:36">
      <c r="A273">
        <v>272</v>
      </c>
      <c r="B273">
        <v>261</v>
      </c>
      <c r="C273">
        <v>260</v>
      </c>
      <c r="D273" t="s">
        <v>42</v>
      </c>
      <c r="E273" s="6" t="s">
        <v>42</v>
      </c>
      <c r="F273" s="6" t="b">
        <f t="shared" si="8"/>
        <v>1</v>
      </c>
      <c r="G273" t="s">
        <v>42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0.30883658969804501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f t="shared" si="9"/>
        <v>1</v>
      </c>
    </row>
    <row r="274" spans="1:36">
      <c r="A274">
        <v>273</v>
      </c>
      <c r="B274">
        <v>262</v>
      </c>
      <c r="C274">
        <v>261</v>
      </c>
      <c r="D274" t="s">
        <v>42</v>
      </c>
      <c r="E274" s="6" t="s">
        <v>42</v>
      </c>
      <c r="F274" s="6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f t="shared" si="9"/>
        <v>0</v>
      </c>
    </row>
    <row r="275" spans="1:36">
      <c r="A275">
        <v>274</v>
      </c>
      <c r="B275">
        <v>263</v>
      </c>
      <c r="C275">
        <v>262</v>
      </c>
      <c r="D275" t="s">
        <v>3</v>
      </c>
      <c r="E275" s="6" t="s">
        <v>42</v>
      </c>
      <c r="F275" s="6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f t="shared" si="9"/>
        <v>0</v>
      </c>
    </row>
    <row r="276" spans="1:36">
      <c r="A276">
        <v>275</v>
      </c>
      <c r="B276">
        <v>264</v>
      </c>
      <c r="C276">
        <v>263</v>
      </c>
      <c r="D276" t="s">
        <v>4</v>
      </c>
      <c r="E276" s="6" t="s">
        <v>3</v>
      </c>
      <c r="F276" s="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f t="shared" si="9"/>
        <v>0</v>
      </c>
    </row>
    <row r="277" spans="1:36">
      <c r="A277">
        <v>276</v>
      </c>
      <c r="B277">
        <v>265</v>
      </c>
      <c r="C277">
        <v>264</v>
      </c>
      <c r="D277" t="s">
        <v>7</v>
      </c>
      <c r="E277" s="6" t="s">
        <v>4</v>
      </c>
      <c r="F277" s="6" t="b">
        <f t="shared" si="8"/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f t="shared" si="9"/>
        <v>0</v>
      </c>
    </row>
    <row r="278" spans="1:36">
      <c r="A278">
        <v>277</v>
      </c>
      <c r="B278">
        <v>266</v>
      </c>
      <c r="C278">
        <v>265</v>
      </c>
      <c r="D278" t="s">
        <v>42</v>
      </c>
      <c r="E278" s="6" t="s">
        <v>7</v>
      </c>
      <c r="F278" s="6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f t="shared" si="9"/>
        <v>0</v>
      </c>
    </row>
    <row r="279" spans="1:36">
      <c r="A279">
        <v>278</v>
      </c>
      <c r="B279">
        <v>267</v>
      </c>
      <c r="C279">
        <v>266</v>
      </c>
      <c r="D279" t="s">
        <v>1</v>
      </c>
      <c r="E279" s="6" t="s">
        <v>42</v>
      </c>
      <c r="F279" s="6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f t="shared" si="9"/>
        <v>0</v>
      </c>
    </row>
    <row r="280" spans="1:36">
      <c r="A280">
        <v>279</v>
      </c>
      <c r="B280">
        <v>268</v>
      </c>
      <c r="C280">
        <v>267</v>
      </c>
      <c r="D280" t="s">
        <v>6</v>
      </c>
      <c r="E280" s="6" t="s">
        <v>1</v>
      </c>
      <c r="F280" s="6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f t="shared" si="9"/>
        <v>0</v>
      </c>
    </row>
    <row r="281" spans="1:36">
      <c r="A281">
        <v>280</v>
      </c>
      <c r="B281">
        <v>269</v>
      </c>
      <c r="C281">
        <v>268</v>
      </c>
      <c r="D281" t="s">
        <v>5</v>
      </c>
      <c r="E281" s="6" t="s">
        <v>6</v>
      </c>
      <c r="F281" s="6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f t="shared" si="9"/>
        <v>0</v>
      </c>
    </row>
    <row r="282" spans="1:36">
      <c r="A282">
        <v>281</v>
      </c>
      <c r="B282">
        <v>270</v>
      </c>
      <c r="C282">
        <v>269</v>
      </c>
      <c r="D282" t="s">
        <v>8</v>
      </c>
      <c r="E282" s="6" t="s">
        <v>6</v>
      </c>
      <c r="F282" s="6" t="b">
        <f t="shared" si="8"/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f t="shared" si="9"/>
        <v>0</v>
      </c>
    </row>
    <row r="283" spans="1:36">
      <c r="A283">
        <v>282</v>
      </c>
      <c r="B283">
        <v>271</v>
      </c>
      <c r="C283">
        <v>270</v>
      </c>
      <c r="D283" t="s">
        <v>47</v>
      </c>
      <c r="E283" s="6" t="s">
        <v>6</v>
      </c>
      <c r="F283" s="6" t="b">
        <f t="shared" si="8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f t="shared" si="9"/>
        <v>0</v>
      </c>
    </row>
    <row r="284" spans="1:36">
      <c r="A284">
        <v>283</v>
      </c>
      <c r="B284">
        <v>272</v>
      </c>
      <c r="C284">
        <v>271</v>
      </c>
      <c r="D284" t="s">
        <v>47</v>
      </c>
      <c r="E284" s="6" t="s">
        <v>47</v>
      </c>
      <c r="F284" s="6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f t="shared" si="9"/>
        <v>0</v>
      </c>
    </row>
    <row r="285" spans="1:36">
      <c r="A285">
        <v>284</v>
      </c>
      <c r="B285">
        <v>273</v>
      </c>
      <c r="C285">
        <v>272</v>
      </c>
      <c r="D285" t="s">
        <v>46</v>
      </c>
      <c r="E285" s="6" t="s">
        <v>47</v>
      </c>
      <c r="F285" s="6" t="b">
        <f t="shared" si="8"/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f t="shared" si="9"/>
        <v>0</v>
      </c>
    </row>
    <row r="286" spans="1:36">
      <c r="A286">
        <v>285</v>
      </c>
      <c r="B286">
        <v>274</v>
      </c>
      <c r="C286">
        <v>273</v>
      </c>
      <c r="D286" t="s">
        <v>10</v>
      </c>
      <c r="E286" s="6" t="s">
        <v>46</v>
      </c>
      <c r="F286" s="6" t="b">
        <f t="shared" si="8"/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f t="shared" si="9"/>
        <v>0</v>
      </c>
    </row>
    <row r="287" spans="1:36">
      <c r="A287">
        <v>286</v>
      </c>
      <c r="B287">
        <v>275</v>
      </c>
      <c r="C287">
        <v>274</v>
      </c>
      <c r="D287" t="s">
        <v>7</v>
      </c>
      <c r="E287" s="6" t="s">
        <v>10</v>
      </c>
      <c r="F287" s="6" t="b">
        <f t="shared" si="8"/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f t="shared" si="9"/>
        <v>0</v>
      </c>
    </row>
    <row r="288" spans="1:36">
      <c r="A288">
        <v>287</v>
      </c>
      <c r="B288">
        <v>276</v>
      </c>
      <c r="C288">
        <v>275</v>
      </c>
      <c r="D288" t="s">
        <v>6</v>
      </c>
      <c r="E288" s="6" t="s">
        <v>7</v>
      </c>
      <c r="F288" s="6" t="b">
        <f t="shared" si="8"/>
        <v>0</v>
      </c>
      <c r="G288" t="s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0.97008547008546997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f t="shared" si="9"/>
        <v>1</v>
      </c>
    </row>
    <row r="289" spans="1:36">
      <c r="A289">
        <v>288</v>
      </c>
      <c r="B289">
        <v>277</v>
      </c>
      <c r="C289">
        <v>276</v>
      </c>
      <c r="D289" t="s">
        <v>3</v>
      </c>
      <c r="E289" s="6" t="s">
        <v>47</v>
      </c>
      <c r="F289" s="6" t="b">
        <f t="shared" si="8"/>
        <v>0</v>
      </c>
      <c r="G289" t="s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0.72665036674816597</v>
      </c>
      <c r="P289">
        <v>0</v>
      </c>
      <c r="Q289">
        <v>0</v>
      </c>
      <c r="R289">
        <v>0.994773766</v>
      </c>
      <c r="S289">
        <v>0</v>
      </c>
      <c r="T289">
        <v>0</v>
      </c>
      <c r="U289">
        <v>0.36007326007326002</v>
      </c>
      <c r="V289">
        <v>0</v>
      </c>
      <c r="W289">
        <v>0.541676027858908</v>
      </c>
      <c r="X289">
        <v>0</v>
      </c>
      <c r="Y289">
        <v>0.34862385321100903</v>
      </c>
      <c r="Z289">
        <v>0.25269377824122302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0.99567847882454596</v>
      </c>
      <c r="AG289">
        <v>0</v>
      </c>
      <c r="AH289">
        <v>0.99570200573065903</v>
      </c>
      <c r="AI289">
        <v>0</v>
      </c>
      <c r="AJ289">
        <f t="shared" si="9"/>
        <v>8</v>
      </c>
    </row>
    <row r="290" spans="1:36">
      <c r="A290">
        <v>289</v>
      </c>
      <c r="B290">
        <v>278</v>
      </c>
      <c r="C290">
        <v>277</v>
      </c>
      <c r="D290" t="s">
        <v>48</v>
      </c>
      <c r="E290" s="6" t="s">
        <v>3</v>
      </c>
      <c r="F290" s="6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f t="shared" si="9"/>
        <v>0</v>
      </c>
    </row>
    <row r="291" spans="1:36">
      <c r="A291">
        <v>290</v>
      </c>
      <c r="B291">
        <v>279</v>
      </c>
      <c r="C291">
        <v>278</v>
      </c>
      <c r="D291" t="s">
        <v>2</v>
      </c>
      <c r="E291" s="6" t="s">
        <v>48</v>
      </c>
      <c r="F291" s="6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f t="shared" si="9"/>
        <v>0</v>
      </c>
    </row>
    <row r="292" spans="1:36">
      <c r="A292">
        <v>291</v>
      </c>
      <c r="B292">
        <v>280</v>
      </c>
      <c r="C292">
        <v>279</v>
      </c>
      <c r="D292" t="s">
        <v>5</v>
      </c>
      <c r="E292" s="6" t="s">
        <v>2</v>
      </c>
      <c r="F292" s="6" t="b">
        <f t="shared" si="8"/>
        <v>0</v>
      </c>
      <c r="G292" t="s">
        <v>1</v>
      </c>
      <c r="H292">
        <v>0.98674285714285703</v>
      </c>
      <c r="I292">
        <v>0.96341858206539299</v>
      </c>
      <c r="J292">
        <v>0.992644895557516</v>
      </c>
      <c r="K292">
        <v>0.99283234404748499</v>
      </c>
      <c r="L292">
        <v>0.99609952925352996</v>
      </c>
      <c r="M292">
        <v>0.995848161328588</v>
      </c>
      <c r="N292">
        <v>0.99876847290640403</v>
      </c>
      <c r="O292">
        <v>0.98327594687653697</v>
      </c>
      <c r="P292">
        <v>0</v>
      </c>
      <c r="Q292">
        <v>0.991406473789745</v>
      </c>
      <c r="R292">
        <v>0.99236288899999903</v>
      </c>
      <c r="S292">
        <v>0.99166666666666603</v>
      </c>
      <c r="T292">
        <v>0.99025069637883001</v>
      </c>
      <c r="U292">
        <v>0.99175721243911497</v>
      </c>
      <c r="V292">
        <v>0</v>
      </c>
      <c r="W292">
        <v>0.92079433919196496</v>
      </c>
      <c r="X292">
        <v>0.99401631912964605</v>
      </c>
      <c r="Y292">
        <v>0</v>
      </c>
      <c r="Z292">
        <v>0.229036729036729</v>
      </c>
      <c r="AA292">
        <v>0</v>
      </c>
      <c r="AB292">
        <v>0.995042812</v>
      </c>
      <c r="AC292">
        <v>0</v>
      </c>
      <c r="AD292">
        <v>0.87471198156681995</v>
      </c>
      <c r="AE292">
        <v>0</v>
      </c>
      <c r="AF292">
        <v>0.99453237410071904</v>
      </c>
      <c r="AG292">
        <v>0.97777777777777697</v>
      </c>
      <c r="AH292">
        <v>0.99712643678160895</v>
      </c>
      <c r="AI292">
        <v>0.61190476199999999</v>
      </c>
      <c r="AJ292">
        <f t="shared" si="9"/>
        <v>21</v>
      </c>
    </row>
    <row r="293" spans="1:36">
      <c r="A293">
        <v>292</v>
      </c>
      <c r="B293">
        <v>280</v>
      </c>
      <c r="C293">
        <v>279</v>
      </c>
      <c r="D293" t="s">
        <v>5</v>
      </c>
      <c r="E293" s="6" t="s">
        <v>5</v>
      </c>
      <c r="F293" s="6" t="b">
        <f t="shared" si="8"/>
        <v>0</v>
      </c>
      <c r="G293" t="s">
        <v>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0.12125576036866299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f t="shared" si="9"/>
        <v>0</v>
      </c>
    </row>
    <row r="294" spans="1:36">
      <c r="A294">
        <v>293</v>
      </c>
      <c r="B294">
        <v>280</v>
      </c>
      <c r="C294">
        <v>279</v>
      </c>
      <c r="D294" t="s">
        <v>5</v>
      </c>
      <c r="E294" s="6" t="s">
        <v>5</v>
      </c>
      <c r="F294" s="6" t="b">
        <f t="shared" si="8"/>
        <v>0</v>
      </c>
      <c r="G294" t="s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0.18785850900000001</v>
      </c>
      <c r="AF294">
        <v>0</v>
      </c>
      <c r="AG294">
        <v>0</v>
      </c>
      <c r="AH294">
        <v>0</v>
      </c>
      <c r="AI294">
        <v>0</v>
      </c>
      <c r="AJ294">
        <f t="shared" si="9"/>
        <v>0</v>
      </c>
    </row>
    <row r="295" spans="1:36">
      <c r="A295">
        <v>294</v>
      </c>
      <c r="B295">
        <v>281</v>
      </c>
      <c r="C295">
        <v>280</v>
      </c>
      <c r="D295" t="s">
        <v>3</v>
      </c>
      <c r="E295" s="6" t="s">
        <v>5</v>
      </c>
      <c r="F295" s="6" t="b">
        <f t="shared" si="8"/>
        <v>1</v>
      </c>
      <c r="G295" t="s">
        <v>3</v>
      </c>
      <c r="H295">
        <v>0</v>
      </c>
      <c r="I295">
        <v>0</v>
      </c>
      <c r="J295">
        <v>0.18214109521460201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f t="shared" si="9"/>
        <v>0</v>
      </c>
    </row>
    <row r="296" spans="1:36">
      <c r="A296">
        <v>295</v>
      </c>
      <c r="B296">
        <v>282</v>
      </c>
      <c r="C296">
        <v>281</v>
      </c>
      <c r="D296" t="s">
        <v>1</v>
      </c>
      <c r="E296" s="6" t="s">
        <v>3</v>
      </c>
      <c r="F296" s="6" t="b">
        <f t="shared" si="8"/>
        <v>0</v>
      </c>
      <c r="G296" t="s">
        <v>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0.23322683706070199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f t="shared" si="9"/>
        <v>0</v>
      </c>
    </row>
    <row r="297" spans="1:36">
      <c r="A297">
        <v>296</v>
      </c>
      <c r="B297">
        <v>282</v>
      </c>
      <c r="C297">
        <v>281</v>
      </c>
      <c r="D297" t="s">
        <v>1</v>
      </c>
      <c r="E297" s="6" t="s">
        <v>1</v>
      </c>
      <c r="F297" s="6" t="b">
        <f t="shared" si="8"/>
        <v>0</v>
      </c>
      <c r="G297" t="s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0.75743425903170303</v>
      </c>
      <c r="Z297">
        <v>0.58075089392133405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f t="shared" si="9"/>
        <v>2</v>
      </c>
    </row>
    <row r="298" spans="1:36">
      <c r="A298">
        <v>297</v>
      </c>
      <c r="B298">
        <v>283</v>
      </c>
      <c r="C298">
        <v>282</v>
      </c>
      <c r="D298" t="s">
        <v>8</v>
      </c>
      <c r="E298" s="6" t="s">
        <v>1</v>
      </c>
      <c r="F298" s="6" t="b">
        <f t="shared" si="8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f t="shared" si="9"/>
        <v>0</v>
      </c>
    </row>
    <row r="299" spans="1:36">
      <c r="A299">
        <v>298</v>
      </c>
      <c r="B299">
        <v>284</v>
      </c>
      <c r="C299">
        <v>283</v>
      </c>
      <c r="D299" t="s">
        <v>46</v>
      </c>
      <c r="E299" s="6" t="s">
        <v>8</v>
      </c>
      <c r="F299" s="6" t="b">
        <f t="shared" si="8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f t="shared" si="9"/>
        <v>0</v>
      </c>
    </row>
    <row r="300" spans="1:36">
      <c r="A300">
        <v>299</v>
      </c>
      <c r="B300">
        <v>285</v>
      </c>
      <c r="C300">
        <v>284</v>
      </c>
      <c r="D300" t="s">
        <v>46</v>
      </c>
      <c r="E300" s="6" t="s">
        <v>2</v>
      </c>
      <c r="F300" s="6" t="b">
        <f t="shared" si="8"/>
        <v>0</v>
      </c>
      <c r="G300" t="s">
        <v>11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0.96701495595164899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f t="shared" si="9"/>
        <v>1</v>
      </c>
    </row>
    <row r="301" spans="1:36">
      <c r="A301">
        <v>300</v>
      </c>
      <c r="B301">
        <v>286</v>
      </c>
      <c r="C301">
        <v>285</v>
      </c>
      <c r="D301" t="s">
        <v>46</v>
      </c>
      <c r="E301" s="6" t="s">
        <v>46</v>
      </c>
      <c r="F301" s="6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f t="shared" si="9"/>
        <v>0</v>
      </c>
    </row>
    <row r="302" spans="1:36">
      <c r="A302">
        <v>301</v>
      </c>
      <c r="B302">
        <v>287</v>
      </c>
      <c r="C302">
        <v>286</v>
      </c>
      <c r="D302" t="s">
        <v>47</v>
      </c>
      <c r="E302" s="6" t="s">
        <v>46</v>
      </c>
      <c r="F302" s="6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f t="shared" si="9"/>
        <v>0</v>
      </c>
    </row>
    <row r="303" spans="1:36">
      <c r="A303">
        <v>302</v>
      </c>
      <c r="B303">
        <v>288</v>
      </c>
      <c r="C303">
        <v>287</v>
      </c>
      <c r="D303" t="s">
        <v>9</v>
      </c>
      <c r="E303" s="6" t="s">
        <v>47</v>
      </c>
      <c r="F303" s="6" t="b">
        <f t="shared" si="8"/>
        <v>0</v>
      </c>
      <c r="G303" t="s">
        <v>44</v>
      </c>
      <c r="H303">
        <v>0.86008423022929303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0.238420931</v>
      </c>
      <c r="S303">
        <v>0.242937021777516</v>
      </c>
      <c r="T303">
        <v>0</v>
      </c>
      <c r="U303">
        <v>0</v>
      </c>
      <c r="V303">
        <v>0</v>
      </c>
      <c r="W303">
        <v>0.64167393199651201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0.25976768743400103</v>
      </c>
      <c r="AE303">
        <v>0</v>
      </c>
      <c r="AF303">
        <v>0.39693446088794898</v>
      </c>
      <c r="AG303">
        <v>0.38740458015267099</v>
      </c>
      <c r="AH303">
        <v>0</v>
      </c>
      <c r="AI303">
        <v>0</v>
      </c>
      <c r="AJ303">
        <f t="shared" si="9"/>
        <v>5</v>
      </c>
    </row>
    <row r="304" spans="1:36">
      <c r="A304">
        <v>303</v>
      </c>
      <c r="B304">
        <v>289</v>
      </c>
      <c r="C304">
        <v>288</v>
      </c>
      <c r="D304" t="s">
        <v>42</v>
      </c>
      <c r="E304" s="6" t="s">
        <v>44</v>
      </c>
      <c r="F304" s="6" t="b">
        <f t="shared" si="8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f t="shared" si="9"/>
        <v>0</v>
      </c>
    </row>
    <row r="305" spans="1:36">
      <c r="A305">
        <v>304</v>
      </c>
      <c r="B305">
        <v>290</v>
      </c>
      <c r="C305">
        <v>289</v>
      </c>
      <c r="D305" t="s">
        <v>3</v>
      </c>
      <c r="E305" s="6" t="s">
        <v>42</v>
      </c>
      <c r="F305" s="6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f t="shared" si="9"/>
        <v>0</v>
      </c>
    </row>
    <row r="306" spans="1:36">
      <c r="A306">
        <v>305</v>
      </c>
      <c r="B306">
        <v>291</v>
      </c>
      <c r="C306">
        <v>290</v>
      </c>
      <c r="D306" t="s">
        <v>6</v>
      </c>
      <c r="E306" s="6" t="s">
        <v>3</v>
      </c>
      <c r="F306" s="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f t="shared" si="9"/>
        <v>0</v>
      </c>
    </row>
    <row r="307" spans="1:36">
      <c r="A307">
        <v>306</v>
      </c>
      <c r="B307">
        <v>292</v>
      </c>
      <c r="C307">
        <v>291</v>
      </c>
      <c r="D307" t="s">
        <v>2</v>
      </c>
      <c r="E307" s="6" t="s">
        <v>2</v>
      </c>
      <c r="F307" s="6" t="b">
        <f t="shared" si="8"/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f t="shared" si="9"/>
        <v>0</v>
      </c>
    </row>
    <row r="308" spans="1:36">
      <c r="A308">
        <v>307</v>
      </c>
      <c r="B308">
        <v>293</v>
      </c>
      <c r="C308">
        <v>292</v>
      </c>
      <c r="D308" t="s">
        <v>47</v>
      </c>
      <c r="E308" s="6" t="s">
        <v>7</v>
      </c>
      <c r="F308" s="6" t="b">
        <f t="shared" si="8"/>
        <v>1</v>
      </c>
      <c r="G308" t="s">
        <v>47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0.256723716381418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f t="shared" si="9"/>
        <v>1</v>
      </c>
    </row>
    <row r="309" spans="1:36">
      <c r="A309">
        <v>308</v>
      </c>
      <c r="B309">
        <v>294</v>
      </c>
      <c r="C309">
        <v>293</v>
      </c>
      <c r="D309" t="s">
        <v>8</v>
      </c>
      <c r="E309" s="6" t="s">
        <v>47</v>
      </c>
      <c r="F309" s="6" t="b">
        <f t="shared" si="8"/>
        <v>1</v>
      </c>
      <c r="G309" t="s">
        <v>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0.31544703000000002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f t="shared" si="9"/>
        <v>1</v>
      </c>
    </row>
    <row r="310" spans="1:36">
      <c r="A310">
        <v>309</v>
      </c>
      <c r="B310">
        <v>295</v>
      </c>
      <c r="C310">
        <v>294</v>
      </c>
      <c r="D310" t="s">
        <v>46</v>
      </c>
      <c r="E310" s="6" t="s">
        <v>6</v>
      </c>
      <c r="F310" s="6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f t="shared" si="9"/>
        <v>0</v>
      </c>
    </row>
    <row r="311" spans="1:36">
      <c r="A311">
        <v>310</v>
      </c>
      <c r="B311">
        <v>296</v>
      </c>
      <c r="C311">
        <v>295</v>
      </c>
      <c r="D311" t="s">
        <v>3</v>
      </c>
      <c r="E311" s="6" t="s">
        <v>46</v>
      </c>
      <c r="F311" s="6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f t="shared" si="9"/>
        <v>0</v>
      </c>
    </row>
    <row r="312" spans="1:36">
      <c r="A312">
        <v>311</v>
      </c>
      <c r="B312">
        <v>297</v>
      </c>
      <c r="C312">
        <v>296</v>
      </c>
      <c r="D312" t="s">
        <v>50</v>
      </c>
      <c r="E312" s="6" t="s">
        <v>3</v>
      </c>
      <c r="F312" s="6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f t="shared" si="9"/>
        <v>0</v>
      </c>
    </row>
    <row r="313" spans="1:36">
      <c r="A313">
        <v>312</v>
      </c>
      <c r="B313">
        <v>298</v>
      </c>
      <c r="C313">
        <v>297</v>
      </c>
      <c r="D313" t="s">
        <v>2</v>
      </c>
      <c r="E313" s="6" t="s">
        <v>50</v>
      </c>
      <c r="F313" s="6" t="b">
        <f t="shared" si="8"/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f t="shared" si="9"/>
        <v>0</v>
      </c>
    </row>
    <row r="314" spans="1:36">
      <c r="A314">
        <v>313</v>
      </c>
      <c r="B314">
        <v>299</v>
      </c>
      <c r="C314">
        <v>298</v>
      </c>
      <c r="D314" t="s">
        <v>10</v>
      </c>
      <c r="E314" s="6" t="s">
        <v>2</v>
      </c>
      <c r="F314" s="6" t="b">
        <f t="shared" si="8"/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f t="shared" si="9"/>
        <v>0</v>
      </c>
    </row>
    <row r="315" spans="1:36">
      <c r="A315">
        <v>314</v>
      </c>
      <c r="B315">
        <v>300</v>
      </c>
      <c r="C315">
        <v>299</v>
      </c>
      <c r="D315" t="s">
        <v>45</v>
      </c>
      <c r="E315" s="6" t="s">
        <v>10</v>
      </c>
      <c r="F315" s="6" t="b">
        <f t="shared" si="8"/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f t="shared" si="9"/>
        <v>0</v>
      </c>
    </row>
    <row r="316" spans="1:36">
      <c r="A316">
        <v>315</v>
      </c>
      <c r="B316">
        <v>301</v>
      </c>
      <c r="C316">
        <v>300</v>
      </c>
      <c r="D316" t="s">
        <v>3</v>
      </c>
      <c r="E316" s="6" t="s">
        <v>45</v>
      </c>
      <c r="F316" s="6" t="b">
        <f t="shared" si="8"/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f t="shared" si="9"/>
        <v>0</v>
      </c>
    </row>
    <row r="317" spans="1:36">
      <c r="A317">
        <v>316</v>
      </c>
      <c r="B317">
        <v>302</v>
      </c>
      <c r="C317">
        <v>301</v>
      </c>
      <c r="D317" t="s">
        <v>3</v>
      </c>
      <c r="E317" s="6" t="s">
        <v>3</v>
      </c>
      <c r="F317" s="6" t="b">
        <f t="shared" si="8"/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f t="shared" si="9"/>
        <v>0</v>
      </c>
    </row>
    <row r="318" spans="1:36">
      <c r="A318">
        <v>317</v>
      </c>
      <c r="B318">
        <v>303</v>
      </c>
      <c r="C318">
        <v>302</v>
      </c>
      <c r="D318" t="s">
        <v>3</v>
      </c>
      <c r="E318" s="6" t="s">
        <v>3</v>
      </c>
      <c r="F318" s="6" t="b">
        <f t="shared" si="8"/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f t="shared" si="9"/>
        <v>0</v>
      </c>
    </row>
    <row r="319" spans="1:36">
      <c r="A319">
        <v>318</v>
      </c>
      <c r="B319">
        <v>304</v>
      </c>
      <c r="C319">
        <v>303</v>
      </c>
      <c r="D319" t="s">
        <v>2</v>
      </c>
      <c r="E319" s="6" t="s">
        <v>3</v>
      </c>
      <c r="F319" s="6" t="b">
        <f t="shared" si="8"/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f t="shared" si="9"/>
        <v>0</v>
      </c>
    </row>
    <row r="320" spans="1:36">
      <c r="A320">
        <v>319</v>
      </c>
      <c r="B320">
        <v>305</v>
      </c>
      <c r="C320">
        <v>304</v>
      </c>
      <c r="D320" t="s">
        <v>10</v>
      </c>
      <c r="E320" s="6" t="s">
        <v>2</v>
      </c>
      <c r="F320" s="6" t="b">
        <f t="shared" si="8"/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f t="shared" si="9"/>
        <v>0</v>
      </c>
    </row>
    <row r="321" spans="1:36">
      <c r="A321">
        <v>320</v>
      </c>
      <c r="B321">
        <v>306</v>
      </c>
      <c r="C321">
        <v>305</v>
      </c>
      <c r="D321" t="s">
        <v>8</v>
      </c>
      <c r="E321" s="6" t="s">
        <v>10</v>
      </c>
      <c r="F321" s="6" t="b">
        <f t="shared" si="8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f t="shared" si="9"/>
        <v>0</v>
      </c>
    </row>
    <row r="322" spans="1:36">
      <c r="A322">
        <v>321</v>
      </c>
      <c r="B322">
        <v>307</v>
      </c>
      <c r="C322">
        <v>306</v>
      </c>
      <c r="D322" t="s">
        <v>7</v>
      </c>
      <c r="E322" s="6" t="s">
        <v>8</v>
      </c>
      <c r="F322" s="6" t="b">
        <f t="shared" ref="F322:F385" si="10">D322=G322</f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f t="shared" si="9"/>
        <v>0</v>
      </c>
    </row>
    <row r="323" spans="1:36">
      <c r="A323">
        <v>322</v>
      </c>
      <c r="B323">
        <v>308</v>
      </c>
      <c r="C323">
        <v>307</v>
      </c>
      <c r="D323" t="s">
        <v>46</v>
      </c>
      <c r="E323" s="6" t="s">
        <v>10</v>
      </c>
      <c r="F323" s="6" t="b">
        <f t="shared" si="10"/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f t="shared" ref="AJ323:AJ386" si="11">COUNTIF(H323:AI323,"&gt;0.25")</f>
        <v>0</v>
      </c>
    </row>
    <row r="324" spans="1:36">
      <c r="A324">
        <v>323</v>
      </c>
      <c r="B324">
        <v>309</v>
      </c>
      <c r="C324">
        <v>308</v>
      </c>
      <c r="D324" t="s">
        <v>9</v>
      </c>
      <c r="E324" s="6" t="s">
        <v>46</v>
      </c>
      <c r="F324" s="6" t="b">
        <f t="shared" si="10"/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f t="shared" si="11"/>
        <v>0</v>
      </c>
    </row>
    <row r="325" spans="1:36">
      <c r="A325">
        <v>324</v>
      </c>
      <c r="B325">
        <v>310</v>
      </c>
      <c r="C325">
        <v>309</v>
      </c>
      <c r="D325" t="s">
        <v>46</v>
      </c>
      <c r="E325" s="6" t="s">
        <v>10</v>
      </c>
      <c r="F325" s="6" t="b">
        <f t="shared" si="10"/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f t="shared" si="11"/>
        <v>0</v>
      </c>
    </row>
    <row r="326" spans="1:36">
      <c r="A326">
        <v>325</v>
      </c>
      <c r="B326" t="s">
        <v>76</v>
      </c>
      <c r="C326">
        <v>310</v>
      </c>
      <c r="D326" t="s">
        <v>65</v>
      </c>
      <c r="E326" s="6" t="s">
        <v>46</v>
      </c>
      <c r="F326" s="6" t="b">
        <f t="shared" si="10"/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f t="shared" si="11"/>
        <v>0</v>
      </c>
    </row>
    <row r="327" spans="1:36">
      <c r="A327">
        <v>326</v>
      </c>
      <c r="B327" t="s">
        <v>77</v>
      </c>
      <c r="C327">
        <v>311</v>
      </c>
      <c r="D327" t="s">
        <v>65</v>
      </c>
      <c r="E327" s="6" t="s">
        <v>44</v>
      </c>
      <c r="F327" s="6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f t="shared" si="11"/>
        <v>0</v>
      </c>
    </row>
    <row r="328" spans="1:36">
      <c r="A328">
        <v>327</v>
      </c>
      <c r="B328">
        <v>311</v>
      </c>
      <c r="C328">
        <v>312</v>
      </c>
      <c r="D328" t="s">
        <v>1</v>
      </c>
      <c r="E328" s="6" t="s">
        <v>10</v>
      </c>
      <c r="F328" s="6" t="b">
        <f t="shared" si="10"/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f t="shared" si="11"/>
        <v>0</v>
      </c>
    </row>
    <row r="329" spans="1:36">
      <c r="A329">
        <v>328</v>
      </c>
      <c r="B329">
        <v>312</v>
      </c>
      <c r="C329">
        <v>313</v>
      </c>
      <c r="D329" t="s">
        <v>45</v>
      </c>
      <c r="E329" s="6" t="s">
        <v>4</v>
      </c>
      <c r="F329" s="6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f t="shared" si="11"/>
        <v>0</v>
      </c>
    </row>
    <row r="330" spans="1:36">
      <c r="A330">
        <v>329</v>
      </c>
      <c r="B330">
        <v>313</v>
      </c>
      <c r="C330">
        <v>314</v>
      </c>
      <c r="D330" t="s">
        <v>4</v>
      </c>
      <c r="E330" s="6" t="s">
        <v>45</v>
      </c>
      <c r="F330" s="6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f t="shared" si="11"/>
        <v>0</v>
      </c>
    </row>
    <row r="331" spans="1:36">
      <c r="A331">
        <v>330</v>
      </c>
      <c r="B331">
        <v>314</v>
      </c>
      <c r="C331">
        <v>315</v>
      </c>
      <c r="D331" t="s">
        <v>10</v>
      </c>
      <c r="E331" s="6" t="s">
        <v>4</v>
      </c>
      <c r="F331" s="6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f t="shared" si="11"/>
        <v>0</v>
      </c>
    </row>
    <row r="332" spans="1:36">
      <c r="A332">
        <v>331</v>
      </c>
      <c r="B332">
        <v>315</v>
      </c>
      <c r="C332">
        <v>316</v>
      </c>
      <c r="D332" t="s">
        <v>1</v>
      </c>
      <c r="E332" s="6" t="s">
        <v>10</v>
      </c>
      <c r="F332" s="6" t="b">
        <f t="shared" si="10"/>
        <v>1</v>
      </c>
      <c r="G332" t="s">
        <v>1</v>
      </c>
      <c r="H332">
        <v>0</v>
      </c>
      <c r="I332">
        <v>0</v>
      </c>
      <c r="J332">
        <v>0.23226452905811601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f t="shared" si="11"/>
        <v>0</v>
      </c>
    </row>
    <row r="333" spans="1:36">
      <c r="A333">
        <v>332</v>
      </c>
      <c r="B333">
        <v>316</v>
      </c>
      <c r="C333">
        <v>317</v>
      </c>
      <c r="D333" t="s">
        <v>48</v>
      </c>
      <c r="E333" s="6" t="s">
        <v>1</v>
      </c>
      <c r="F333" s="6" t="b">
        <f t="shared" si="10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f t="shared" si="11"/>
        <v>0</v>
      </c>
    </row>
    <row r="334" spans="1:36">
      <c r="A334">
        <v>333</v>
      </c>
      <c r="B334">
        <v>317</v>
      </c>
      <c r="C334">
        <v>318</v>
      </c>
      <c r="D334" t="s">
        <v>68</v>
      </c>
      <c r="E334" s="6" t="s">
        <v>48</v>
      </c>
      <c r="F334" s="6" t="b">
        <f t="shared" si="10"/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f t="shared" si="11"/>
        <v>0</v>
      </c>
    </row>
    <row r="335" spans="1:36">
      <c r="A335">
        <v>334</v>
      </c>
      <c r="B335">
        <v>318</v>
      </c>
      <c r="C335">
        <v>319</v>
      </c>
      <c r="D335" t="s">
        <v>1</v>
      </c>
      <c r="E335" s="6" t="s">
        <v>47</v>
      </c>
      <c r="F335" s="6" t="b">
        <f t="shared" si="10"/>
        <v>0</v>
      </c>
      <c r="G335" t="s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0.698458282950423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f t="shared" si="11"/>
        <v>1</v>
      </c>
    </row>
    <row r="336" spans="1:36">
      <c r="A336">
        <v>335</v>
      </c>
      <c r="B336">
        <v>319</v>
      </c>
      <c r="C336">
        <v>320</v>
      </c>
      <c r="D336" t="s">
        <v>2</v>
      </c>
      <c r="E336" s="6" t="s">
        <v>2</v>
      </c>
      <c r="F336" s="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f t="shared" si="11"/>
        <v>0</v>
      </c>
    </row>
    <row r="337" spans="1:36">
      <c r="A337">
        <v>336</v>
      </c>
      <c r="B337">
        <v>320</v>
      </c>
      <c r="C337">
        <v>321</v>
      </c>
      <c r="D337" t="s">
        <v>4</v>
      </c>
      <c r="E337" s="6" t="s">
        <v>46</v>
      </c>
      <c r="F337" s="6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f t="shared" si="11"/>
        <v>0</v>
      </c>
    </row>
    <row r="338" spans="1:36">
      <c r="A338">
        <v>337</v>
      </c>
      <c r="B338">
        <v>321</v>
      </c>
      <c r="C338">
        <v>322</v>
      </c>
      <c r="D338" t="s">
        <v>6</v>
      </c>
      <c r="E338" s="6" t="s">
        <v>4</v>
      </c>
      <c r="F338" s="6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f t="shared" si="11"/>
        <v>0</v>
      </c>
    </row>
    <row r="339" spans="1:36">
      <c r="A339">
        <v>338</v>
      </c>
      <c r="B339">
        <v>322</v>
      </c>
      <c r="C339" t="s">
        <v>78</v>
      </c>
      <c r="D339" t="s">
        <v>46</v>
      </c>
      <c r="E339" s="6" t="s">
        <v>8</v>
      </c>
      <c r="F339" s="6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f t="shared" si="11"/>
        <v>0</v>
      </c>
    </row>
    <row r="340" spans="1:36">
      <c r="A340">
        <v>339</v>
      </c>
      <c r="B340">
        <v>323</v>
      </c>
      <c r="C340">
        <v>323</v>
      </c>
      <c r="D340" t="s">
        <v>46</v>
      </c>
      <c r="E340" s="6" t="s">
        <v>65</v>
      </c>
      <c r="F340" s="6" t="b">
        <f t="shared" si="10"/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f t="shared" si="11"/>
        <v>0</v>
      </c>
    </row>
    <row r="341" spans="1:36">
      <c r="A341">
        <v>340</v>
      </c>
      <c r="B341">
        <v>324</v>
      </c>
      <c r="C341">
        <v>324</v>
      </c>
      <c r="D341" t="s">
        <v>4</v>
      </c>
      <c r="E341" s="6" t="s">
        <v>46</v>
      </c>
      <c r="F341" s="6" t="b">
        <f t="shared" si="10"/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f t="shared" si="11"/>
        <v>0</v>
      </c>
    </row>
    <row r="342" spans="1:36">
      <c r="A342">
        <v>341</v>
      </c>
      <c r="B342">
        <v>325</v>
      </c>
      <c r="C342">
        <v>325</v>
      </c>
      <c r="D342" t="s">
        <v>5</v>
      </c>
      <c r="E342" s="6" t="s">
        <v>4</v>
      </c>
      <c r="F342" s="6" t="b">
        <f t="shared" si="10"/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f t="shared" si="11"/>
        <v>0</v>
      </c>
    </row>
    <row r="343" spans="1:36">
      <c r="A343">
        <v>342</v>
      </c>
      <c r="B343">
        <v>326</v>
      </c>
      <c r="C343">
        <v>326</v>
      </c>
      <c r="D343" t="s">
        <v>46</v>
      </c>
      <c r="E343" s="6" t="s">
        <v>3</v>
      </c>
      <c r="F343" s="6" t="b">
        <f t="shared" si="10"/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f t="shared" si="11"/>
        <v>0</v>
      </c>
    </row>
    <row r="344" spans="1:36">
      <c r="A344">
        <v>343</v>
      </c>
      <c r="B344">
        <v>327</v>
      </c>
      <c r="C344">
        <v>327</v>
      </c>
      <c r="D344" t="s">
        <v>10</v>
      </c>
      <c r="E344" s="6" t="s">
        <v>43</v>
      </c>
      <c r="F344" s="6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f t="shared" si="11"/>
        <v>0</v>
      </c>
    </row>
    <row r="345" spans="1:36">
      <c r="A345">
        <v>344</v>
      </c>
      <c r="B345">
        <v>328</v>
      </c>
      <c r="C345">
        <v>328</v>
      </c>
      <c r="D345" t="s">
        <v>8</v>
      </c>
      <c r="E345" s="6" t="s">
        <v>10</v>
      </c>
      <c r="F345" s="6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f t="shared" si="11"/>
        <v>0</v>
      </c>
    </row>
    <row r="346" spans="1:36">
      <c r="A346">
        <v>345</v>
      </c>
      <c r="B346">
        <v>329</v>
      </c>
      <c r="C346">
        <v>329</v>
      </c>
      <c r="D346" t="s">
        <v>1</v>
      </c>
      <c r="E346" s="6" t="s">
        <v>44</v>
      </c>
      <c r="F346" s="6" t="b">
        <f t="shared" si="10"/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f t="shared" si="11"/>
        <v>0</v>
      </c>
    </row>
    <row r="347" spans="1:36">
      <c r="A347">
        <v>346</v>
      </c>
      <c r="B347">
        <v>330</v>
      </c>
      <c r="C347">
        <v>330</v>
      </c>
      <c r="D347" t="s">
        <v>68</v>
      </c>
      <c r="E347" s="6" t="s">
        <v>1</v>
      </c>
      <c r="F347" s="6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f t="shared" si="11"/>
        <v>0</v>
      </c>
    </row>
    <row r="348" spans="1:36">
      <c r="A348">
        <v>347</v>
      </c>
      <c r="B348">
        <v>331</v>
      </c>
      <c r="C348">
        <v>331</v>
      </c>
      <c r="D348" t="s">
        <v>50</v>
      </c>
      <c r="E348" s="6" t="s">
        <v>9</v>
      </c>
      <c r="F348" s="6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f t="shared" si="11"/>
        <v>0</v>
      </c>
    </row>
    <row r="349" spans="1:36">
      <c r="A349">
        <v>348</v>
      </c>
      <c r="B349">
        <v>332</v>
      </c>
      <c r="C349">
        <v>332</v>
      </c>
      <c r="D349" t="s">
        <v>2</v>
      </c>
      <c r="E349" s="6" t="s">
        <v>50</v>
      </c>
      <c r="F349" s="6" t="b">
        <f t="shared" si="10"/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f t="shared" si="11"/>
        <v>0</v>
      </c>
    </row>
    <row r="350" spans="1:36">
      <c r="A350">
        <v>349</v>
      </c>
      <c r="B350">
        <v>333</v>
      </c>
      <c r="C350">
        <v>333</v>
      </c>
      <c r="D350" t="s">
        <v>46</v>
      </c>
      <c r="E350" s="6" t="s">
        <v>3</v>
      </c>
      <c r="F350" s="6" t="b">
        <f t="shared" si="10"/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f t="shared" si="11"/>
        <v>0</v>
      </c>
    </row>
    <row r="351" spans="1:36">
      <c r="A351">
        <v>350</v>
      </c>
      <c r="B351">
        <v>334</v>
      </c>
      <c r="C351">
        <v>334</v>
      </c>
      <c r="D351" t="s">
        <v>3</v>
      </c>
      <c r="E351" s="6" t="s">
        <v>46</v>
      </c>
      <c r="F351" s="6" t="b">
        <f t="shared" si="10"/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f t="shared" si="11"/>
        <v>0</v>
      </c>
    </row>
    <row r="352" spans="1:36">
      <c r="A352">
        <v>351</v>
      </c>
      <c r="B352">
        <v>335</v>
      </c>
      <c r="C352">
        <v>335</v>
      </c>
      <c r="D352" t="s">
        <v>6</v>
      </c>
      <c r="E352" s="6" t="s">
        <v>7</v>
      </c>
      <c r="F352" s="6" t="b">
        <f t="shared" si="10"/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f t="shared" si="11"/>
        <v>0</v>
      </c>
    </row>
    <row r="353" spans="1:36">
      <c r="A353">
        <v>352</v>
      </c>
      <c r="B353">
        <v>336</v>
      </c>
      <c r="C353">
        <v>336</v>
      </c>
      <c r="D353" t="s">
        <v>7</v>
      </c>
      <c r="E353" s="6" t="s">
        <v>10</v>
      </c>
      <c r="F353" s="6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f t="shared" si="11"/>
        <v>0</v>
      </c>
    </row>
    <row r="354" spans="1:36">
      <c r="A354">
        <v>353</v>
      </c>
      <c r="B354">
        <v>337</v>
      </c>
      <c r="C354">
        <v>337</v>
      </c>
      <c r="D354" t="s">
        <v>6</v>
      </c>
      <c r="E354" s="6" t="s">
        <v>1</v>
      </c>
      <c r="F354" s="6" t="b">
        <f t="shared" si="10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f t="shared" si="11"/>
        <v>0</v>
      </c>
    </row>
    <row r="355" spans="1:36">
      <c r="A355">
        <v>354</v>
      </c>
      <c r="B355">
        <v>338</v>
      </c>
      <c r="C355">
        <v>338</v>
      </c>
      <c r="D355" t="s">
        <v>69</v>
      </c>
      <c r="E355" s="6" t="s">
        <v>8</v>
      </c>
      <c r="F355" s="6" t="b">
        <f t="shared" si="10"/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f t="shared" si="11"/>
        <v>0</v>
      </c>
    </row>
    <row r="356" spans="1:36">
      <c r="A356">
        <v>355</v>
      </c>
      <c r="B356">
        <v>339</v>
      </c>
      <c r="C356">
        <v>339</v>
      </c>
      <c r="D356" t="s">
        <v>3</v>
      </c>
      <c r="E356" s="6" t="s">
        <v>69</v>
      </c>
      <c r="F356" s="6" t="b">
        <f t="shared" si="10"/>
        <v>0</v>
      </c>
      <c r="G356" t="s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0.29197936210131298</v>
      </c>
      <c r="AG356">
        <v>0</v>
      </c>
      <c r="AH356">
        <v>0</v>
      </c>
      <c r="AI356">
        <v>0</v>
      </c>
      <c r="AJ356">
        <f t="shared" si="11"/>
        <v>1</v>
      </c>
    </row>
    <row r="357" spans="1:36">
      <c r="A357">
        <v>356</v>
      </c>
      <c r="B357">
        <v>340</v>
      </c>
      <c r="C357">
        <v>340</v>
      </c>
      <c r="D357" t="s">
        <v>3</v>
      </c>
      <c r="E357" s="6" t="s">
        <v>3</v>
      </c>
      <c r="F357" s="6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f t="shared" si="11"/>
        <v>0</v>
      </c>
    </row>
    <row r="358" spans="1:36">
      <c r="A358">
        <v>357</v>
      </c>
      <c r="B358">
        <v>341</v>
      </c>
      <c r="C358">
        <v>341</v>
      </c>
      <c r="D358" t="s">
        <v>2</v>
      </c>
      <c r="E358" s="6" t="s">
        <v>3</v>
      </c>
      <c r="F358" s="6" t="b">
        <f t="shared" si="10"/>
        <v>0</v>
      </c>
      <c r="G358" t="s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0.21837549933422101</v>
      </c>
      <c r="AG358">
        <v>0</v>
      </c>
      <c r="AH358">
        <v>0</v>
      </c>
      <c r="AI358">
        <v>0</v>
      </c>
      <c r="AJ358">
        <f t="shared" si="11"/>
        <v>0</v>
      </c>
    </row>
    <row r="359" spans="1:36">
      <c r="A359">
        <v>358</v>
      </c>
      <c r="B359">
        <v>342</v>
      </c>
      <c r="C359">
        <v>342</v>
      </c>
      <c r="D359" t="s">
        <v>42</v>
      </c>
      <c r="E359" s="6" t="s">
        <v>2</v>
      </c>
      <c r="F359" s="6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f t="shared" si="11"/>
        <v>0</v>
      </c>
    </row>
    <row r="360" spans="1:36">
      <c r="A360">
        <v>359</v>
      </c>
      <c r="B360">
        <v>343</v>
      </c>
      <c r="C360">
        <v>343</v>
      </c>
      <c r="D360" t="s">
        <v>44</v>
      </c>
      <c r="E360" s="6" t="s">
        <v>42</v>
      </c>
      <c r="F360" s="6" t="b">
        <f t="shared" si="10"/>
        <v>1</v>
      </c>
      <c r="G360" t="s">
        <v>44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0.106712564543889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f t="shared" si="11"/>
        <v>0</v>
      </c>
    </row>
    <row r="361" spans="1:36">
      <c r="A361">
        <v>360</v>
      </c>
      <c r="B361">
        <v>343</v>
      </c>
      <c r="C361">
        <v>343</v>
      </c>
      <c r="D361" t="s">
        <v>44</v>
      </c>
      <c r="E361" s="6" t="s">
        <v>8</v>
      </c>
      <c r="F361" s="6" t="b">
        <f t="shared" si="10"/>
        <v>0</v>
      </c>
      <c r="G361" t="s">
        <v>10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0.997509960159362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0.39457202505219202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f t="shared" si="11"/>
        <v>2</v>
      </c>
    </row>
    <row r="362" spans="1:36">
      <c r="A362">
        <v>361</v>
      </c>
      <c r="B362">
        <v>344</v>
      </c>
      <c r="C362">
        <v>344</v>
      </c>
      <c r="D362" t="s">
        <v>8</v>
      </c>
      <c r="E362" s="6" t="s">
        <v>8</v>
      </c>
      <c r="F362" s="6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f t="shared" si="11"/>
        <v>0</v>
      </c>
    </row>
    <row r="363" spans="1:36">
      <c r="A363">
        <v>362</v>
      </c>
      <c r="B363">
        <v>345</v>
      </c>
      <c r="C363">
        <v>345</v>
      </c>
      <c r="D363" t="s">
        <v>46</v>
      </c>
      <c r="E363" s="6" t="s">
        <v>44</v>
      </c>
      <c r="F363" s="6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f t="shared" si="11"/>
        <v>0</v>
      </c>
    </row>
    <row r="364" spans="1:36">
      <c r="A364">
        <v>363</v>
      </c>
      <c r="B364">
        <v>346</v>
      </c>
      <c r="C364">
        <v>346</v>
      </c>
      <c r="D364" t="s">
        <v>47</v>
      </c>
      <c r="E364" s="6" t="s">
        <v>46</v>
      </c>
      <c r="F364" s="6" t="b">
        <f t="shared" si="10"/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f t="shared" si="11"/>
        <v>0</v>
      </c>
    </row>
    <row r="365" spans="1:36">
      <c r="A365">
        <v>364</v>
      </c>
      <c r="B365">
        <v>347</v>
      </c>
      <c r="C365">
        <v>347</v>
      </c>
      <c r="D365" t="s">
        <v>47</v>
      </c>
      <c r="E365" s="6" t="s">
        <v>1</v>
      </c>
      <c r="F365" s="6" t="b">
        <f t="shared" si="10"/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f t="shared" si="11"/>
        <v>0</v>
      </c>
    </row>
    <row r="366" spans="1:36">
      <c r="A366">
        <v>365</v>
      </c>
      <c r="B366">
        <v>348</v>
      </c>
      <c r="C366">
        <v>348</v>
      </c>
      <c r="D366" t="s">
        <v>2</v>
      </c>
      <c r="E366" s="6" t="s">
        <v>7</v>
      </c>
      <c r="F366" s="6" t="b">
        <f t="shared" si="10"/>
        <v>0</v>
      </c>
      <c r="G366" t="s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0.318888121546961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f t="shared" si="11"/>
        <v>1</v>
      </c>
    </row>
    <row r="367" spans="1:36">
      <c r="A367">
        <v>366</v>
      </c>
      <c r="B367">
        <v>349</v>
      </c>
      <c r="C367">
        <v>349</v>
      </c>
      <c r="D367" t="s">
        <v>42</v>
      </c>
      <c r="E367" s="6" t="s">
        <v>8</v>
      </c>
      <c r="F367" s="6" t="b">
        <f t="shared" si="10"/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f t="shared" si="11"/>
        <v>0</v>
      </c>
    </row>
    <row r="368" spans="1:36">
      <c r="A368">
        <v>367</v>
      </c>
      <c r="B368">
        <v>350</v>
      </c>
      <c r="C368">
        <v>350</v>
      </c>
      <c r="D368" t="s">
        <v>10</v>
      </c>
      <c r="E368" s="6" t="s">
        <v>42</v>
      </c>
      <c r="F368" s="6" t="b">
        <f t="shared" si="10"/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f t="shared" si="11"/>
        <v>0</v>
      </c>
    </row>
    <row r="369" spans="1:36">
      <c r="A369">
        <v>368</v>
      </c>
      <c r="B369">
        <v>351</v>
      </c>
      <c r="C369">
        <v>351</v>
      </c>
      <c r="D369" t="s">
        <v>6</v>
      </c>
      <c r="E369" s="6" t="s">
        <v>10</v>
      </c>
      <c r="F369" s="6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f t="shared" si="11"/>
        <v>0</v>
      </c>
    </row>
    <row r="370" spans="1:36">
      <c r="A370">
        <v>369</v>
      </c>
      <c r="B370">
        <v>352</v>
      </c>
      <c r="C370">
        <v>352</v>
      </c>
      <c r="D370" t="s">
        <v>44</v>
      </c>
      <c r="E370" s="6" t="s">
        <v>6</v>
      </c>
      <c r="F370" s="6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f t="shared" si="11"/>
        <v>0</v>
      </c>
    </row>
    <row r="371" spans="1:36">
      <c r="A371">
        <v>370</v>
      </c>
      <c r="B371">
        <v>353</v>
      </c>
      <c r="C371">
        <v>353</v>
      </c>
      <c r="D371" t="s">
        <v>48</v>
      </c>
      <c r="E371" s="6" t="s">
        <v>44</v>
      </c>
      <c r="F371" s="6" t="b">
        <f t="shared" si="10"/>
        <v>0</v>
      </c>
      <c r="G371" t="s">
        <v>68</v>
      </c>
      <c r="H371">
        <v>0</v>
      </c>
      <c r="I371">
        <v>0</v>
      </c>
      <c r="J371">
        <v>0.27401243232404199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f t="shared" si="11"/>
        <v>1</v>
      </c>
    </row>
    <row r="372" spans="1:36">
      <c r="A372">
        <v>371</v>
      </c>
      <c r="B372">
        <v>354</v>
      </c>
      <c r="C372">
        <v>354</v>
      </c>
      <c r="D372" t="s">
        <v>10</v>
      </c>
      <c r="E372" s="6" t="s">
        <v>48</v>
      </c>
      <c r="F372" s="6" t="b">
        <f t="shared" si="10"/>
        <v>0</v>
      </c>
      <c r="G372" t="s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0.56681222707423495</v>
      </c>
      <c r="U372">
        <v>0</v>
      </c>
      <c r="V372">
        <v>0</v>
      </c>
      <c r="W372">
        <v>0</v>
      </c>
      <c r="X372">
        <v>0.180102915951972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f t="shared" si="11"/>
        <v>1</v>
      </c>
    </row>
    <row r="373" spans="1:36">
      <c r="A373">
        <v>372</v>
      </c>
      <c r="B373">
        <v>354</v>
      </c>
      <c r="C373">
        <v>354</v>
      </c>
      <c r="D373" t="s">
        <v>10</v>
      </c>
      <c r="E373" s="6" t="s">
        <v>4</v>
      </c>
      <c r="F373" s="6" t="b">
        <f t="shared" si="10"/>
        <v>0</v>
      </c>
      <c r="G373" t="s">
        <v>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0.20182961692395601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f t="shared" si="11"/>
        <v>0</v>
      </c>
    </row>
    <row r="374" spans="1:36">
      <c r="A374">
        <v>373</v>
      </c>
      <c r="B374" t="s">
        <v>79</v>
      </c>
      <c r="C374">
        <v>355</v>
      </c>
      <c r="D374" t="s">
        <v>65</v>
      </c>
      <c r="E374" s="6" t="s">
        <v>4</v>
      </c>
      <c r="F374" s="6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f t="shared" si="11"/>
        <v>0</v>
      </c>
    </row>
    <row r="375" spans="1:36">
      <c r="A375">
        <v>374</v>
      </c>
      <c r="B375">
        <v>355</v>
      </c>
      <c r="C375">
        <v>356</v>
      </c>
      <c r="D375" t="s">
        <v>3</v>
      </c>
      <c r="E375" s="6" t="s">
        <v>3</v>
      </c>
      <c r="F375" s="6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f t="shared" si="11"/>
        <v>0</v>
      </c>
    </row>
    <row r="376" spans="1:36">
      <c r="A376">
        <v>375</v>
      </c>
      <c r="B376">
        <v>356</v>
      </c>
      <c r="C376">
        <v>357</v>
      </c>
      <c r="D376" t="s">
        <v>8</v>
      </c>
      <c r="E376" s="6" t="s">
        <v>3</v>
      </c>
      <c r="F376" s="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f t="shared" si="11"/>
        <v>0</v>
      </c>
    </row>
    <row r="377" spans="1:36">
      <c r="A377">
        <v>376</v>
      </c>
      <c r="B377">
        <v>357</v>
      </c>
      <c r="C377">
        <v>358</v>
      </c>
      <c r="D377" t="s">
        <v>2</v>
      </c>
      <c r="E377" s="6" t="s">
        <v>8</v>
      </c>
      <c r="F377" s="6" t="b">
        <f t="shared" si="10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f t="shared" si="11"/>
        <v>0</v>
      </c>
    </row>
    <row r="378" spans="1:36">
      <c r="A378">
        <v>377</v>
      </c>
      <c r="B378">
        <v>358</v>
      </c>
      <c r="C378">
        <v>359</v>
      </c>
      <c r="D378" t="s">
        <v>46</v>
      </c>
      <c r="E378" s="6" t="s">
        <v>2</v>
      </c>
      <c r="F378" s="6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f t="shared" si="11"/>
        <v>0</v>
      </c>
    </row>
    <row r="379" spans="1:36">
      <c r="A379">
        <v>378</v>
      </c>
      <c r="B379">
        <v>359</v>
      </c>
      <c r="C379">
        <v>360</v>
      </c>
      <c r="D379" t="s">
        <v>47</v>
      </c>
      <c r="E379" s="6" t="s">
        <v>46</v>
      </c>
      <c r="F379" s="6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f t="shared" si="11"/>
        <v>0</v>
      </c>
    </row>
    <row r="380" spans="1:36">
      <c r="A380">
        <v>379</v>
      </c>
      <c r="B380">
        <v>360</v>
      </c>
      <c r="C380">
        <v>361</v>
      </c>
      <c r="D380" t="s">
        <v>48</v>
      </c>
      <c r="E380" s="6" t="s">
        <v>46</v>
      </c>
      <c r="F380" s="6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f t="shared" si="11"/>
        <v>0</v>
      </c>
    </row>
    <row r="381" spans="1:36">
      <c r="A381">
        <v>380</v>
      </c>
      <c r="B381">
        <v>361</v>
      </c>
      <c r="C381">
        <v>362</v>
      </c>
      <c r="D381" t="s">
        <v>3</v>
      </c>
      <c r="E381" s="6" t="s">
        <v>48</v>
      </c>
      <c r="F381" s="6" t="b">
        <f t="shared" si="10"/>
        <v>0</v>
      </c>
      <c r="G381" t="s">
        <v>8</v>
      </c>
      <c r="H381">
        <v>0.67467652495378905</v>
      </c>
      <c r="I381">
        <v>0.99051675640922598</v>
      </c>
      <c r="J381">
        <v>0.163642588154741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0.26345933562428397</v>
      </c>
      <c r="T381">
        <v>0.186046511627906</v>
      </c>
      <c r="U381">
        <v>0</v>
      </c>
      <c r="V381">
        <v>0</v>
      </c>
      <c r="W381">
        <v>0</v>
      </c>
      <c r="X381">
        <v>0.32050029314051198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0.22915416916616599</v>
      </c>
      <c r="AE381">
        <v>0</v>
      </c>
      <c r="AF381">
        <v>0</v>
      </c>
      <c r="AG381">
        <v>0</v>
      </c>
      <c r="AH381">
        <v>0</v>
      </c>
      <c r="AI381">
        <v>0.32684701799999999</v>
      </c>
      <c r="AJ381">
        <f t="shared" si="11"/>
        <v>5</v>
      </c>
    </row>
    <row r="382" spans="1:36">
      <c r="A382">
        <v>381</v>
      </c>
      <c r="B382">
        <v>362</v>
      </c>
      <c r="C382">
        <v>363</v>
      </c>
      <c r="D382" t="s">
        <v>44</v>
      </c>
      <c r="E382" s="6" t="s">
        <v>8</v>
      </c>
      <c r="F382" s="6" t="b">
        <f t="shared" si="10"/>
        <v>0</v>
      </c>
      <c r="G382" t="s">
        <v>45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0.123573077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f t="shared" si="11"/>
        <v>0</v>
      </c>
    </row>
    <row r="383" spans="1:36">
      <c r="A383">
        <v>382</v>
      </c>
      <c r="B383">
        <v>363</v>
      </c>
      <c r="C383">
        <v>364</v>
      </c>
      <c r="D383" t="s">
        <v>7</v>
      </c>
      <c r="E383" s="6" t="s">
        <v>44</v>
      </c>
      <c r="F383" s="6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f t="shared" si="11"/>
        <v>0</v>
      </c>
    </row>
    <row r="384" spans="1:36">
      <c r="A384">
        <v>383</v>
      </c>
      <c r="B384">
        <v>364</v>
      </c>
      <c r="C384">
        <v>365</v>
      </c>
      <c r="D384" t="s">
        <v>7</v>
      </c>
      <c r="E384" s="6" t="s">
        <v>7</v>
      </c>
      <c r="F384" s="6" t="b">
        <f t="shared" si="10"/>
        <v>0</v>
      </c>
      <c r="G384" t="s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0.40797476909213698</v>
      </c>
      <c r="AG384">
        <v>0</v>
      </c>
      <c r="AH384">
        <v>0</v>
      </c>
      <c r="AI384">
        <v>0</v>
      </c>
      <c r="AJ384">
        <f t="shared" si="11"/>
        <v>1</v>
      </c>
    </row>
    <row r="385" spans="1:36">
      <c r="A385">
        <v>384</v>
      </c>
      <c r="B385">
        <v>365</v>
      </c>
      <c r="C385">
        <v>366</v>
      </c>
      <c r="D385" t="s">
        <v>4</v>
      </c>
      <c r="E385" s="6" t="s">
        <v>7</v>
      </c>
      <c r="F385" s="6" t="b">
        <f t="shared" si="10"/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f t="shared" si="11"/>
        <v>0</v>
      </c>
    </row>
    <row r="386" spans="1:36">
      <c r="A386">
        <v>385</v>
      </c>
      <c r="B386">
        <v>366</v>
      </c>
      <c r="C386">
        <v>367</v>
      </c>
      <c r="D386" t="s">
        <v>4</v>
      </c>
      <c r="E386" s="6" t="s">
        <v>4</v>
      </c>
      <c r="F386" s="6" t="b">
        <f t="shared" ref="F386:F449" si="12">D386=G386</f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f t="shared" si="11"/>
        <v>0</v>
      </c>
    </row>
    <row r="387" spans="1:36">
      <c r="A387">
        <v>386</v>
      </c>
      <c r="B387">
        <v>367</v>
      </c>
      <c r="C387">
        <v>368</v>
      </c>
      <c r="D387" t="s">
        <v>5</v>
      </c>
      <c r="E387" s="6" t="s">
        <v>4</v>
      </c>
      <c r="F387" s="6" t="b">
        <f t="shared" si="12"/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f t="shared" ref="AJ387:AJ450" si="13">COUNTIF(H387:AI387,"&gt;0.25")</f>
        <v>0</v>
      </c>
    </row>
    <row r="388" spans="1:36">
      <c r="A388">
        <v>387</v>
      </c>
      <c r="B388">
        <v>368</v>
      </c>
      <c r="C388">
        <v>369</v>
      </c>
      <c r="D388" t="s">
        <v>45</v>
      </c>
      <c r="E388" s="6" t="s">
        <v>5</v>
      </c>
      <c r="F388" s="6" t="b">
        <f t="shared" si="12"/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f t="shared" si="13"/>
        <v>0</v>
      </c>
    </row>
    <row r="389" spans="1:36">
      <c r="A389">
        <v>388</v>
      </c>
      <c r="B389">
        <v>369</v>
      </c>
      <c r="C389">
        <v>370</v>
      </c>
      <c r="D389" t="s">
        <v>6</v>
      </c>
      <c r="E389" s="6" t="s">
        <v>45</v>
      </c>
      <c r="F389" s="6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f t="shared" si="13"/>
        <v>0</v>
      </c>
    </row>
    <row r="390" spans="1:36">
      <c r="A390">
        <v>389</v>
      </c>
      <c r="B390">
        <v>370</v>
      </c>
      <c r="C390">
        <v>371</v>
      </c>
      <c r="D390" t="s">
        <v>47</v>
      </c>
      <c r="E390" s="6" t="s">
        <v>6</v>
      </c>
      <c r="F390" s="6" t="b">
        <f t="shared" si="12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f t="shared" si="13"/>
        <v>0</v>
      </c>
    </row>
    <row r="391" spans="1:36">
      <c r="A391">
        <v>390</v>
      </c>
      <c r="B391">
        <v>371</v>
      </c>
      <c r="C391">
        <v>372</v>
      </c>
      <c r="D391" t="s">
        <v>2</v>
      </c>
      <c r="E391" s="6" t="s">
        <v>46</v>
      </c>
      <c r="F391" s="6" t="b">
        <f t="shared" si="12"/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f t="shared" si="13"/>
        <v>0</v>
      </c>
    </row>
    <row r="392" spans="1:36">
      <c r="A392">
        <v>391</v>
      </c>
      <c r="B392">
        <v>372</v>
      </c>
      <c r="C392">
        <v>373</v>
      </c>
      <c r="D392" t="s">
        <v>43</v>
      </c>
      <c r="E392" s="6" t="s">
        <v>47</v>
      </c>
      <c r="F392" s="6" t="b">
        <f t="shared" si="12"/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f t="shared" si="13"/>
        <v>0</v>
      </c>
    </row>
    <row r="393" spans="1:36">
      <c r="A393">
        <v>392</v>
      </c>
      <c r="B393">
        <v>373</v>
      </c>
      <c r="C393">
        <v>374</v>
      </c>
      <c r="D393" t="s">
        <v>9</v>
      </c>
      <c r="E393" s="6" t="s">
        <v>2</v>
      </c>
      <c r="F393" s="6" t="b">
        <f t="shared" si="12"/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f t="shared" si="13"/>
        <v>0</v>
      </c>
    </row>
    <row r="394" spans="1:36">
      <c r="A394">
        <v>393</v>
      </c>
      <c r="B394">
        <v>374</v>
      </c>
      <c r="C394">
        <v>375</v>
      </c>
      <c r="D394" t="s">
        <v>2</v>
      </c>
      <c r="E394" s="6" t="s">
        <v>9</v>
      </c>
      <c r="F394" s="6" t="b">
        <f t="shared" si="12"/>
        <v>1</v>
      </c>
      <c r="G394" t="s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0.159285448455526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f t="shared" si="13"/>
        <v>0</v>
      </c>
    </row>
    <row r="395" spans="1:36">
      <c r="A395">
        <v>394</v>
      </c>
      <c r="B395">
        <v>375</v>
      </c>
      <c r="C395">
        <v>376</v>
      </c>
      <c r="D395" t="s">
        <v>48</v>
      </c>
      <c r="E395" s="6" t="s">
        <v>7</v>
      </c>
      <c r="F395" s="6" t="b">
        <f t="shared" si="12"/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f t="shared" si="13"/>
        <v>0</v>
      </c>
    </row>
    <row r="396" spans="1:36">
      <c r="A396">
        <v>395</v>
      </c>
      <c r="B396">
        <v>376</v>
      </c>
      <c r="C396">
        <v>377</v>
      </c>
      <c r="D396" t="s">
        <v>3</v>
      </c>
      <c r="E396" s="6" t="s">
        <v>48</v>
      </c>
      <c r="F396" s="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f t="shared" si="13"/>
        <v>0</v>
      </c>
    </row>
    <row r="397" spans="1:36">
      <c r="A397">
        <v>396</v>
      </c>
      <c r="B397">
        <v>377</v>
      </c>
      <c r="C397">
        <v>378</v>
      </c>
      <c r="D397" t="s">
        <v>50</v>
      </c>
      <c r="E397" s="6" t="s">
        <v>3</v>
      </c>
      <c r="F397" s="6" t="b">
        <f t="shared" si="12"/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f t="shared" si="13"/>
        <v>0</v>
      </c>
    </row>
    <row r="398" spans="1:36">
      <c r="A398">
        <v>397</v>
      </c>
      <c r="B398">
        <v>378</v>
      </c>
      <c r="C398">
        <v>379</v>
      </c>
      <c r="D398" t="s">
        <v>4</v>
      </c>
      <c r="E398" s="6" t="s">
        <v>50</v>
      </c>
      <c r="F398" s="6" t="b">
        <f t="shared" si="12"/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f t="shared" si="13"/>
        <v>0</v>
      </c>
    </row>
    <row r="399" spans="1:36">
      <c r="A399">
        <v>398</v>
      </c>
      <c r="B399">
        <v>379</v>
      </c>
      <c r="C399">
        <v>380</v>
      </c>
      <c r="D399" t="s">
        <v>4</v>
      </c>
      <c r="E399" s="6" t="s">
        <v>4</v>
      </c>
      <c r="F399" s="6" t="b">
        <f t="shared" si="12"/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f t="shared" si="13"/>
        <v>0</v>
      </c>
    </row>
    <row r="400" spans="1:36">
      <c r="A400">
        <v>399</v>
      </c>
      <c r="B400">
        <v>380</v>
      </c>
      <c r="C400">
        <v>381</v>
      </c>
      <c r="D400" t="s">
        <v>6</v>
      </c>
      <c r="E400" s="6" t="s">
        <v>4</v>
      </c>
      <c r="F400" s="6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f t="shared" si="13"/>
        <v>0</v>
      </c>
    </row>
    <row r="401" spans="1:36">
      <c r="A401">
        <v>400</v>
      </c>
      <c r="B401">
        <v>381</v>
      </c>
      <c r="C401">
        <v>382</v>
      </c>
      <c r="D401" t="s">
        <v>48</v>
      </c>
      <c r="E401" s="6" t="s">
        <v>6</v>
      </c>
      <c r="F401" s="6" t="b">
        <f t="shared" si="12"/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f t="shared" si="13"/>
        <v>0</v>
      </c>
    </row>
    <row r="402" spans="1:36">
      <c r="A402">
        <v>401</v>
      </c>
      <c r="B402">
        <v>382</v>
      </c>
      <c r="C402">
        <v>383</v>
      </c>
      <c r="D402" t="s">
        <v>48</v>
      </c>
      <c r="E402" s="6" t="s">
        <v>48</v>
      </c>
      <c r="F402" s="6" t="b">
        <f t="shared" si="12"/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f t="shared" si="13"/>
        <v>0</v>
      </c>
    </row>
    <row r="403" spans="1:36">
      <c r="A403">
        <v>402</v>
      </c>
      <c r="B403">
        <v>383</v>
      </c>
      <c r="C403">
        <v>384</v>
      </c>
      <c r="D403" t="s">
        <v>68</v>
      </c>
      <c r="E403" s="6" t="s">
        <v>48</v>
      </c>
      <c r="F403" s="6" t="b">
        <f t="shared" si="12"/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f t="shared" si="13"/>
        <v>0</v>
      </c>
    </row>
    <row r="404" spans="1:36">
      <c r="A404">
        <v>403</v>
      </c>
      <c r="B404">
        <v>384</v>
      </c>
      <c r="C404">
        <v>385</v>
      </c>
      <c r="D404" t="s">
        <v>50</v>
      </c>
      <c r="E404" s="6" t="s">
        <v>68</v>
      </c>
      <c r="F404" s="6" t="b">
        <f t="shared" si="12"/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f t="shared" si="13"/>
        <v>0</v>
      </c>
    </row>
    <row r="405" spans="1:36">
      <c r="A405">
        <v>404</v>
      </c>
      <c r="B405">
        <v>385</v>
      </c>
      <c r="C405">
        <v>386</v>
      </c>
      <c r="D405" t="s">
        <v>3</v>
      </c>
      <c r="E405" s="6" t="s">
        <v>50</v>
      </c>
      <c r="F405" s="6" t="b">
        <f t="shared" si="12"/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f t="shared" si="13"/>
        <v>0</v>
      </c>
    </row>
    <row r="406" spans="1:36">
      <c r="A406">
        <v>405</v>
      </c>
      <c r="B406">
        <v>386</v>
      </c>
      <c r="C406">
        <v>387</v>
      </c>
      <c r="D406" t="s">
        <v>2</v>
      </c>
      <c r="E406" s="6" t="s">
        <v>3</v>
      </c>
      <c r="F406" s="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f t="shared" si="13"/>
        <v>0</v>
      </c>
    </row>
    <row r="407" spans="1:36">
      <c r="A407">
        <v>406</v>
      </c>
      <c r="B407">
        <v>387</v>
      </c>
      <c r="C407">
        <v>388</v>
      </c>
      <c r="D407" t="s">
        <v>1</v>
      </c>
      <c r="E407" s="6" t="s">
        <v>7</v>
      </c>
      <c r="F407" s="6" t="b">
        <f t="shared" si="12"/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f t="shared" si="13"/>
        <v>0</v>
      </c>
    </row>
    <row r="408" spans="1:36">
      <c r="A408">
        <v>407</v>
      </c>
      <c r="B408">
        <v>388</v>
      </c>
      <c r="C408">
        <v>389</v>
      </c>
      <c r="D408" t="s">
        <v>44</v>
      </c>
      <c r="E408" s="6" t="s">
        <v>2</v>
      </c>
      <c r="F408" s="6" t="b">
        <f t="shared" si="12"/>
        <v>0</v>
      </c>
      <c r="G408" t="s">
        <v>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0.162224415926291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f t="shared" si="13"/>
        <v>0</v>
      </c>
    </row>
    <row r="409" spans="1:36">
      <c r="A409">
        <v>408</v>
      </c>
      <c r="B409">
        <v>389</v>
      </c>
      <c r="C409">
        <v>390</v>
      </c>
      <c r="D409" t="s">
        <v>42</v>
      </c>
      <c r="E409" s="6" t="s">
        <v>44</v>
      </c>
      <c r="F409" s="6" t="b">
        <f t="shared" si="12"/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f t="shared" si="13"/>
        <v>0</v>
      </c>
    </row>
    <row r="410" spans="1:36">
      <c r="A410">
        <v>409</v>
      </c>
      <c r="B410">
        <v>390</v>
      </c>
      <c r="C410">
        <v>391</v>
      </c>
      <c r="D410" t="s">
        <v>48</v>
      </c>
      <c r="E410" s="6" t="s">
        <v>42</v>
      </c>
      <c r="F410" s="6" t="b">
        <f t="shared" si="12"/>
        <v>1</v>
      </c>
      <c r="G410" t="s">
        <v>48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0.198765833062682</v>
      </c>
      <c r="Z410">
        <v>0.180034423407917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f t="shared" si="13"/>
        <v>0</v>
      </c>
    </row>
    <row r="411" spans="1:36">
      <c r="A411">
        <v>410</v>
      </c>
      <c r="B411">
        <v>391</v>
      </c>
      <c r="C411">
        <v>392</v>
      </c>
      <c r="D411" t="s">
        <v>3</v>
      </c>
      <c r="E411" s="6" t="s">
        <v>48</v>
      </c>
      <c r="F411" s="6" t="b">
        <f t="shared" si="12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f t="shared" si="13"/>
        <v>0</v>
      </c>
    </row>
    <row r="412" spans="1:36">
      <c r="A412">
        <v>411</v>
      </c>
      <c r="B412">
        <v>392</v>
      </c>
      <c r="C412">
        <v>393</v>
      </c>
      <c r="D412" t="s">
        <v>7</v>
      </c>
      <c r="E412" s="6" t="s">
        <v>3</v>
      </c>
      <c r="F412" s="6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f t="shared" si="13"/>
        <v>0</v>
      </c>
    </row>
    <row r="413" spans="1:36">
      <c r="A413">
        <v>412</v>
      </c>
      <c r="B413">
        <v>393</v>
      </c>
      <c r="C413">
        <v>394</v>
      </c>
      <c r="D413" t="s">
        <v>7</v>
      </c>
      <c r="E413" s="6" t="s">
        <v>7</v>
      </c>
      <c r="F413" s="6" t="b">
        <f t="shared" si="12"/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f t="shared" si="13"/>
        <v>0</v>
      </c>
    </row>
    <row r="414" spans="1:36">
      <c r="A414">
        <v>413</v>
      </c>
      <c r="B414">
        <v>394</v>
      </c>
      <c r="C414">
        <v>395</v>
      </c>
      <c r="D414" t="s">
        <v>69</v>
      </c>
      <c r="E414" s="6" t="s">
        <v>2</v>
      </c>
      <c r="F414" s="6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f t="shared" si="13"/>
        <v>0</v>
      </c>
    </row>
    <row r="415" spans="1:36">
      <c r="A415">
        <v>414</v>
      </c>
      <c r="B415">
        <v>395</v>
      </c>
      <c r="C415">
        <v>396</v>
      </c>
      <c r="D415" t="s">
        <v>5</v>
      </c>
      <c r="E415" s="6" t="s">
        <v>69</v>
      </c>
      <c r="F415" s="6" t="b">
        <f t="shared" si="12"/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f t="shared" si="13"/>
        <v>0</v>
      </c>
    </row>
    <row r="416" spans="1:36">
      <c r="A416">
        <v>415</v>
      </c>
      <c r="B416">
        <v>396</v>
      </c>
      <c r="C416">
        <v>397</v>
      </c>
      <c r="D416" t="s">
        <v>2</v>
      </c>
      <c r="E416" s="6" t="s">
        <v>48</v>
      </c>
      <c r="F416" s="6" t="b">
        <f t="shared" si="12"/>
        <v>0</v>
      </c>
      <c r="G416" t="s">
        <v>46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0.20074812967580999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f t="shared" si="13"/>
        <v>0</v>
      </c>
    </row>
    <row r="417" spans="1:36">
      <c r="A417">
        <v>416</v>
      </c>
      <c r="B417">
        <v>397</v>
      </c>
      <c r="C417">
        <v>398</v>
      </c>
      <c r="D417" t="s">
        <v>3</v>
      </c>
      <c r="E417" s="6" t="s">
        <v>3</v>
      </c>
      <c r="F417" s="6" t="b">
        <f t="shared" si="12"/>
        <v>0</v>
      </c>
      <c r="G417" t="s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0.36899224806201503</v>
      </c>
      <c r="AG417">
        <v>0</v>
      </c>
      <c r="AH417">
        <v>0</v>
      </c>
      <c r="AI417">
        <v>0</v>
      </c>
      <c r="AJ417">
        <f t="shared" si="13"/>
        <v>1</v>
      </c>
    </row>
    <row r="418" spans="1:36">
      <c r="A418">
        <v>417</v>
      </c>
      <c r="B418">
        <v>398</v>
      </c>
      <c r="C418">
        <v>399</v>
      </c>
      <c r="D418" t="s">
        <v>2</v>
      </c>
      <c r="E418" s="6" t="s">
        <v>7</v>
      </c>
      <c r="F418" s="6" t="b">
        <f t="shared" si="12"/>
        <v>1</v>
      </c>
      <c r="G418" t="s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0.116750358680057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f t="shared" si="13"/>
        <v>0</v>
      </c>
    </row>
    <row r="419" spans="1:36">
      <c r="A419">
        <v>418</v>
      </c>
      <c r="B419">
        <v>399</v>
      </c>
      <c r="C419">
        <v>400</v>
      </c>
      <c r="D419" t="s">
        <v>3</v>
      </c>
      <c r="E419" s="6" t="s">
        <v>2</v>
      </c>
      <c r="F419" s="6" t="b">
        <f t="shared" si="12"/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f t="shared" si="13"/>
        <v>0</v>
      </c>
    </row>
    <row r="420" spans="1:36">
      <c r="A420">
        <v>419</v>
      </c>
      <c r="B420">
        <v>400</v>
      </c>
      <c r="C420">
        <v>401</v>
      </c>
      <c r="D420" t="s">
        <v>4</v>
      </c>
      <c r="E420" s="6" t="s">
        <v>69</v>
      </c>
      <c r="F420" s="6" t="b">
        <f t="shared" si="12"/>
        <v>0</v>
      </c>
      <c r="G420" t="s">
        <v>10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0.153689122193059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f t="shared" si="13"/>
        <v>0</v>
      </c>
    </row>
    <row r="421" spans="1:36">
      <c r="A421">
        <v>420</v>
      </c>
      <c r="B421">
        <v>401</v>
      </c>
      <c r="C421">
        <v>402</v>
      </c>
      <c r="D421" t="s">
        <v>3</v>
      </c>
      <c r="E421" s="6" t="s">
        <v>7</v>
      </c>
      <c r="F421" s="6" t="b">
        <f t="shared" si="12"/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f t="shared" si="13"/>
        <v>0</v>
      </c>
    </row>
    <row r="422" spans="1:36">
      <c r="A422">
        <v>421</v>
      </c>
      <c r="B422">
        <v>402</v>
      </c>
      <c r="C422">
        <v>403</v>
      </c>
      <c r="D422" t="s">
        <v>5</v>
      </c>
      <c r="E422" s="6" t="s">
        <v>2</v>
      </c>
      <c r="F422" s="6" t="b">
        <f t="shared" si="12"/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f t="shared" si="13"/>
        <v>0</v>
      </c>
    </row>
    <row r="423" spans="1:36">
      <c r="A423">
        <v>422</v>
      </c>
      <c r="B423">
        <v>403</v>
      </c>
      <c r="C423">
        <v>404</v>
      </c>
      <c r="D423" t="s">
        <v>2</v>
      </c>
      <c r="E423" s="6" t="s">
        <v>6</v>
      </c>
      <c r="F423" s="6" t="b">
        <f t="shared" si="12"/>
        <v>0</v>
      </c>
      <c r="G423" t="s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0.14243629399999999</v>
      </c>
      <c r="AJ423">
        <f t="shared" si="13"/>
        <v>0</v>
      </c>
    </row>
    <row r="424" spans="1:36">
      <c r="A424">
        <v>423</v>
      </c>
      <c r="B424">
        <v>404</v>
      </c>
      <c r="C424">
        <v>405</v>
      </c>
      <c r="D424" t="s">
        <v>44</v>
      </c>
      <c r="E424" s="6" t="s">
        <v>4</v>
      </c>
      <c r="F424" s="6" t="b">
        <f t="shared" si="12"/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f t="shared" si="13"/>
        <v>0</v>
      </c>
    </row>
    <row r="425" spans="1:36">
      <c r="A425">
        <v>424</v>
      </c>
      <c r="B425">
        <v>405</v>
      </c>
      <c r="C425">
        <v>406</v>
      </c>
      <c r="D425" t="s">
        <v>4</v>
      </c>
      <c r="E425" s="6" t="s">
        <v>7</v>
      </c>
      <c r="F425" s="6" t="b">
        <f t="shared" si="12"/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f t="shared" si="13"/>
        <v>0</v>
      </c>
    </row>
    <row r="426" spans="1:36">
      <c r="A426">
        <v>425</v>
      </c>
      <c r="B426">
        <v>406</v>
      </c>
      <c r="C426">
        <v>407</v>
      </c>
      <c r="D426" t="s">
        <v>45</v>
      </c>
      <c r="E426" s="6" t="s">
        <v>3</v>
      </c>
      <c r="F426" s="6" t="b">
        <f t="shared" si="12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f t="shared" si="13"/>
        <v>0</v>
      </c>
    </row>
    <row r="427" spans="1:36">
      <c r="A427">
        <v>426</v>
      </c>
      <c r="B427">
        <v>407</v>
      </c>
      <c r="C427">
        <v>408</v>
      </c>
      <c r="D427" t="s">
        <v>7</v>
      </c>
      <c r="E427" s="6" t="s">
        <v>3</v>
      </c>
      <c r="F427" s="6" t="b">
        <f t="shared" si="12"/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f t="shared" si="13"/>
        <v>0</v>
      </c>
    </row>
    <row r="428" spans="1:36">
      <c r="A428">
        <v>427</v>
      </c>
      <c r="B428">
        <v>408</v>
      </c>
      <c r="C428">
        <v>409</v>
      </c>
      <c r="D428" t="s">
        <v>6</v>
      </c>
      <c r="E428" s="6" t="s">
        <v>2</v>
      </c>
      <c r="F428" s="6" t="b">
        <f t="shared" si="12"/>
        <v>0</v>
      </c>
      <c r="G428" t="s">
        <v>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0.14009243212016101</v>
      </c>
      <c r="N428">
        <v>0</v>
      </c>
      <c r="O428">
        <v>0</v>
      </c>
      <c r="P428">
        <v>0</v>
      </c>
      <c r="Q428">
        <v>0</v>
      </c>
      <c r="R428">
        <v>0.441939003</v>
      </c>
      <c r="S428">
        <v>0</v>
      </c>
      <c r="T428">
        <v>0</v>
      </c>
      <c r="U428">
        <v>0</v>
      </c>
      <c r="V428">
        <v>0</v>
      </c>
      <c r="W428">
        <v>0.42716914986853599</v>
      </c>
      <c r="X428">
        <v>0.194910352805089</v>
      </c>
      <c r="Y428">
        <v>0.17388218594748001</v>
      </c>
      <c r="Z428">
        <v>0.183823529411764</v>
      </c>
      <c r="AA428">
        <v>0</v>
      </c>
      <c r="AB428">
        <v>0</v>
      </c>
      <c r="AC428">
        <v>0</v>
      </c>
      <c r="AD428">
        <v>0.162351908731899</v>
      </c>
      <c r="AE428">
        <v>0</v>
      </c>
      <c r="AF428">
        <v>0.25741029641185598</v>
      </c>
      <c r="AG428">
        <v>0</v>
      </c>
      <c r="AH428">
        <v>0</v>
      </c>
      <c r="AI428">
        <v>0.25548368999999999</v>
      </c>
      <c r="AJ428">
        <f t="shared" si="13"/>
        <v>4</v>
      </c>
    </row>
    <row r="429" spans="1:36">
      <c r="A429">
        <v>428</v>
      </c>
      <c r="B429" t="s">
        <v>80</v>
      </c>
      <c r="C429">
        <v>410</v>
      </c>
      <c r="D429" t="s">
        <v>65</v>
      </c>
      <c r="E429" s="6" t="s">
        <v>6</v>
      </c>
      <c r="F429" s="6" t="b">
        <f t="shared" si="12"/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f t="shared" si="13"/>
        <v>0</v>
      </c>
    </row>
    <row r="430" spans="1:36">
      <c r="A430">
        <v>429</v>
      </c>
      <c r="B430">
        <v>409</v>
      </c>
      <c r="C430">
        <v>411</v>
      </c>
      <c r="D430" t="s">
        <v>3</v>
      </c>
      <c r="E430" s="6" t="s">
        <v>4</v>
      </c>
      <c r="F430" s="6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f t="shared" si="13"/>
        <v>0</v>
      </c>
    </row>
    <row r="431" spans="1:36">
      <c r="A431">
        <v>430</v>
      </c>
      <c r="B431">
        <v>410</v>
      </c>
      <c r="C431">
        <v>412</v>
      </c>
      <c r="D431" t="s">
        <v>3</v>
      </c>
      <c r="E431" s="6" t="s">
        <v>7</v>
      </c>
      <c r="F431" s="6" t="b">
        <f t="shared" si="12"/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f t="shared" si="13"/>
        <v>0</v>
      </c>
    </row>
    <row r="432" spans="1:36">
      <c r="A432">
        <v>431</v>
      </c>
      <c r="B432">
        <v>411</v>
      </c>
      <c r="C432">
        <v>413</v>
      </c>
      <c r="D432" t="s">
        <v>2</v>
      </c>
      <c r="E432" s="6" t="s">
        <v>5</v>
      </c>
      <c r="F432" s="6" t="b">
        <f t="shared" si="12"/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f t="shared" si="13"/>
        <v>0</v>
      </c>
    </row>
    <row r="433" spans="1:36">
      <c r="A433">
        <v>432</v>
      </c>
      <c r="B433">
        <v>412</v>
      </c>
      <c r="C433">
        <v>414</v>
      </c>
      <c r="D433" t="s">
        <v>46</v>
      </c>
      <c r="E433" s="6" t="s">
        <v>2</v>
      </c>
      <c r="F433" s="6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f t="shared" si="13"/>
        <v>0</v>
      </c>
    </row>
    <row r="434" spans="1:36">
      <c r="A434">
        <v>433</v>
      </c>
      <c r="B434">
        <v>413</v>
      </c>
      <c r="C434">
        <v>415</v>
      </c>
      <c r="D434" t="s">
        <v>46</v>
      </c>
      <c r="E434" s="6" t="s">
        <v>46</v>
      </c>
      <c r="F434" s="6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f t="shared" si="13"/>
        <v>0</v>
      </c>
    </row>
    <row r="435" spans="1:36">
      <c r="A435">
        <v>434</v>
      </c>
      <c r="B435">
        <v>414</v>
      </c>
      <c r="C435">
        <v>416</v>
      </c>
      <c r="D435" t="s">
        <v>42</v>
      </c>
      <c r="E435" s="6" t="s">
        <v>2</v>
      </c>
      <c r="F435" s="6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f t="shared" si="13"/>
        <v>0</v>
      </c>
    </row>
    <row r="436" spans="1:36">
      <c r="A436">
        <v>435</v>
      </c>
      <c r="B436">
        <v>415</v>
      </c>
      <c r="C436">
        <v>417</v>
      </c>
      <c r="D436" t="s">
        <v>45</v>
      </c>
      <c r="E436" s="6" t="s">
        <v>42</v>
      </c>
      <c r="F436" s="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f t="shared" si="13"/>
        <v>0</v>
      </c>
    </row>
    <row r="437" spans="1:36">
      <c r="A437">
        <v>436</v>
      </c>
      <c r="B437">
        <v>416</v>
      </c>
      <c r="C437">
        <v>418</v>
      </c>
      <c r="D437" t="s">
        <v>50</v>
      </c>
      <c r="E437" s="6" t="s">
        <v>45</v>
      </c>
      <c r="F437" s="6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f t="shared" si="13"/>
        <v>0</v>
      </c>
    </row>
    <row r="438" spans="1:36">
      <c r="A438">
        <v>437</v>
      </c>
      <c r="B438">
        <v>417</v>
      </c>
      <c r="C438">
        <v>419</v>
      </c>
      <c r="D438" t="s">
        <v>10</v>
      </c>
      <c r="E438" s="6" t="s">
        <v>50</v>
      </c>
      <c r="F438" s="6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f t="shared" si="13"/>
        <v>0</v>
      </c>
    </row>
    <row r="439" spans="1:36">
      <c r="A439">
        <v>438</v>
      </c>
      <c r="B439">
        <v>418</v>
      </c>
      <c r="C439">
        <v>420</v>
      </c>
      <c r="D439" t="s">
        <v>46</v>
      </c>
      <c r="E439" s="6" t="s">
        <v>10</v>
      </c>
      <c r="F439" s="6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f t="shared" si="13"/>
        <v>0</v>
      </c>
    </row>
    <row r="440" spans="1:36">
      <c r="A440">
        <v>439</v>
      </c>
      <c r="B440">
        <v>419</v>
      </c>
      <c r="C440">
        <v>421</v>
      </c>
      <c r="D440" t="s">
        <v>8</v>
      </c>
      <c r="E440" s="6" t="s">
        <v>46</v>
      </c>
      <c r="F440" s="6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f t="shared" si="13"/>
        <v>0</v>
      </c>
    </row>
    <row r="441" spans="1:36">
      <c r="A441">
        <v>440</v>
      </c>
      <c r="B441">
        <v>420</v>
      </c>
      <c r="C441">
        <v>422</v>
      </c>
      <c r="D441" t="s">
        <v>44</v>
      </c>
      <c r="E441" s="6" t="s">
        <v>8</v>
      </c>
      <c r="F441" s="6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f t="shared" si="13"/>
        <v>0</v>
      </c>
    </row>
    <row r="442" spans="1:36">
      <c r="A442">
        <v>441</v>
      </c>
      <c r="B442">
        <v>421</v>
      </c>
      <c r="C442">
        <v>423</v>
      </c>
      <c r="D442" t="s">
        <v>46</v>
      </c>
      <c r="E442" s="6" t="s">
        <v>44</v>
      </c>
      <c r="F442" s="6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f t="shared" si="13"/>
        <v>0</v>
      </c>
    </row>
    <row r="443" spans="1:36">
      <c r="A443">
        <v>442</v>
      </c>
      <c r="B443">
        <v>422</v>
      </c>
      <c r="C443">
        <v>424</v>
      </c>
      <c r="D443" t="s">
        <v>46</v>
      </c>
      <c r="E443" s="6" t="s">
        <v>46</v>
      </c>
      <c r="F443" s="6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f t="shared" si="13"/>
        <v>0</v>
      </c>
    </row>
    <row r="444" spans="1:36">
      <c r="A444">
        <v>443</v>
      </c>
      <c r="B444">
        <v>423</v>
      </c>
      <c r="C444">
        <v>425</v>
      </c>
      <c r="D444" t="s">
        <v>3</v>
      </c>
      <c r="E444" s="6" t="s">
        <v>46</v>
      </c>
      <c r="F444" s="6" t="b">
        <f t="shared" si="12"/>
        <v>0</v>
      </c>
      <c r="G444" t="s">
        <v>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0.20128354725787601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f t="shared" si="13"/>
        <v>0</v>
      </c>
    </row>
    <row r="445" spans="1:36">
      <c r="A445">
        <v>444</v>
      </c>
      <c r="B445">
        <v>424</v>
      </c>
      <c r="C445">
        <v>426</v>
      </c>
      <c r="D445" t="s">
        <v>43</v>
      </c>
      <c r="E445" s="6" t="s">
        <v>3</v>
      </c>
      <c r="F445" s="6" t="b">
        <f t="shared" si="12"/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f t="shared" si="13"/>
        <v>0</v>
      </c>
    </row>
    <row r="446" spans="1:36">
      <c r="A446">
        <v>445</v>
      </c>
      <c r="B446">
        <v>425</v>
      </c>
      <c r="C446">
        <v>427</v>
      </c>
      <c r="D446" t="s">
        <v>69</v>
      </c>
      <c r="E446" s="6" t="s">
        <v>43</v>
      </c>
      <c r="F446" s="6" t="b">
        <f t="shared" si="12"/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f t="shared" si="13"/>
        <v>0</v>
      </c>
    </row>
    <row r="447" spans="1:36">
      <c r="A447">
        <v>446</v>
      </c>
      <c r="B447">
        <v>426</v>
      </c>
      <c r="C447">
        <v>428</v>
      </c>
      <c r="D447" t="s">
        <v>44</v>
      </c>
      <c r="E447" s="6" t="s">
        <v>69</v>
      </c>
      <c r="F447" s="6" t="b">
        <f t="shared" si="12"/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f t="shared" si="13"/>
        <v>0</v>
      </c>
    </row>
    <row r="448" spans="1:36">
      <c r="A448">
        <v>447</v>
      </c>
      <c r="B448">
        <v>427</v>
      </c>
      <c r="C448">
        <v>429</v>
      </c>
      <c r="D448" t="s">
        <v>10</v>
      </c>
      <c r="E448" s="6" t="s">
        <v>44</v>
      </c>
      <c r="F448" s="6" t="b">
        <f t="shared" si="12"/>
        <v>0</v>
      </c>
      <c r="G448" t="s">
        <v>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0.19166184134337</v>
      </c>
      <c r="AG448">
        <v>0</v>
      </c>
      <c r="AH448">
        <v>0</v>
      </c>
      <c r="AI448">
        <v>0</v>
      </c>
      <c r="AJ448">
        <f t="shared" si="13"/>
        <v>0</v>
      </c>
    </row>
    <row r="449" spans="1:36">
      <c r="A449">
        <v>448</v>
      </c>
      <c r="B449">
        <v>428</v>
      </c>
      <c r="C449">
        <v>430</v>
      </c>
      <c r="D449" t="s">
        <v>47</v>
      </c>
      <c r="E449" s="6" t="s">
        <v>8</v>
      </c>
      <c r="F449" s="6" t="b">
        <f t="shared" si="12"/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f t="shared" si="13"/>
        <v>0</v>
      </c>
    </row>
    <row r="450" spans="1:36">
      <c r="A450">
        <v>449</v>
      </c>
      <c r="B450">
        <v>429</v>
      </c>
      <c r="C450">
        <v>431</v>
      </c>
      <c r="D450" t="s">
        <v>4</v>
      </c>
      <c r="E450" s="6" t="s">
        <v>47</v>
      </c>
      <c r="F450" s="6" t="b">
        <f t="shared" ref="F450:F513" si="14">D450=G450</f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f t="shared" si="13"/>
        <v>0</v>
      </c>
    </row>
    <row r="451" spans="1:36">
      <c r="A451">
        <v>450</v>
      </c>
      <c r="B451">
        <v>430</v>
      </c>
      <c r="C451">
        <v>432</v>
      </c>
      <c r="D451" t="s">
        <v>8</v>
      </c>
      <c r="E451" s="6" t="s">
        <v>4</v>
      </c>
      <c r="F451" s="6" t="b">
        <f t="shared" si="14"/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f t="shared" ref="AJ451:AJ514" si="15">COUNTIF(H451:AI451,"&gt;0.25")</f>
        <v>0</v>
      </c>
    </row>
    <row r="452" spans="1:36">
      <c r="A452">
        <v>451</v>
      </c>
      <c r="B452">
        <v>431</v>
      </c>
      <c r="C452">
        <v>433</v>
      </c>
      <c r="D452" t="s">
        <v>1</v>
      </c>
      <c r="E452" s="6" t="s">
        <v>8</v>
      </c>
      <c r="F452" s="6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f t="shared" si="15"/>
        <v>0</v>
      </c>
    </row>
    <row r="453" spans="1:36">
      <c r="A453">
        <v>452</v>
      </c>
      <c r="B453">
        <v>432</v>
      </c>
      <c r="C453">
        <v>434</v>
      </c>
      <c r="D453" t="s">
        <v>46</v>
      </c>
      <c r="E453" s="6" t="s">
        <v>1</v>
      </c>
      <c r="F453" s="6" t="b">
        <f t="shared" si="14"/>
        <v>0</v>
      </c>
      <c r="G453" t="s">
        <v>43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0.252147356365718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f t="shared" si="15"/>
        <v>1</v>
      </c>
    </row>
    <row r="454" spans="1:36">
      <c r="A454">
        <v>453</v>
      </c>
      <c r="B454">
        <v>433</v>
      </c>
      <c r="C454">
        <v>435</v>
      </c>
      <c r="D454" t="s">
        <v>68</v>
      </c>
      <c r="E454" s="6" t="s">
        <v>43</v>
      </c>
      <c r="F454" s="6" t="b">
        <f t="shared" si="14"/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f t="shared" si="15"/>
        <v>0</v>
      </c>
    </row>
    <row r="455" spans="1:36">
      <c r="A455">
        <v>454</v>
      </c>
      <c r="B455">
        <v>434</v>
      </c>
      <c r="C455">
        <v>436</v>
      </c>
      <c r="D455" t="s">
        <v>1</v>
      </c>
      <c r="E455" s="6" t="s">
        <v>68</v>
      </c>
      <c r="F455" s="6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f t="shared" si="15"/>
        <v>0</v>
      </c>
    </row>
    <row r="456" spans="1:36">
      <c r="A456">
        <v>455</v>
      </c>
      <c r="B456">
        <v>435</v>
      </c>
      <c r="C456">
        <v>437</v>
      </c>
      <c r="D456" t="s">
        <v>45</v>
      </c>
      <c r="E456" s="6" t="s">
        <v>1</v>
      </c>
      <c r="F456" s="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f t="shared" si="15"/>
        <v>0</v>
      </c>
    </row>
    <row r="457" spans="1:36">
      <c r="A457">
        <v>456</v>
      </c>
      <c r="B457">
        <v>436</v>
      </c>
      <c r="C457">
        <v>438</v>
      </c>
      <c r="D457" t="s">
        <v>45</v>
      </c>
      <c r="E457" s="6" t="s">
        <v>45</v>
      </c>
      <c r="F457" s="6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f t="shared" si="15"/>
        <v>0</v>
      </c>
    </row>
    <row r="458" spans="1:36">
      <c r="A458">
        <v>457</v>
      </c>
      <c r="B458">
        <v>437</v>
      </c>
      <c r="C458">
        <v>439</v>
      </c>
      <c r="D458" t="s">
        <v>46</v>
      </c>
      <c r="E458" s="6" t="s">
        <v>45</v>
      </c>
      <c r="F458" s="6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f t="shared" si="15"/>
        <v>0</v>
      </c>
    </row>
    <row r="459" spans="1:36">
      <c r="A459">
        <v>458</v>
      </c>
      <c r="B459">
        <v>438</v>
      </c>
      <c r="C459">
        <v>440</v>
      </c>
      <c r="D459" t="s">
        <v>7</v>
      </c>
      <c r="E459" s="6" t="s">
        <v>46</v>
      </c>
      <c r="F459" s="6" t="b">
        <f t="shared" si="14"/>
        <v>0</v>
      </c>
      <c r="G459" t="s">
        <v>10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0.15646979999999999</v>
      </c>
      <c r="S459">
        <v>0.23485309017223899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f t="shared" si="15"/>
        <v>0</v>
      </c>
    </row>
    <row r="460" spans="1:36">
      <c r="A460">
        <v>459</v>
      </c>
      <c r="B460">
        <v>439</v>
      </c>
      <c r="C460">
        <v>441</v>
      </c>
      <c r="D460" t="s">
        <v>4</v>
      </c>
      <c r="E460" s="6" t="s">
        <v>7</v>
      </c>
      <c r="F460" s="6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f t="shared" si="15"/>
        <v>0</v>
      </c>
    </row>
    <row r="461" spans="1:36">
      <c r="A461">
        <v>460</v>
      </c>
      <c r="B461">
        <v>440</v>
      </c>
      <c r="C461">
        <v>442</v>
      </c>
      <c r="D461" t="s">
        <v>44</v>
      </c>
      <c r="E461" s="6" t="s">
        <v>4</v>
      </c>
      <c r="F461" s="6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f t="shared" si="15"/>
        <v>0</v>
      </c>
    </row>
    <row r="462" spans="1:36">
      <c r="A462">
        <v>461</v>
      </c>
      <c r="B462">
        <v>441</v>
      </c>
      <c r="C462">
        <v>443</v>
      </c>
      <c r="D462" t="s">
        <v>46</v>
      </c>
      <c r="E462" s="6" t="s">
        <v>44</v>
      </c>
      <c r="F462" s="6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f t="shared" si="15"/>
        <v>0</v>
      </c>
    </row>
    <row r="463" spans="1:36">
      <c r="A463">
        <v>462</v>
      </c>
      <c r="B463">
        <v>442</v>
      </c>
      <c r="C463">
        <v>444</v>
      </c>
      <c r="D463" t="s">
        <v>10</v>
      </c>
      <c r="E463" s="6" t="s">
        <v>46</v>
      </c>
      <c r="F463" s="6" t="b">
        <f t="shared" si="14"/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f t="shared" si="15"/>
        <v>0</v>
      </c>
    </row>
    <row r="464" spans="1:36">
      <c r="A464">
        <v>463</v>
      </c>
      <c r="B464">
        <v>443</v>
      </c>
      <c r="C464">
        <v>445</v>
      </c>
      <c r="D464" t="s">
        <v>50</v>
      </c>
      <c r="E464" s="6" t="s">
        <v>10</v>
      </c>
      <c r="F464" s="6" t="b">
        <f t="shared" si="14"/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f t="shared" si="15"/>
        <v>0</v>
      </c>
    </row>
    <row r="465" spans="1:36">
      <c r="A465">
        <v>464</v>
      </c>
      <c r="B465">
        <v>444</v>
      </c>
      <c r="C465">
        <v>446</v>
      </c>
      <c r="D465" t="s">
        <v>42</v>
      </c>
      <c r="E465" s="6" t="s">
        <v>50</v>
      </c>
      <c r="F465" s="6" t="b">
        <f t="shared" si="14"/>
        <v>0</v>
      </c>
      <c r="G465" t="s">
        <v>47</v>
      </c>
      <c r="H465">
        <v>0.139745403111739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f t="shared" si="15"/>
        <v>0</v>
      </c>
    </row>
    <row r="466" spans="1:36">
      <c r="A466">
        <v>465</v>
      </c>
      <c r="B466">
        <v>445</v>
      </c>
      <c r="C466">
        <v>447</v>
      </c>
      <c r="D466" t="s">
        <v>7</v>
      </c>
      <c r="E466" s="6" t="s">
        <v>7</v>
      </c>
      <c r="F466" s="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f t="shared" si="15"/>
        <v>0</v>
      </c>
    </row>
    <row r="467" spans="1:36">
      <c r="A467">
        <v>466</v>
      </c>
      <c r="B467">
        <v>446</v>
      </c>
      <c r="C467">
        <v>448</v>
      </c>
      <c r="D467" t="s">
        <v>3</v>
      </c>
      <c r="E467" s="6" t="s">
        <v>7</v>
      </c>
      <c r="F467" s="6" t="b">
        <f t="shared" si="14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f t="shared" si="15"/>
        <v>0</v>
      </c>
    </row>
    <row r="468" spans="1:36">
      <c r="A468">
        <v>467</v>
      </c>
      <c r="B468">
        <v>447</v>
      </c>
      <c r="C468">
        <v>449</v>
      </c>
      <c r="D468" t="s">
        <v>46</v>
      </c>
      <c r="E468" s="6" t="s">
        <v>3</v>
      </c>
      <c r="F468" s="6" t="b">
        <f t="shared" si="14"/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f t="shared" si="15"/>
        <v>0</v>
      </c>
    </row>
    <row r="469" spans="1:36">
      <c r="A469">
        <v>468</v>
      </c>
      <c r="B469">
        <v>448</v>
      </c>
      <c r="C469">
        <v>450</v>
      </c>
      <c r="D469" t="s">
        <v>2</v>
      </c>
      <c r="E469" s="6" t="s">
        <v>46</v>
      </c>
      <c r="F469" s="6" t="b">
        <f t="shared" si="14"/>
        <v>1</v>
      </c>
      <c r="G469" t="s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0.122161315583398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f t="shared" si="15"/>
        <v>0</v>
      </c>
    </row>
    <row r="470" spans="1:36">
      <c r="A470">
        <v>469</v>
      </c>
      <c r="B470">
        <v>449</v>
      </c>
      <c r="C470">
        <v>451</v>
      </c>
      <c r="D470" t="s">
        <v>4</v>
      </c>
      <c r="E470" s="6" t="s">
        <v>2</v>
      </c>
      <c r="F470" s="6" t="b">
        <f t="shared" si="14"/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f t="shared" si="15"/>
        <v>0</v>
      </c>
    </row>
    <row r="471" spans="1:36">
      <c r="A471">
        <v>470</v>
      </c>
      <c r="B471">
        <v>450</v>
      </c>
      <c r="C471">
        <v>452</v>
      </c>
      <c r="D471" t="s">
        <v>42</v>
      </c>
      <c r="E471" s="6" t="s">
        <v>4</v>
      </c>
      <c r="F471" s="6" t="b">
        <f t="shared" si="14"/>
        <v>0</v>
      </c>
      <c r="G471" t="s">
        <v>43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0.49643366619115498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f t="shared" si="15"/>
        <v>1</v>
      </c>
    </row>
    <row r="472" spans="1:36">
      <c r="A472">
        <v>471</v>
      </c>
      <c r="B472">
        <v>451</v>
      </c>
      <c r="C472">
        <v>453</v>
      </c>
      <c r="D472" t="s">
        <v>46</v>
      </c>
      <c r="E472" s="6" t="s">
        <v>42</v>
      </c>
      <c r="F472" s="6" t="b">
        <f t="shared" si="14"/>
        <v>0</v>
      </c>
      <c r="G472" t="s">
        <v>43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0.21622164224051299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f t="shared" si="15"/>
        <v>0</v>
      </c>
    </row>
    <row r="473" spans="1:36">
      <c r="A473">
        <v>472</v>
      </c>
      <c r="B473">
        <v>452</v>
      </c>
      <c r="C473">
        <v>454</v>
      </c>
      <c r="D473" t="s">
        <v>42</v>
      </c>
      <c r="E473" s="6" t="s">
        <v>42</v>
      </c>
      <c r="F473" s="6" t="b">
        <f t="shared" si="14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f t="shared" si="15"/>
        <v>0</v>
      </c>
    </row>
    <row r="474" spans="1:36">
      <c r="A474">
        <v>473</v>
      </c>
      <c r="B474">
        <v>453</v>
      </c>
      <c r="C474">
        <v>455</v>
      </c>
      <c r="D474" t="s">
        <v>2</v>
      </c>
      <c r="E474" s="6" t="s">
        <v>42</v>
      </c>
      <c r="F474" s="6" t="b">
        <f t="shared" si="14"/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f t="shared" si="15"/>
        <v>0</v>
      </c>
    </row>
    <row r="475" spans="1:36">
      <c r="A475">
        <v>474</v>
      </c>
      <c r="B475">
        <v>454</v>
      </c>
      <c r="C475">
        <v>456</v>
      </c>
      <c r="D475" t="s">
        <v>10</v>
      </c>
      <c r="E475" s="6" t="s">
        <v>2</v>
      </c>
      <c r="F475" s="6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f t="shared" si="15"/>
        <v>0</v>
      </c>
    </row>
    <row r="476" spans="1:36">
      <c r="A476">
        <v>475</v>
      </c>
      <c r="B476">
        <v>455</v>
      </c>
      <c r="C476">
        <v>457</v>
      </c>
      <c r="D476" t="s">
        <v>5</v>
      </c>
      <c r="E476" s="6" t="s">
        <v>10</v>
      </c>
      <c r="F476" s="6" t="b">
        <f t="shared" si="14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f t="shared" si="15"/>
        <v>0</v>
      </c>
    </row>
    <row r="477" spans="1:36">
      <c r="A477">
        <v>476</v>
      </c>
      <c r="B477">
        <v>456</v>
      </c>
      <c r="C477">
        <v>458</v>
      </c>
      <c r="D477" t="s">
        <v>4</v>
      </c>
      <c r="E477" s="6" t="s">
        <v>5</v>
      </c>
      <c r="F477" s="6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f t="shared" si="15"/>
        <v>0</v>
      </c>
    </row>
    <row r="478" spans="1:36">
      <c r="A478">
        <v>477</v>
      </c>
      <c r="B478">
        <v>457</v>
      </c>
      <c r="C478">
        <v>459</v>
      </c>
      <c r="D478" t="s">
        <v>4</v>
      </c>
      <c r="E478" s="6" t="s">
        <v>4</v>
      </c>
      <c r="F478" s="6" t="b">
        <f t="shared" si="14"/>
        <v>0</v>
      </c>
      <c r="G478" t="s">
        <v>5</v>
      </c>
      <c r="H478">
        <v>0.98045784477945197</v>
      </c>
      <c r="I478">
        <v>0</v>
      </c>
      <c r="J478">
        <v>0.30905848787446499</v>
      </c>
      <c r="K478">
        <v>0</v>
      </c>
      <c r="L478">
        <v>0</v>
      </c>
      <c r="M478">
        <v>0</v>
      </c>
      <c r="N478">
        <v>0</v>
      </c>
      <c r="O478">
        <v>0.116133518776077</v>
      </c>
      <c r="P478">
        <v>0</v>
      </c>
      <c r="Q478">
        <v>0.72065418095489298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0.57604823199999999</v>
      </c>
      <c r="AJ478">
        <f t="shared" si="15"/>
        <v>4</v>
      </c>
    </row>
    <row r="479" spans="1:36">
      <c r="A479">
        <v>478</v>
      </c>
      <c r="B479">
        <v>458</v>
      </c>
      <c r="C479">
        <v>460</v>
      </c>
      <c r="D479" t="s">
        <v>3</v>
      </c>
      <c r="E479" s="6" t="s">
        <v>4</v>
      </c>
      <c r="F479" s="6" t="b">
        <f t="shared" si="14"/>
        <v>0</v>
      </c>
      <c r="G479" t="s">
        <v>5</v>
      </c>
      <c r="H479">
        <v>0</v>
      </c>
      <c r="I479">
        <v>0.98538991252559005</v>
      </c>
      <c r="J479">
        <v>0.14478396708069799</v>
      </c>
      <c r="K479">
        <v>0.98057208402036</v>
      </c>
      <c r="L479">
        <v>0.50078392246294101</v>
      </c>
      <c r="M479">
        <v>0.98846947445078204</v>
      </c>
      <c r="N479">
        <v>0</v>
      </c>
      <c r="O479">
        <v>0</v>
      </c>
      <c r="P479">
        <v>0</v>
      </c>
      <c r="Q479">
        <v>0.14587440157702</v>
      </c>
      <c r="R479">
        <v>0</v>
      </c>
      <c r="S479">
        <v>0.98684210526315796</v>
      </c>
      <c r="T479">
        <v>0.94694244604316502</v>
      </c>
      <c r="U479">
        <v>0</v>
      </c>
      <c r="V479">
        <v>0</v>
      </c>
      <c r="W479">
        <v>0.238295633876906</v>
      </c>
      <c r="X479">
        <v>0.99540018399263996</v>
      </c>
      <c r="Y479">
        <v>0</v>
      </c>
      <c r="Z479">
        <v>0.30608695652173901</v>
      </c>
      <c r="AA479">
        <v>0</v>
      </c>
      <c r="AB479">
        <v>0</v>
      </c>
      <c r="AC479">
        <v>0</v>
      </c>
      <c r="AD479">
        <v>0.99687743950038998</v>
      </c>
      <c r="AE479">
        <v>0</v>
      </c>
      <c r="AF479">
        <v>0</v>
      </c>
      <c r="AG479">
        <v>0.9296875</v>
      </c>
      <c r="AH479">
        <v>0</v>
      </c>
      <c r="AI479">
        <v>0</v>
      </c>
      <c r="AJ479">
        <f t="shared" si="15"/>
        <v>10</v>
      </c>
    </row>
    <row r="480" spans="1:36">
      <c r="A480">
        <v>479</v>
      </c>
      <c r="B480">
        <v>458</v>
      </c>
      <c r="C480">
        <v>460</v>
      </c>
      <c r="D480" t="s">
        <v>3</v>
      </c>
      <c r="E480" s="6" t="s">
        <v>3</v>
      </c>
      <c r="F480" s="6" t="b">
        <f t="shared" si="14"/>
        <v>0</v>
      </c>
      <c r="G480" t="s">
        <v>7</v>
      </c>
      <c r="H480">
        <v>0</v>
      </c>
      <c r="I480">
        <v>0</v>
      </c>
      <c r="J480">
        <v>0.53760573039701198</v>
      </c>
      <c r="K480">
        <v>0</v>
      </c>
      <c r="L480">
        <v>0.351981185860889</v>
      </c>
      <c r="M480">
        <v>0</v>
      </c>
      <c r="N480">
        <v>0</v>
      </c>
      <c r="O480">
        <v>0.24434389140271401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0.11924235901851001</v>
      </c>
      <c r="V480">
        <v>0</v>
      </c>
      <c r="W480">
        <v>0.28108013326319398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f t="shared" si="15"/>
        <v>3</v>
      </c>
    </row>
    <row r="481" spans="1:36">
      <c r="A481">
        <v>480</v>
      </c>
      <c r="B481">
        <v>459</v>
      </c>
      <c r="C481">
        <v>461</v>
      </c>
      <c r="D481" t="s">
        <v>7</v>
      </c>
      <c r="E481" s="6" t="s">
        <v>3</v>
      </c>
      <c r="F481" s="6" t="b">
        <f t="shared" si="14"/>
        <v>0</v>
      </c>
      <c r="G481" t="s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0.17064183599999999</v>
      </c>
      <c r="S481">
        <v>0</v>
      </c>
      <c r="T481">
        <v>0</v>
      </c>
      <c r="U481">
        <v>0</v>
      </c>
      <c r="V481">
        <v>0</v>
      </c>
      <c r="W481">
        <v>0.128846499910023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f t="shared" si="15"/>
        <v>0</v>
      </c>
    </row>
    <row r="482" spans="1:36">
      <c r="A482">
        <v>481</v>
      </c>
      <c r="B482">
        <v>459</v>
      </c>
      <c r="C482">
        <v>461</v>
      </c>
      <c r="D482" t="s">
        <v>7</v>
      </c>
      <c r="E482" s="6" t="s">
        <v>7</v>
      </c>
      <c r="F482" s="6" t="b">
        <f t="shared" si="14"/>
        <v>0</v>
      </c>
      <c r="G482" t="s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0.51406663699999999</v>
      </c>
      <c r="S482">
        <v>0</v>
      </c>
      <c r="T482">
        <v>0</v>
      </c>
      <c r="U482">
        <v>0</v>
      </c>
      <c r="V482">
        <v>0</v>
      </c>
      <c r="W482">
        <v>0.33579269389958599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0.64760793465577504</v>
      </c>
      <c r="AG482">
        <v>0</v>
      </c>
      <c r="AH482">
        <v>0.99517490952955301</v>
      </c>
      <c r="AI482">
        <v>0</v>
      </c>
      <c r="AJ482">
        <f t="shared" si="15"/>
        <v>4</v>
      </c>
    </row>
    <row r="483" spans="1:36">
      <c r="A483">
        <v>482</v>
      </c>
      <c r="B483">
        <v>460</v>
      </c>
      <c r="C483">
        <v>462</v>
      </c>
      <c r="D483" t="s">
        <v>7</v>
      </c>
      <c r="E483" s="6" t="s">
        <v>7</v>
      </c>
      <c r="F483" s="6" t="b">
        <f t="shared" si="14"/>
        <v>0</v>
      </c>
      <c r="G483" t="s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0.36971046770601301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f t="shared" si="15"/>
        <v>1</v>
      </c>
    </row>
    <row r="484" spans="1:36">
      <c r="A484">
        <v>483</v>
      </c>
      <c r="B484">
        <v>460</v>
      </c>
      <c r="C484">
        <v>462</v>
      </c>
      <c r="D484" t="s">
        <v>7</v>
      </c>
      <c r="E484" s="6" t="s">
        <v>3</v>
      </c>
      <c r="F484" s="6" t="b">
        <f t="shared" si="14"/>
        <v>0</v>
      </c>
      <c r="G484" t="s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f t="shared" si="15"/>
        <v>0</v>
      </c>
    </row>
    <row r="485" spans="1:36">
      <c r="A485">
        <v>484</v>
      </c>
      <c r="B485">
        <v>461</v>
      </c>
      <c r="C485">
        <v>463</v>
      </c>
      <c r="D485" t="s">
        <v>42</v>
      </c>
      <c r="E485" s="6" t="s">
        <v>3</v>
      </c>
      <c r="F485" s="6" t="b">
        <f t="shared" si="14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f t="shared" si="15"/>
        <v>0</v>
      </c>
    </row>
    <row r="486" spans="1:36">
      <c r="A486">
        <v>485</v>
      </c>
      <c r="B486">
        <v>462</v>
      </c>
      <c r="C486">
        <v>464</v>
      </c>
      <c r="D486" t="s">
        <v>7</v>
      </c>
      <c r="E486" s="6" t="s">
        <v>3</v>
      </c>
      <c r="F486" s="6" t="b">
        <f t="shared" si="14"/>
        <v>0</v>
      </c>
      <c r="G486" t="s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0.32704387299999998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0.20998810939357901</v>
      </c>
      <c r="Y486">
        <v>0</v>
      </c>
      <c r="Z486">
        <v>0</v>
      </c>
      <c r="AA486">
        <v>0.97626803164262399</v>
      </c>
      <c r="AB486">
        <v>0</v>
      </c>
      <c r="AC486">
        <v>0.98062015503875899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f t="shared" si="15"/>
        <v>3</v>
      </c>
    </row>
    <row r="487" spans="1:36">
      <c r="A487">
        <v>486</v>
      </c>
      <c r="B487">
        <v>463</v>
      </c>
      <c r="C487" t="s">
        <v>81</v>
      </c>
      <c r="D487" t="s">
        <v>7</v>
      </c>
      <c r="E487" s="6" t="s">
        <v>6</v>
      </c>
      <c r="F487" s="6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f t="shared" si="15"/>
        <v>0</v>
      </c>
    </row>
    <row r="488" spans="1:36">
      <c r="A488">
        <v>487</v>
      </c>
      <c r="B488">
        <v>464</v>
      </c>
      <c r="C488">
        <v>465</v>
      </c>
      <c r="D488" t="s">
        <v>45</v>
      </c>
      <c r="E488" s="6" t="s">
        <v>65</v>
      </c>
      <c r="F488" s="6" t="b">
        <f t="shared" si="14"/>
        <v>0</v>
      </c>
      <c r="G488" t="s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0.74587207799999999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0.99529190207156304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f t="shared" si="15"/>
        <v>2</v>
      </c>
    </row>
    <row r="489" spans="1:36">
      <c r="A489">
        <v>488</v>
      </c>
      <c r="B489">
        <v>464</v>
      </c>
      <c r="C489">
        <v>465</v>
      </c>
      <c r="D489" t="s">
        <v>45</v>
      </c>
      <c r="E489" s="6" t="s">
        <v>7</v>
      </c>
      <c r="F489" s="6" t="b">
        <f t="shared" si="14"/>
        <v>0</v>
      </c>
      <c r="G489" t="s">
        <v>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0.163994379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0.94545454545454499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f t="shared" si="15"/>
        <v>1</v>
      </c>
    </row>
    <row r="490" spans="1:36">
      <c r="A490">
        <v>489</v>
      </c>
      <c r="B490">
        <v>464</v>
      </c>
      <c r="C490">
        <v>465</v>
      </c>
      <c r="D490" t="s">
        <v>45</v>
      </c>
      <c r="E490" s="6" t="s">
        <v>7</v>
      </c>
      <c r="F490" s="6" t="b">
        <f t="shared" si="14"/>
        <v>0</v>
      </c>
      <c r="G490" t="s">
        <v>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0.28911111111111099</v>
      </c>
      <c r="AG490">
        <v>0</v>
      </c>
      <c r="AH490">
        <v>0</v>
      </c>
      <c r="AI490">
        <v>0</v>
      </c>
      <c r="AJ490">
        <f t="shared" si="15"/>
        <v>1</v>
      </c>
    </row>
    <row r="491" spans="1:36">
      <c r="A491">
        <v>490</v>
      </c>
      <c r="B491">
        <v>464</v>
      </c>
      <c r="C491">
        <v>465</v>
      </c>
      <c r="D491" t="s">
        <v>45</v>
      </c>
      <c r="E491" s="6" t="s">
        <v>7</v>
      </c>
      <c r="F491" s="6" t="b">
        <f t="shared" si="14"/>
        <v>0</v>
      </c>
      <c r="G491" t="s">
        <v>42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0.99748427699999997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f t="shared" si="15"/>
        <v>1</v>
      </c>
    </row>
    <row r="492" spans="1:36">
      <c r="A492">
        <v>491</v>
      </c>
      <c r="B492">
        <v>465</v>
      </c>
      <c r="C492">
        <v>466</v>
      </c>
      <c r="D492" t="s">
        <v>6</v>
      </c>
      <c r="E492" s="6" t="s">
        <v>7</v>
      </c>
      <c r="F492" s="6" t="b">
        <f t="shared" si="14"/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f t="shared" si="15"/>
        <v>0</v>
      </c>
    </row>
    <row r="493" spans="1:36">
      <c r="A493">
        <v>492</v>
      </c>
      <c r="B493">
        <v>466</v>
      </c>
      <c r="C493">
        <v>467</v>
      </c>
      <c r="D493" t="s">
        <v>46</v>
      </c>
      <c r="E493" s="6" t="s">
        <v>6</v>
      </c>
      <c r="F493" s="6" t="b">
        <f t="shared" si="14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f t="shared" si="15"/>
        <v>0</v>
      </c>
    </row>
    <row r="494" spans="1:36">
      <c r="A494">
        <v>493</v>
      </c>
      <c r="B494">
        <v>467</v>
      </c>
      <c r="C494">
        <v>468</v>
      </c>
      <c r="D494" t="s">
        <v>48</v>
      </c>
      <c r="E494" s="6" t="s">
        <v>46</v>
      </c>
      <c r="F494" s="6" t="b">
        <f t="shared" si="14"/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f t="shared" si="15"/>
        <v>0</v>
      </c>
    </row>
    <row r="495" spans="1:36">
      <c r="A495">
        <v>494</v>
      </c>
      <c r="B495">
        <v>468</v>
      </c>
      <c r="C495">
        <v>469</v>
      </c>
      <c r="D495" t="s">
        <v>10</v>
      </c>
      <c r="E495" s="6" t="s">
        <v>48</v>
      </c>
      <c r="F495" s="6" t="b">
        <f t="shared" si="14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f t="shared" si="15"/>
        <v>0</v>
      </c>
    </row>
    <row r="496" spans="1:36">
      <c r="A496">
        <v>495</v>
      </c>
      <c r="B496">
        <v>469</v>
      </c>
      <c r="C496">
        <v>470</v>
      </c>
      <c r="D496" t="s">
        <v>45</v>
      </c>
      <c r="E496" s="6" t="s">
        <v>10</v>
      </c>
      <c r="F496" s="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f t="shared" si="15"/>
        <v>0</v>
      </c>
    </row>
    <row r="497" spans="1:36">
      <c r="A497">
        <v>496</v>
      </c>
      <c r="B497">
        <v>470</v>
      </c>
      <c r="C497">
        <v>471</v>
      </c>
      <c r="D497" t="s">
        <v>4</v>
      </c>
      <c r="E497" s="6" t="s">
        <v>45</v>
      </c>
      <c r="F497" s="6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f t="shared" si="15"/>
        <v>0</v>
      </c>
    </row>
    <row r="498" spans="1:36">
      <c r="A498">
        <v>497</v>
      </c>
      <c r="B498">
        <v>471</v>
      </c>
      <c r="C498">
        <v>472</v>
      </c>
      <c r="D498" t="s">
        <v>4</v>
      </c>
      <c r="E498" s="6" t="s">
        <v>4</v>
      </c>
      <c r="F498" s="6" t="b">
        <f t="shared" si="14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f t="shared" si="15"/>
        <v>0</v>
      </c>
    </row>
    <row r="499" spans="1:36">
      <c r="A499">
        <v>498</v>
      </c>
      <c r="B499">
        <v>472</v>
      </c>
      <c r="C499">
        <v>473</v>
      </c>
      <c r="D499" t="s">
        <v>4</v>
      </c>
      <c r="E499" s="6" t="s">
        <v>4</v>
      </c>
      <c r="F499" s="6" t="b">
        <f t="shared" si="14"/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f t="shared" si="15"/>
        <v>0</v>
      </c>
    </row>
    <row r="500" spans="1:36">
      <c r="A500">
        <v>499</v>
      </c>
      <c r="B500">
        <v>473</v>
      </c>
      <c r="C500">
        <v>474</v>
      </c>
      <c r="D500" t="s">
        <v>5</v>
      </c>
      <c r="E500" s="6" t="s">
        <v>4</v>
      </c>
      <c r="F500" s="6" t="b">
        <f t="shared" si="14"/>
        <v>0</v>
      </c>
      <c r="G500" t="s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0.115243874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0.99686716799999997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f t="shared" si="15"/>
        <v>1</v>
      </c>
    </row>
    <row r="501" spans="1:36">
      <c r="A501">
        <v>500</v>
      </c>
      <c r="B501">
        <v>474</v>
      </c>
      <c r="C501">
        <v>475</v>
      </c>
      <c r="D501" t="s">
        <v>43</v>
      </c>
      <c r="E501" s="6" t="s">
        <v>5</v>
      </c>
      <c r="F501" s="6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f t="shared" si="15"/>
        <v>0</v>
      </c>
    </row>
    <row r="502" spans="1:36">
      <c r="A502">
        <v>501</v>
      </c>
      <c r="B502">
        <v>475</v>
      </c>
      <c r="C502">
        <v>476</v>
      </c>
      <c r="D502" t="s">
        <v>10</v>
      </c>
      <c r="E502" s="6" t="s">
        <v>43</v>
      </c>
      <c r="F502" s="6" t="b">
        <f t="shared" si="14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f t="shared" si="15"/>
        <v>0</v>
      </c>
    </row>
    <row r="503" spans="1:36">
      <c r="A503">
        <v>502</v>
      </c>
      <c r="B503">
        <v>476</v>
      </c>
      <c r="C503">
        <v>477</v>
      </c>
      <c r="D503" t="s">
        <v>5</v>
      </c>
      <c r="E503" s="6" t="s">
        <v>10</v>
      </c>
      <c r="F503" s="6" t="b">
        <f t="shared" si="14"/>
        <v>1</v>
      </c>
      <c r="G503" t="s">
        <v>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0.237563451776649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f t="shared" si="15"/>
        <v>0</v>
      </c>
    </row>
    <row r="504" spans="1:36">
      <c r="A504">
        <v>503</v>
      </c>
      <c r="B504">
        <v>476</v>
      </c>
      <c r="C504">
        <v>477</v>
      </c>
      <c r="D504" t="s">
        <v>5</v>
      </c>
      <c r="E504" s="6" t="s">
        <v>5</v>
      </c>
      <c r="F504" s="6" t="b">
        <f t="shared" si="14"/>
        <v>0</v>
      </c>
      <c r="G504" t="s">
        <v>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0.68690033299999997</v>
      </c>
      <c r="AF504">
        <v>0</v>
      </c>
      <c r="AG504">
        <v>0</v>
      </c>
      <c r="AH504">
        <v>0</v>
      </c>
      <c r="AI504">
        <v>0</v>
      </c>
      <c r="AJ504">
        <f t="shared" si="15"/>
        <v>1</v>
      </c>
    </row>
    <row r="505" spans="1:36">
      <c r="A505">
        <v>504</v>
      </c>
      <c r="B505">
        <v>476</v>
      </c>
      <c r="C505">
        <v>477</v>
      </c>
      <c r="D505" t="s">
        <v>5</v>
      </c>
      <c r="E505" s="6" t="s">
        <v>5</v>
      </c>
      <c r="F505" s="6" t="b">
        <f t="shared" si="14"/>
        <v>0</v>
      </c>
      <c r="G505" t="s">
        <v>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0.91051709699999905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0.981790591805766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f t="shared" si="15"/>
        <v>2</v>
      </c>
    </row>
    <row r="506" spans="1:36">
      <c r="A506">
        <v>505</v>
      </c>
      <c r="B506">
        <v>477</v>
      </c>
      <c r="C506">
        <v>478</v>
      </c>
      <c r="D506" t="s">
        <v>3</v>
      </c>
      <c r="E506" s="6" t="s">
        <v>5</v>
      </c>
      <c r="F506" s="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f t="shared" si="15"/>
        <v>0</v>
      </c>
    </row>
    <row r="507" spans="1:36">
      <c r="A507">
        <v>506</v>
      </c>
      <c r="B507">
        <v>478</v>
      </c>
      <c r="C507">
        <v>479</v>
      </c>
      <c r="D507" t="s">
        <v>69</v>
      </c>
      <c r="E507" s="6" t="s">
        <v>3</v>
      </c>
      <c r="F507" s="6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f t="shared" si="15"/>
        <v>0</v>
      </c>
    </row>
    <row r="508" spans="1:36">
      <c r="A508">
        <v>507</v>
      </c>
      <c r="B508">
        <v>479</v>
      </c>
      <c r="C508">
        <v>480</v>
      </c>
      <c r="D508" t="s">
        <v>10</v>
      </c>
      <c r="E508" s="6" t="s">
        <v>69</v>
      </c>
      <c r="F508" s="6" t="b">
        <f t="shared" si="14"/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f t="shared" si="15"/>
        <v>0</v>
      </c>
    </row>
    <row r="509" spans="1:36">
      <c r="A509">
        <v>508</v>
      </c>
      <c r="B509">
        <v>480</v>
      </c>
      <c r="C509">
        <v>481</v>
      </c>
      <c r="D509" t="s">
        <v>7</v>
      </c>
      <c r="E509" s="6" t="s">
        <v>10</v>
      </c>
      <c r="F509" s="6" t="b">
        <f t="shared" si="14"/>
        <v>0</v>
      </c>
      <c r="G509" t="s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0.50243483242623799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f t="shared" si="15"/>
        <v>1</v>
      </c>
    </row>
    <row r="510" spans="1:36">
      <c r="A510">
        <v>509</v>
      </c>
      <c r="B510">
        <v>481</v>
      </c>
      <c r="C510">
        <v>482</v>
      </c>
      <c r="D510" t="s">
        <v>6</v>
      </c>
      <c r="E510" s="6" t="s">
        <v>7</v>
      </c>
      <c r="F510" s="6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f t="shared" si="15"/>
        <v>0</v>
      </c>
    </row>
    <row r="511" spans="1:36">
      <c r="A511">
        <v>510</v>
      </c>
      <c r="B511">
        <v>482</v>
      </c>
      <c r="C511">
        <v>483</v>
      </c>
      <c r="D511" t="s">
        <v>42</v>
      </c>
      <c r="E511" s="6" t="s">
        <v>6</v>
      </c>
      <c r="F511" s="6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f t="shared" si="15"/>
        <v>0</v>
      </c>
    </row>
    <row r="512" spans="1:36">
      <c r="A512">
        <v>511</v>
      </c>
      <c r="B512">
        <v>483</v>
      </c>
      <c r="C512">
        <v>484</v>
      </c>
      <c r="D512" t="s">
        <v>68</v>
      </c>
      <c r="E512" s="6" t="s">
        <v>42</v>
      </c>
      <c r="F512" s="6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f t="shared" si="15"/>
        <v>0</v>
      </c>
    </row>
    <row r="513" spans="1:36">
      <c r="A513">
        <v>512</v>
      </c>
      <c r="B513">
        <v>484</v>
      </c>
      <c r="C513">
        <v>485</v>
      </c>
      <c r="D513" t="s">
        <v>8</v>
      </c>
      <c r="E513" s="6" t="s">
        <v>68</v>
      </c>
      <c r="F513" s="6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f t="shared" si="15"/>
        <v>0</v>
      </c>
    </row>
    <row r="514" spans="1:36">
      <c r="A514">
        <v>513</v>
      </c>
      <c r="B514">
        <v>485</v>
      </c>
      <c r="C514">
        <v>486</v>
      </c>
      <c r="D514" t="s">
        <v>68</v>
      </c>
      <c r="E514" s="6" t="s">
        <v>8</v>
      </c>
      <c r="F514" s="6" t="b">
        <f t="shared" ref="F514:F577" si="16">D514=G514</f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f t="shared" si="15"/>
        <v>0</v>
      </c>
    </row>
    <row r="515" spans="1:36">
      <c r="A515">
        <v>514</v>
      </c>
      <c r="B515">
        <v>486</v>
      </c>
      <c r="C515">
        <v>487</v>
      </c>
      <c r="D515" t="s">
        <v>8</v>
      </c>
      <c r="E515" s="6" t="s">
        <v>68</v>
      </c>
      <c r="F515" s="6" t="b">
        <f t="shared" si="16"/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f t="shared" ref="AJ515:AJ578" si="17">COUNTIF(H515:AI515,"&gt;0.25")</f>
        <v>0</v>
      </c>
    </row>
    <row r="516" spans="1:36">
      <c r="A516">
        <v>515</v>
      </c>
      <c r="B516">
        <v>487</v>
      </c>
      <c r="C516">
        <v>488</v>
      </c>
      <c r="D516" t="s">
        <v>47</v>
      </c>
      <c r="E516" s="6" t="s">
        <v>8</v>
      </c>
      <c r="F516" s="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f t="shared" si="17"/>
        <v>0</v>
      </c>
    </row>
    <row r="517" spans="1:36">
      <c r="A517">
        <v>516</v>
      </c>
      <c r="B517">
        <v>488</v>
      </c>
      <c r="C517">
        <v>489</v>
      </c>
      <c r="D517" t="s">
        <v>47</v>
      </c>
      <c r="E517" s="6" t="s">
        <v>47</v>
      </c>
      <c r="F517" s="6" t="b">
        <f t="shared" si="16"/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f t="shared" si="17"/>
        <v>0</v>
      </c>
    </row>
    <row r="518" spans="1:36">
      <c r="A518">
        <v>517</v>
      </c>
      <c r="B518">
        <v>489</v>
      </c>
      <c r="C518">
        <v>490</v>
      </c>
      <c r="D518" t="s">
        <v>44</v>
      </c>
      <c r="E518" s="6" t="s">
        <v>47</v>
      </c>
      <c r="F518" s="6" t="b">
        <f t="shared" si="16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f t="shared" si="17"/>
        <v>0</v>
      </c>
    </row>
    <row r="519" spans="1:36">
      <c r="A519">
        <v>518</v>
      </c>
      <c r="B519">
        <v>490</v>
      </c>
      <c r="C519">
        <v>491</v>
      </c>
      <c r="D519" t="s">
        <v>46</v>
      </c>
      <c r="E519" s="6" t="s">
        <v>8</v>
      </c>
      <c r="F519" s="6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f t="shared" si="17"/>
        <v>0</v>
      </c>
    </row>
    <row r="520" spans="1:36">
      <c r="A520">
        <v>519</v>
      </c>
      <c r="B520">
        <v>491</v>
      </c>
      <c r="C520">
        <v>492</v>
      </c>
      <c r="D520" t="s">
        <v>6</v>
      </c>
      <c r="E520" s="6" t="s">
        <v>46</v>
      </c>
      <c r="F520" s="6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f t="shared" si="17"/>
        <v>0</v>
      </c>
    </row>
    <row r="521" spans="1:36">
      <c r="A521">
        <v>520</v>
      </c>
      <c r="B521">
        <v>492</v>
      </c>
      <c r="C521">
        <v>493</v>
      </c>
      <c r="D521" t="s">
        <v>45</v>
      </c>
      <c r="E521" s="6" t="s">
        <v>6</v>
      </c>
      <c r="F521" s="6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f t="shared" si="17"/>
        <v>0</v>
      </c>
    </row>
    <row r="522" spans="1:36">
      <c r="A522">
        <v>521</v>
      </c>
      <c r="B522">
        <v>493</v>
      </c>
      <c r="C522">
        <v>494</v>
      </c>
      <c r="D522" t="s">
        <v>42</v>
      </c>
      <c r="E522" s="6" t="s">
        <v>45</v>
      </c>
      <c r="F522" s="6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f t="shared" si="17"/>
        <v>0</v>
      </c>
    </row>
    <row r="523" spans="1:36">
      <c r="A523">
        <v>522</v>
      </c>
      <c r="B523">
        <v>494</v>
      </c>
      <c r="C523">
        <v>495</v>
      </c>
      <c r="D523" t="s">
        <v>4</v>
      </c>
      <c r="E523" s="6" t="s">
        <v>42</v>
      </c>
      <c r="F523" s="6" t="b">
        <f t="shared" si="16"/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f t="shared" si="17"/>
        <v>0</v>
      </c>
    </row>
    <row r="524" spans="1:36">
      <c r="A524">
        <v>523</v>
      </c>
      <c r="B524">
        <v>495</v>
      </c>
      <c r="C524">
        <v>496</v>
      </c>
      <c r="D524" t="s">
        <v>46</v>
      </c>
      <c r="E524" s="6" t="s">
        <v>4</v>
      </c>
      <c r="F524" s="6" t="b">
        <f t="shared" si="16"/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f t="shared" si="17"/>
        <v>0</v>
      </c>
    </row>
    <row r="525" spans="1:36">
      <c r="A525">
        <v>524</v>
      </c>
      <c r="B525">
        <v>496</v>
      </c>
      <c r="C525">
        <v>497</v>
      </c>
      <c r="D525" t="s">
        <v>1</v>
      </c>
      <c r="E525" s="6" t="s">
        <v>47</v>
      </c>
      <c r="F525" s="6" t="b">
        <f t="shared" si="16"/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f t="shared" si="17"/>
        <v>0</v>
      </c>
    </row>
    <row r="526" spans="1:36">
      <c r="A526">
        <v>525</v>
      </c>
      <c r="B526">
        <v>497</v>
      </c>
      <c r="C526">
        <v>498</v>
      </c>
      <c r="D526" t="s">
        <v>45</v>
      </c>
      <c r="E526" s="6" t="s">
        <v>1</v>
      </c>
      <c r="F526" s="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f t="shared" si="17"/>
        <v>0</v>
      </c>
    </row>
    <row r="527" spans="1:36">
      <c r="A527">
        <v>526</v>
      </c>
      <c r="B527">
        <v>498</v>
      </c>
      <c r="C527">
        <v>499</v>
      </c>
      <c r="D527" t="s">
        <v>2</v>
      </c>
      <c r="E527" s="6" t="s">
        <v>45</v>
      </c>
      <c r="F527" s="6" t="b">
        <f t="shared" si="16"/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f t="shared" si="17"/>
        <v>0</v>
      </c>
    </row>
    <row r="528" spans="1:36">
      <c r="A528">
        <v>527</v>
      </c>
      <c r="B528">
        <v>499</v>
      </c>
      <c r="C528">
        <v>500</v>
      </c>
      <c r="D528" t="s">
        <v>10</v>
      </c>
      <c r="E528" s="6" t="s">
        <v>2</v>
      </c>
      <c r="F528" s="6" t="b">
        <f t="shared" si="16"/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f t="shared" si="17"/>
        <v>0</v>
      </c>
    </row>
    <row r="529" spans="1:36">
      <c r="A529">
        <v>528</v>
      </c>
      <c r="B529">
        <v>500</v>
      </c>
      <c r="C529">
        <v>501</v>
      </c>
      <c r="D529" t="s">
        <v>1</v>
      </c>
      <c r="E529" s="6" t="s">
        <v>8</v>
      </c>
      <c r="F529" s="6" t="b">
        <f t="shared" si="16"/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f t="shared" si="17"/>
        <v>0</v>
      </c>
    </row>
    <row r="530" spans="1:36">
      <c r="A530">
        <v>529</v>
      </c>
      <c r="B530">
        <v>501</v>
      </c>
      <c r="C530">
        <v>502</v>
      </c>
      <c r="D530" t="s">
        <v>8</v>
      </c>
      <c r="E530" s="6" t="s">
        <v>1</v>
      </c>
      <c r="F530" s="6" t="b">
        <f t="shared" si="16"/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f t="shared" si="17"/>
        <v>0</v>
      </c>
    </row>
    <row r="531" spans="1:36">
      <c r="A531">
        <v>530</v>
      </c>
      <c r="B531">
        <v>502</v>
      </c>
      <c r="C531">
        <v>503</v>
      </c>
      <c r="D531" t="s">
        <v>10</v>
      </c>
      <c r="E531" s="6" t="s">
        <v>8</v>
      </c>
      <c r="F531" s="6" t="b">
        <f t="shared" si="16"/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f t="shared" si="17"/>
        <v>0</v>
      </c>
    </row>
    <row r="532" spans="1:36">
      <c r="A532">
        <v>531</v>
      </c>
      <c r="B532">
        <v>503</v>
      </c>
      <c r="C532">
        <v>504</v>
      </c>
      <c r="D532" t="s">
        <v>10</v>
      </c>
      <c r="E532" s="6" t="s">
        <v>10</v>
      </c>
      <c r="F532" s="6" t="b">
        <f t="shared" si="16"/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f t="shared" si="17"/>
        <v>0</v>
      </c>
    </row>
    <row r="533" spans="1:36">
      <c r="A533">
        <v>532</v>
      </c>
      <c r="B533">
        <v>504</v>
      </c>
      <c r="C533">
        <v>505</v>
      </c>
      <c r="D533" t="s">
        <v>1</v>
      </c>
      <c r="E533" s="6" t="s">
        <v>10</v>
      </c>
      <c r="F533" s="6" t="b">
        <f t="shared" si="16"/>
        <v>0</v>
      </c>
      <c r="G533" t="s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0.12844465203176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f t="shared" si="17"/>
        <v>0</v>
      </c>
    </row>
    <row r="534" spans="1:36">
      <c r="A534">
        <v>533</v>
      </c>
      <c r="B534">
        <v>505</v>
      </c>
      <c r="C534">
        <v>506</v>
      </c>
      <c r="D534" t="s">
        <v>47</v>
      </c>
      <c r="E534" s="6" t="s">
        <v>47</v>
      </c>
      <c r="F534" s="6" t="b">
        <f t="shared" si="16"/>
        <v>0</v>
      </c>
      <c r="G534" t="s">
        <v>43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0.99425837320574095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f t="shared" si="17"/>
        <v>1</v>
      </c>
    </row>
    <row r="535" spans="1:36">
      <c r="A535">
        <v>534</v>
      </c>
      <c r="B535">
        <v>506</v>
      </c>
      <c r="C535">
        <v>507</v>
      </c>
      <c r="D535" t="s">
        <v>44</v>
      </c>
      <c r="E535" s="6" t="s">
        <v>47</v>
      </c>
      <c r="F535" s="6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f t="shared" si="17"/>
        <v>0</v>
      </c>
    </row>
    <row r="536" spans="1:36">
      <c r="A536">
        <v>535</v>
      </c>
      <c r="B536">
        <v>507</v>
      </c>
      <c r="C536">
        <v>508</v>
      </c>
      <c r="D536" t="s">
        <v>10</v>
      </c>
      <c r="E536" s="6" t="s">
        <v>44</v>
      </c>
      <c r="F536" s="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f t="shared" si="17"/>
        <v>0</v>
      </c>
    </row>
    <row r="537" spans="1:36">
      <c r="A537">
        <v>536</v>
      </c>
      <c r="B537">
        <v>508</v>
      </c>
      <c r="C537">
        <v>509</v>
      </c>
      <c r="D537" t="s">
        <v>6</v>
      </c>
      <c r="E537" s="6" t="s">
        <v>10</v>
      </c>
      <c r="F537" s="6" t="b">
        <f t="shared" si="16"/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f t="shared" si="17"/>
        <v>0</v>
      </c>
    </row>
    <row r="538" spans="1:36">
      <c r="A538">
        <v>537</v>
      </c>
      <c r="B538">
        <v>509</v>
      </c>
      <c r="C538">
        <v>510</v>
      </c>
      <c r="D538" t="s">
        <v>8</v>
      </c>
      <c r="E538" s="6" t="s">
        <v>6</v>
      </c>
      <c r="F538" s="6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f t="shared" si="17"/>
        <v>0</v>
      </c>
    </row>
    <row r="539" spans="1:36">
      <c r="A539">
        <v>538</v>
      </c>
      <c r="B539">
        <v>510</v>
      </c>
      <c r="C539">
        <v>511</v>
      </c>
      <c r="D539" t="s">
        <v>10</v>
      </c>
      <c r="E539" s="6" t="s">
        <v>8</v>
      </c>
      <c r="F539" s="6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f t="shared" si="17"/>
        <v>0</v>
      </c>
    </row>
    <row r="540" spans="1:36">
      <c r="A540">
        <v>539</v>
      </c>
      <c r="B540">
        <v>511</v>
      </c>
      <c r="C540">
        <v>512</v>
      </c>
      <c r="D540" t="s">
        <v>1</v>
      </c>
      <c r="E540" s="6" t="s">
        <v>10</v>
      </c>
      <c r="F540" s="6" t="b">
        <f t="shared" si="16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f t="shared" si="17"/>
        <v>0</v>
      </c>
    </row>
    <row r="541" spans="1:36">
      <c r="A541">
        <v>540</v>
      </c>
      <c r="B541">
        <v>512</v>
      </c>
      <c r="C541">
        <v>513</v>
      </c>
      <c r="D541" t="s">
        <v>47</v>
      </c>
      <c r="E541" s="6" t="s">
        <v>1</v>
      </c>
      <c r="F541" s="6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f t="shared" si="17"/>
        <v>0</v>
      </c>
    </row>
    <row r="542" spans="1:36">
      <c r="A542">
        <v>541</v>
      </c>
      <c r="B542">
        <v>513</v>
      </c>
      <c r="C542">
        <v>514</v>
      </c>
      <c r="D542" t="s">
        <v>4</v>
      </c>
      <c r="E542" s="6" t="s">
        <v>47</v>
      </c>
      <c r="F542" s="6" t="b">
        <f t="shared" si="16"/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f t="shared" si="17"/>
        <v>0</v>
      </c>
    </row>
    <row r="543" spans="1:36">
      <c r="A543">
        <v>542</v>
      </c>
      <c r="B543">
        <v>514</v>
      </c>
      <c r="C543">
        <v>515</v>
      </c>
      <c r="D543" t="s">
        <v>46</v>
      </c>
      <c r="E543" s="6" t="s">
        <v>4</v>
      </c>
      <c r="F543" s="6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f t="shared" si="17"/>
        <v>0</v>
      </c>
    </row>
    <row r="544" spans="1:36">
      <c r="A544">
        <v>543</v>
      </c>
      <c r="B544">
        <v>515</v>
      </c>
      <c r="C544">
        <v>516</v>
      </c>
      <c r="D544" t="s">
        <v>4</v>
      </c>
      <c r="E544" s="6" t="s">
        <v>46</v>
      </c>
      <c r="F544" s="6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f t="shared" si="17"/>
        <v>0</v>
      </c>
    </row>
    <row r="545" spans="1:36">
      <c r="A545">
        <v>544</v>
      </c>
      <c r="B545">
        <v>516</v>
      </c>
      <c r="C545">
        <v>517</v>
      </c>
      <c r="D545" t="s">
        <v>1</v>
      </c>
      <c r="E545" s="6" t="s">
        <v>4</v>
      </c>
      <c r="F545" s="6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f t="shared" si="17"/>
        <v>0</v>
      </c>
    </row>
    <row r="546" spans="1:36">
      <c r="A546">
        <v>545</v>
      </c>
      <c r="B546">
        <v>517</v>
      </c>
      <c r="C546">
        <v>518</v>
      </c>
      <c r="D546" t="s">
        <v>42</v>
      </c>
      <c r="E546" s="6" t="s">
        <v>1</v>
      </c>
      <c r="F546" s="6" t="b">
        <f t="shared" si="16"/>
        <v>1</v>
      </c>
      <c r="G546" t="s">
        <v>42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0.113698342773232</v>
      </c>
      <c r="AG546">
        <v>0</v>
      </c>
      <c r="AH546">
        <v>0</v>
      </c>
      <c r="AI546">
        <v>0</v>
      </c>
      <c r="AJ546">
        <f t="shared" si="17"/>
        <v>0</v>
      </c>
    </row>
    <row r="547" spans="1:36">
      <c r="A547">
        <v>546</v>
      </c>
      <c r="B547">
        <v>518</v>
      </c>
      <c r="C547">
        <v>519</v>
      </c>
      <c r="D547" t="s">
        <v>48</v>
      </c>
      <c r="E547" s="6" t="s">
        <v>42</v>
      </c>
      <c r="F547" s="6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f t="shared" si="17"/>
        <v>0</v>
      </c>
    </row>
    <row r="548" spans="1:36">
      <c r="A548">
        <v>547</v>
      </c>
      <c r="B548">
        <v>519</v>
      </c>
      <c r="C548">
        <v>520</v>
      </c>
      <c r="D548" t="s">
        <v>42</v>
      </c>
      <c r="E548" s="6" t="s">
        <v>48</v>
      </c>
      <c r="F548" s="6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f t="shared" si="17"/>
        <v>0</v>
      </c>
    </row>
    <row r="549" spans="1:36">
      <c r="A549">
        <v>548</v>
      </c>
      <c r="B549">
        <v>520</v>
      </c>
      <c r="C549">
        <v>521</v>
      </c>
      <c r="D549" t="s">
        <v>4</v>
      </c>
      <c r="E549" s="6" t="s">
        <v>42</v>
      </c>
      <c r="F549" s="6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f t="shared" si="17"/>
        <v>0</v>
      </c>
    </row>
    <row r="550" spans="1:36">
      <c r="A550">
        <v>549</v>
      </c>
      <c r="B550">
        <v>521</v>
      </c>
      <c r="C550">
        <v>522</v>
      </c>
      <c r="D550" t="s">
        <v>48</v>
      </c>
      <c r="E550" s="6" t="s">
        <v>4</v>
      </c>
      <c r="F550" s="6" t="b">
        <f t="shared" si="16"/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f t="shared" si="17"/>
        <v>0</v>
      </c>
    </row>
    <row r="551" spans="1:36">
      <c r="A551">
        <v>550</v>
      </c>
      <c r="B551">
        <v>522</v>
      </c>
      <c r="C551">
        <v>523</v>
      </c>
      <c r="D551" t="s">
        <v>42</v>
      </c>
      <c r="E551" s="6" t="s">
        <v>48</v>
      </c>
      <c r="F551" s="6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f t="shared" si="17"/>
        <v>0</v>
      </c>
    </row>
    <row r="552" spans="1:36">
      <c r="A552">
        <v>551</v>
      </c>
      <c r="B552">
        <v>523</v>
      </c>
      <c r="C552">
        <v>524</v>
      </c>
      <c r="D552" t="s">
        <v>4</v>
      </c>
      <c r="E552" s="6" t="s">
        <v>42</v>
      </c>
      <c r="F552" s="6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f t="shared" si="17"/>
        <v>0</v>
      </c>
    </row>
    <row r="553" spans="1:36">
      <c r="A553">
        <v>552</v>
      </c>
      <c r="B553">
        <v>524</v>
      </c>
      <c r="C553">
        <v>525</v>
      </c>
      <c r="D553" t="s">
        <v>1</v>
      </c>
      <c r="E553" s="6" t="s">
        <v>4</v>
      </c>
      <c r="F553" s="6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f t="shared" si="17"/>
        <v>0</v>
      </c>
    </row>
    <row r="554" spans="1:36">
      <c r="A554">
        <v>553</v>
      </c>
      <c r="B554">
        <v>525</v>
      </c>
      <c r="C554">
        <v>526</v>
      </c>
      <c r="D554" t="s">
        <v>1</v>
      </c>
      <c r="E554" s="6" t="s">
        <v>1</v>
      </c>
      <c r="F554" s="6" t="b">
        <f t="shared" si="16"/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f t="shared" si="17"/>
        <v>0</v>
      </c>
    </row>
    <row r="555" spans="1:36">
      <c r="A555">
        <v>554</v>
      </c>
      <c r="B555">
        <v>526</v>
      </c>
      <c r="C555">
        <v>527</v>
      </c>
      <c r="D555" t="s">
        <v>4</v>
      </c>
      <c r="E555" s="6" t="s">
        <v>1</v>
      </c>
      <c r="F555" s="6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f t="shared" si="17"/>
        <v>0</v>
      </c>
    </row>
    <row r="556" spans="1:36">
      <c r="A556">
        <v>555</v>
      </c>
      <c r="B556">
        <v>527</v>
      </c>
      <c r="C556">
        <v>528</v>
      </c>
      <c r="D556" t="s">
        <v>7</v>
      </c>
      <c r="E556" s="6" t="s">
        <v>4</v>
      </c>
      <c r="F556" s="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f t="shared" si="17"/>
        <v>0</v>
      </c>
    </row>
    <row r="557" spans="1:36">
      <c r="A557">
        <v>556</v>
      </c>
      <c r="B557">
        <v>528</v>
      </c>
      <c r="C557">
        <v>529</v>
      </c>
      <c r="D557" t="s">
        <v>2</v>
      </c>
      <c r="E557" s="6" t="s">
        <v>7</v>
      </c>
      <c r="F557" s="6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f t="shared" si="17"/>
        <v>0</v>
      </c>
    </row>
    <row r="558" spans="1:36">
      <c r="A558">
        <v>557</v>
      </c>
      <c r="B558">
        <v>529</v>
      </c>
      <c r="C558">
        <v>530</v>
      </c>
      <c r="D558" t="s">
        <v>43</v>
      </c>
      <c r="E558" s="6" t="s">
        <v>2</v>
      </c>
      <c r="F558" s="6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f t="shared" si="17"/>
        <v>0</v>
      </c>
    </row>
    <row r="559" spans="1:36">
      <c r="A559">
        <v>558</v>
      </c>
      <c r="B559">
        <v>530</v>
      </c>
      <c r="C559">
        <v>531</v>
      </c>
      <c r="D559" t="s">
        <v>4</v>
      </c>
      <c r="E559" s="6" t="s">
        <v>43</v>
      </c>
      <c r="F559" s="6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f t="shared" si="17"/>
        <v>0</v>
      </c>
    </row>
    <row r="560" spans="1:36">
      <c r="A560">
        <v>559</v>
      </c>
      <c r="B560">
        <v>531</v>
      </c>
      <c r="C560">
        <v>532</v>
      </c>
      <c r="D560" t="s">
        <v>1</v>
      </c>
      <c r="E560" s="6" t="s">
        <v>4</v>
      </c>
      <c r="F560" s="6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f t="shared" si="17"/>
        <v>0</v>
      </c>
    </row>
    <row r="561" spans="1:36">
      <c r="A561">
        <v>560</v>
      </c>
      <c r="B561">
        <v>532</v>
      </c>
      <c r="C561">
        <v>533</v>
      </c>
      <c r="D561" t="s">
        <v>1</v>
      </c>
      <c r="E561" s="6" t="s">
        <v>1</v>
      </c>
      <c r="F561" s="6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f t="shared" si="17"/>
        <v>0</v>
      </c>
    </row>
    <row r="562" spans="1:36">
      <c r="A562">
        <v>561</v>
      </c>
      <c r="B562">
        <v>533</v>
      </c>
      <c r="C562">
        <v>534</v>
      </c>
      <c r="D562" t="s">
        <v>7</v>
      </c>
      <c r="E562" s="6" t="s">
        <v>1</v>
      </c>
      <c r="F562" s="6" t="b">
        <f t="shared" si="16"/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f t="shared" si="17"/>
        <v>0</v>
      </c>
    </row>
    <row r="563" spans="1:36">
      <c r="A563">
        <v>562</v>
      </c>
      <c r="B563">
        <v>534</v>
      </c>
      <c r="C563">
        <v>535</v>
      </c>
      <c r="D563" t="s">
        <v>47</v>
      </c>
      <c r="E563" s="6" t="s">
        <v>7</v>
      </c>
      <c r="F563" s="6" t="b">
        <f t="shared" si="16"/>
        <v>0</v>
      </c>
      <c r="G563" t="s">
        <v>43</v>
      </c>
      <c r="H563">
        <v>0</v>
      </c>
      <c r="I563">
        <v>0</v>
      </c>
      <c r="J563">
        <v>0.103503885060841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f t="shared" si="17"/>
        <v>0</v>
      </c>
    </row>
    <row r="564" spans="1:36">
      <c r="A564">
        <v>563</v>
      </c>
      <c r="B564">
        <v>534</v>
      </c>
      <c r="C564">
        <v>535</v>
      </c>
      <c r="D564" t="s">
        <v>47</v>
      </c>
      <c r="E564" s="6" t="s">
        <v>43</v>
      </c>
      <c r="F564" s="6" t="b">
        <f t="shared" si="16"/>
        <v>1</v>
      </c>
      <c r="G564" t="s">
        <v>47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0.10913930789707101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f t="shared" si="17"/>
        <v>0</v>
      </c>
    </row>
    <row r="565" spans="1:36">
      <c r="A565">
        <v>564</v>
      </c>
      <c r="B565">
        <v>535</v>
      </c>
      <c r="C565">
        <v>536</v>
      </c>
      <c r="D565" t="s">
        <v>2</v>
      </c>
      <c r="E565" s="6" t="s">
        <v>43</v>
      </c>
      <c r="F565" s="6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f t="shared" si="17"/>
        <v>0</v>
      </c>
    </row>
    <row r="566" spans="1:36">
      <c r="A566">
        <v>565</v>
      </c>
      <c r="B566">
        <v>536</v>
      </c>
      <c r="C566">
        <v>537</v>
      </c>
      <c r="D566" t="s">
        <v>42</v>
      </c>
      <c r="E566" s="6" t="s">
        <v>2</v>
      </c>
      <c r="F566" s="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f t="shared" si="17"/>
        <v>0</v>
      </c>
    </row>
    <row r="567" spans="1:36">
      <c r="A567">
        <v>566</v>
      </c>
      <c r="B567">
        <v>537</v>
      </c>
      <c r="C567">
        <v>538</v>
      </c>
      <c r="D567" t="s">
        <v>2</v>
      </c>
      <c r="E567" s="6" t="s">
        <v>42</v>
      </c>
      <c r="F567" s="6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f t="shared" si="17"/>
        <v>0</v>
      </c>
    </row>
    <row r="568" spans="1:36">
      <c r="A568">
        <v>567</v>
      </c>
      <c r="B568">
        <v>538</v>
      </c>
      <c r="C568">
        <v>539</v>
      </c>
      <c r="D568" t="s">
        <v>47</v>
      </c>
      <c r="E568" s="6" t="s">
        <v>2</v>
      </c>
      <c r="F568" s="6" t="b">
        <f t="shared" si="16"/>
        <v>0</v>
      </c>
      <c r="G568" t="s">
        <v>46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0.99608958400000003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f t="shared" si="17"/>
        <v>1</v>
      </c>
    </row>
    <row r="569" spans="1:36">
      <c r="A569">
        <v>568</v>
      </c>
      <c r="B569">
        <v>539</v>
      </c>
      <c r="C569">
        <v>540</v>
      </c>
      <c r="D569" t="s">
        <v>44</v>
      </c>
      <c r="E569" s="6" t="s">
        <v>47</v>
      </c>
      <c r="F569" s="6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f t="shared" si="17"/>
        <v>0</v>
      </c>
    </row>
    <row r="570" spans="1:36">
      <c r="A570">
        <v>569</v>
      </c>
      <c r="B570">
        <v>540</v>
      </c>
      <c r="C570">
        <v>541</v>
      </c>
      <c r="D570" t="s">
        <v>1</v>
      </c>
      <c r="E570" s="6" t="s">
        <v>44</v>
      </c>
      <c r="F570" s="6" t="b">
        <f t="shared" si="16"/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f t="shared" si="17"/>
        <v>0</v>
      </c>
    </row>
    <row r="571" spans="1:36">
      <c r="A571">
        <v>570</v>
      </c>
      <c r="B571">
        <v>541</v>
      </c>
      <c r="C571">
        <v>542</v>
      </c>
      <c r="D571" t="s">
        <v>10</v>
      </c>
      <c r="E571" s="6" t="s">
        <v>1</v>
      </c>
      <c r="F571" s="6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f t="shared" si="17"/>
        <v>0</v>
      </c>
    </row>
    <row r="572" spans="1:36">
      <c r="A572">
        <v>571</v>
      </c>
      <c r="B572">
        <v>542</v>
      </c>
      <c r="C572">
        <v>543</v>
      </c>
      <c r="D572" t="s">
        <v>44</v>
      </c>
      <c r="E572" s="6" t="s">
        <v>10</v>
      </c>
      <c r="F572" s="6" t="b">
        <f t="shared" si="16"/>
        <v>1</v>
      </c>
      <c r="G572" t="s">
        <v>44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0.13128729752770599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f t="shared" si="17"/>
        <v>0</v>
      </c>
    </row>
    <row r="573" spans="1:36">
      <c r="A573">
        <v>572</v>
      </c>
      <c r="B573">
        <v>543</v>
      </c>
      <c r="C573">
        <v>544</v>
      </c>
      <c r="D573" t="s">
        <v>42</v>
      </c>
      <c r="E573" s="6" t="s">
        <v>44</v>
      </c>
      <c r="F573" s="6" t="b">
        <f t="shared" si="16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f t="shared" si="17"/>
        <v>0</v>
      </c>
    </row>
    <row r="574" spans="1:36">
      <c r="A574">
        <v>573</v>
      </c>
      <c r="B574">
        <v>544</v>
      </c>
      <c r="C574">
        <v>545</v>
      </c>
      <c r="D574" t="s">
        <v>42</v>
      </c>
      <c r="E574" s="6" t="s">
        <v>42</v>
      </c>
      <c r="F574" s="6" t="b">
        <f t="shared" si="16"/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f t="shared" si="17"/>
        <v>0</v>
      </c>
    </row>
    <row r="575" spans="1:36">
      <c r="A575">
        <v>574</v>
      </c>
      <c r="B575">
        <v>545</v>
      </c>
      <c r="C575">
        <v>546</v>
      </c>
      <c r="D575" t="s">
        <v>7</v>
      </c>
      <c r="E575" s="6" t="s">
        <v>42</v>
      </c>
      <c r="F575" s="6" t="b">
        <f t="shared" si="16"/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f t="shared" si="17"/>
        <v>0</v>
      </c>
    </row>
    <row r="576" spans="1:36">
      <c r="A576">
        <v>575</v>
      </c>
      <c r="B576">
        <v>546</v>
      </c>
      <c r="C576">
        <v>547</v>
      </c>
      <c r="D576" t="s">
        <v>4</v>
      </c>
      <c r="E576" s="6" t="s">
        <v>7</v>
      </c>
      <c r="F576" s="6" t="b">
        <f t="shared" si="16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f t="shared" si="17"/>
        <v>0</v>
      </c>
    </row>
    <row r="577" spans="1:36">
      <c r="A577">
        <v>576</v>
      </c>
      <c r="B577">
        <v>547</v>
      </c>
      <c r="C577">
        <v>548</v>
      </c>
      <c r="D577" t="s">
        <v>46</v>
      </c>
      <c r="E577" s="6" t="s">
        <v>4</v>
      </c>
      <c r="F577" s="6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f t="shared" si="17"/>
        <v>0</v>
      </c>
    </row>
    <row r="578" spans="1:36">
      <c r="A578">
        <v>577</v>
      </c>
      <c r="B578">
        <v>548</v>
      </c>
      <c r="C578">
        <v>549</v>
      </c>
      <c r="D578" t="s">
        <v>47</v>
      </c>
      <c r="E578" s="6" t="s">
        <v>46</v>
      </c>
      <c r="F578" s="6" t="b">
        <f t="shared" ref="F578:F641" si="18">D578=G578</f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f t="shared" si="17"/>
        <v>0</v>
      </c>
    </row>
    <row r="579" spans="1:36">
      <c r="A579">
        <v>578</v>
      </c>
      <c r="B579">
        <v>549</v>
      </c>
      <c r="C579">
        <v>550</v>
      </c>
      <c r="D579" t="s">
        <v>44</v>
      </c>
      <c r="E579" s="6" t="s">
        <v>47</v>
      </c>
      <c r="F579" s="6" t="b">
        <f t="shared" si="18"/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f t="shared" ref="AJ579:AJ642" si="19">COUNTIF(H579:AI579,"&gt;0.25")</f>
        <v>0</v>
      </c>
    </row>
    <row r="580" spans="1:36">
      <c r="A580">
        <v>579</v>
      </c>
      <c r="B580">
        <v>550</v>
      </c>
      <c r="C580">
        <v>551</v>
      </c>
      <c r="D580" t="s">
        <v>44</v>
      </c>
      <c r="E580" s="6" t="s">
        <v>44</v>
      </c>
      <c r="F580" s="6" t="b">
        <f t="shared" si="18"/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f t="shared" si="19"/>
        <v>0</v>
      </c>
    </row>
    <row r="581" spans="1:36">
      <c r="A581">
        <v>580</v>
      </c>
      <c r="B581">
        <v>551</v>
      </c>
      <c r="C581">
        <v>552</v>
      </c>
      <c r="D581" t="s">
        <v>44</v>
      </c>
      <c r="E581" s="6" t="s">
        <v>44</v>
      </c>
      <c r="F581" s="6" t="b">
        <f t="shared" si="18"/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f t="shared" si="19"/>
        <v>0</v>
      </c>
    </row>
    <row r="582" spans="1:36">
      <c r="A582">
        <v>581</v>
      </c>
      <c r="B582">
        <v>552</v>
      </c>
      <c r="C582">
        <v>553</v>
      </c>
      <c r="D582" t="s">
        <v>7</v>
      </c>
      <c r="E582" s="6" t="s">
        <v>44</v>
      </c>
      <c r="F582" s="6" t="b">
        <f t="shared" si="18"/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f t="shared" si="19"/>
        <v>0</v>
      </c>
    </row>
    <row r="583" spans="1:36">
      <c r="A583">
        <v>582</v>
      </c>
      <c r="B583">
        <v>553</v>
      </c>
      <c r="C583">
        <v>554</v>
      </c>
      <c r="D583" t="s">
        <v>3</v>
      </c>
      <c r="E583" s="6" t="s">
        <v>3</v>
      </c>
      <c r="F583" s="6" t="b">
        <f t="shared" si="18"/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f t="shared" si="19"/>
        <v>0</v>
      </c>
    </row>
    <row r="584" spans="1:36">
      <c r="A584">
        <v>583</v>
      </c>
      <c r="B584">
        <v>554</v>
      </c>
      <c r="C584">
        <v>555</v>
      </c>
      <c r="D584" t="s">
        <v>42</v>
      </c>
      <c r="E584" s="6" t="s">
        <v>3</v>
      </c>
      <c r="F584" s="6" t="b">
        <f t="shared" si="18"/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f t="shared" si="19"/>
        <v>0</v>
      </c>
    </row>
    <row r="585" spans="1:36">
      <c r="A585">
        <v>584</v>
      </c>
      <c r="B585">
        <v>555</v>
      </c>
      <c r="C585">
        <v>556</v>
      </c>
      <c r="D585" t="s">
        <v>42</v>
      </c>
      <c r="E585" s="6" t="s">
        <v>42</v>
      </c>
      <c r="F585" s="6" t="b">
        <f t="shared" si="18"/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f t="shared" si="19"/>
        <v>0</v>
      </c>
    </row>
    <row r="586" spans="1:36">
      <c r="A586">
        <v>585</v>
      </c>
      <c r="B586">
        <v>556</v>
      </c>
      <c r="C586">
        <v>557</v>
      </c>
      <c r="D586" t="s">
        <v>10</v>
      </c>
      <c r="E586" s="6" t="s">
        <v>42</v>
      </c>
      <c r="F586" s="6" t="b">
        <f t="shared" si="18"/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f t="shared" si="19"/>
        <v>0</v>
      </c>
    </row>
    <row r="587" spans="1:36">
      <c r="A587">
        <v>586</v>
      </c>
      <c r="B587">
        <v>557</v>
      </c>
      <c r="C587">
        <v>558</v>
      </c>
      <c r="D587" t="s">
        <v>1</v>
      </c>
      <c r="E587" s="6" t="s">
        <v>10</v>
      </c>
      <c r="F587" s="6" t="b">
        <f t="shared" si="18"/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f t="shared" si="19"/>
        <v>0</v>
      </c>
    </row>
    <row r="588" spans="1:36">
      <c r="A588">
        <v>587</v>
      </c>
      <c r="B588">
        <v>558</v>
      </c>
      <c r="C588">
        <v>559</v>
      </c>
      <c r="D588" t="s">
        <v>46</v>
      </c>
      <c r="E588" s="6" t="s">
        <v>1</v>
      </c>
      <c r="F588" s="6" t="b">
        <f t="shared" si="18"/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f t="shared" si="19"/>
        <v>0</v>
      </c>
    </row>
    <row r="589" spans="1:36">
      <c r="A589">
        <v>588</v>
      </c>
      <c r="B589">
        <v>559</v>
      </c>
      <c r="C589">
        <v>560</v>
      </c>
      <c r="D589" t="s">
        <v>6</v>
      </c>
      <c r="E589" s="6" t="s">
        <v>46</v>
      </c>
      <c r="F589" s="6" t="b">
        <f t="shared" si="18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f t="shared" si="19"/>
        <v>0</v>
      </c>
    </row>
    <row r="590" spans="1:36">
      <c r="A590">
        <v>589</v>
      </c>
      <c r="B590">
        <v>560</v>
      </c>
      <c r="C590">
        <v>561</v>
      </c>
      <c r="D590" t="s">
        <v>1</v>
      </c>
      <c r="E590" s="6" t="s">
        <v>6</v>
      </c>
      <c r="F590" s="6" t="b">
        <f t="shared" si="18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f t="shared" si="19"/>
        <v>0</v>
      </c>
    </row>
    <row r="591" spans="1:36">
      <c r="A591">
        <v>590</v>
      </c>
      <c r="B591">
        <v>561</v>
      </c>
      <c r="C591">
        <v>562</v>
      </c>
      <c r="D591" t="s">
        <v>44</v>
      </c>
      <c r="E591" s="6" t="s">
        <v>1</v>
      </c>
      <c r="F591" s="6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f t="shared" si="19"/>
        <v>0</v>
      </c>
    </row>
    <row r="592" spans="1:36">
      <c r="A592">
        <v>591</v>
      </c>
      <c r="B592">
        <v>562</v>
      </c>
      <c r="C592">
        <v>563</v>
      </c>
      <c r="D592" t="s">
        <v>44</v>
      </c>
      <c r="E592" s="6" t="s">
        <v>44</v>
      </c>
      <c r="F592" s="6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f t="shared" si="19"/>
        <v>0</v>
      </c>
    </row>
    <row r="593" spans="1:36">
      <c r="A593">
        <v>592</v>
      </c>
      <c r="B593">
        <v>563</v>
      </c>
      <c r="C593">
        <v>564</v>
      </c>
      <c r="D593" t="s">
        <v>9</v>
      </c>
      <c r="E593" s="6" t="s">
        <v>44</v>
      </c>
      <c r="F593" s="6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f t="shared" si="19"/>
        <v>0</v>
      </c>
    </row>
    <row r="594" spans="1:36">
      <c r="A594">
        <v>593</v>
      </c>
      <c r="B594">
        <v>564</v>
      </c>
      <c r="C594">
        <v>565</v>
      </c>
      <c r="D594" t="s">
        <v>42</v>
      </c>
      <c r="E594" s="6" t="s">
        <v>9</v>
      </c>
      <c r="F594" s="6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f t="shared" si="19"/>
        <v>0</v>
      </c>
    </row>
    <row r="595" spans="1:36">
      <c r="A595">
        <v>594</v>
      </c>
      <c r="B595">
        <v>565</v>
      </c>
      <c r="C595">
        <v>566</v>
      </c>
      <c r="D595" t="s">
        <v>42</v>
      </c>
      <c r="E595" s="6" t="s">
        <v>42</v>
      </c>
      <c r="F595" s="6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f t="shared" si="19"/>
        <v>0</v>
      </c>
    </row>
    <row r="596" spans="1:36">
      <c r="A596">
        <v>595</v>
      </c>
      <c r="B596">
        <v>566</v>
      </c>
      <c r="C596">
        <v>567</v>
      </c>
      <c r="D596" t="s">
        <v>44</v>
      </c>
      <c r="E596" s="6" t="s">
        <v>42</v>
      </c>
      <c r="F596" s="6" t="b">
        <f t="shared" si="18"/>
        <v>0</v>
      </c>
      <c r="G596" t="s">
        <v>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0.13930488899999999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f t="shared" si="19"/>
        <v>0</v>
      </c>
    </row>
    <row r="597" spans="1:36">
      <c r="A597">
        <v>596</v>
      </c>
      <c r="B597">
        <v>567</v>
      </c>
      <c r="C597">
        <v>568</v>
      </c>
      <c r="D597" t="s">
        <v>42</v>
      </c>
      <c r="E597" s="6" t="s">
        <v>44</v>
      </c>
      <c r="F597" s="6" t="b">
        <f t="shared" si="18"/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f t="shared" si="19"/>
        <v>0</v>
      </c>
    </row>
    <row r="598" spans="1:36">
      <c r="A598">
        <v>597</v>
      </c>
      <c r="B598">
        <v>568</v>
      </c>
      <c r="C598">
        <v>569</v>
      </c>
      <c r="D598" t="s">
        <v>2</v>
      </c>
      <c r="E598" s="6" t="s">
        <v>42</v>
      </c>
      <c r="F598" s="6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f t="shared" si="19"/>
        <v>0</v>
      </c>
    </row>
    <row r="599" spans="1:36">
      <c r="A599">
        <v>598</v>
      </c>
      <c r="B599">
        <v>569</v>
      </c>
      <c r="C599">
        <v>570</v>
      </c>
      <c r="D599" t="s">
        <v>47</v>
      </c>
      <c r="E599" s="6" t="s">
        <v>2</v>
      </c>
      <c r="F599" s="6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f t="shared" si="19"/>
        <v>0</v>
      </c>
    </row>
    <row r="600" spans="1:36">
      <c r="A600">
        <v>599</v>
      </c>
      <c r="B600">
        <v>570</v>
      </c>
      <c r="C600">
        <v>571</v>
      </c>
      <c r="D600" t="s">
        <v>69</v>
      </c>
      <c r="E600" s="6" t="s">
        <v>47</v>
      </c>
      <c r="F600" s="6" t="b">
        <f t="shared" si="18"/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f t="shared" si="19"/>
        <v>0</v>
      </c>
    </row>
    <row r="601" spans="1:36">
      <c r="A601">
        <v>600</v>
      </c>
      <c r="B601">
        <v>571</v>
      </c>
      <c r="C601">
        <v>572</v>
      </c>
      <c r="D601" t="s">
        <v>4</v>
      </c>
      <c r="E601" s="6" t="s">
        <v>69</v>
      </c>
      <c r="F601" s="6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f t="shared" si="19"/>
        <v>0</v>
      </c>
    </row>
    <row r="602" spans="1:36">
      <c r="A602">
        <v>601</v>
      </c>
      <c r="B602">
        <v>572</v>
      </c>
      <c r="C602">
        <v>573</v>
      </c>
      <c r="D602" t="s">
        <v>46</v>
      </c>
      <c r="E602" s="6" t="s">
        <v>4</v>
      </c>
      <c r="F602" s="6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f t="shared" si="19"/>
        <v>0</v>
      </c>
    </row>
    <row r="603" spans="1:36">
      <c r="A603">
        <v>602</v>
      </c>
      <c r="B603">
        <v>573</v>
      </c>
      <c r="C603">
        <v>574</v>
      </c>
      <c r="D603" t="s">
        <v>8</v>
      </c>
      <c r="E603" s="6" t="s">
        <v>46</v>
      </c>
      <c r="F603" s="6" t="b">
        <f t="shared" si="18"/>
        <v>1</v>
      </c>
      <c r="G603" t="s">
        <v>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0.202187853640135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f t="shared" si="19"/>
        <v>0</v>
      </c>
    </row>
    <row r="604" spans="1:36">
      <c r="A604">
        <v>603</v>
      </c>
      <c r="B604">
        <v>574</v>
      </c>
      <c r="C604">
        <v>575</v>
      </c>
      <c r="D604" t="s">
        <v>44</v>
      </c>
      <c r="E604" s="6" t="s">
        <v>8</v>
      </c>
      <c r="F604" s="6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f t="shared" si="19"/>
        <v>0</v>
      </c>
    </row>
    <row r="605" spans="1:36">
      <c r="A605">
        <v>604</v>
      </c>
      <c r="B605">
        <v>575</v>
      </c>
      <c r="C605">
        <v>576</v>
      </c>
      <c r="D605" t="s">
        <v>42</v>
      </c>
      <c r="E605" s="6" t="s">
        <v>44</v>
      </c>
      <c r="F605" s="6" t="b">
        <f t="shared" si="18"/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f t="shared" si="19"/>
        <v>0</v>
      </c>
    </row>
    <row r="606" spans="1:36">
      <c r="A606">
        <v>605</v>
      </c>
      <c r="B606">
        <v>576</v>
      </c>
      <c r="C606">
        <v>577</v>
      </c>
      <c r="D606" t="s">
        <v>44</v>
      </c>
      <c r="E606" s="6" t="s">
        <v>42</v>
      </c>
      <c r="F606" s="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f t="shared" si="19"/>
        <v>0</v>
      </c>
    </row>
    <row r="607" spans="1:36">
      <c r="A607">
        <v>606</v>
      </c>
      <c r="B607">
        <v>577</v>
      </c>
      <c r="C607">
        <v>578</v>
      </c>
      <c r="D607" t="s">
        <v>1</v>
      </c>
      <c r="E607" s="6" t="s">
        <v>44</v>
      </c>
      <c r="F607" s="6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f t="shared" si="19"/>
        <v>0</v>
      </c>
    </row>
    <row r="608" spans="1:36">
      <c r="A608">
        <v>607</v>
      </c>
      <c r="B608">
        <v>578</v>
      </c>
      <c r="C608">
        <v>579</v>
      </c>
      <c r="D608" t="s">
        <v>10</v>
      </c>
      <c r="E608" s="6" t="s">
        <v>1</v>
      </c>
      <c r="F608" s="6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f t="shared" si="19"/>
        <v>0</v>
      </c>
    </row>
    <row r="609" spans="1:36">
      <c r="A609">
        <v>608</v>
      </c>
      <c r="B609">
        <v>579</v>
      </c>
      <c r="C609">
        <v>580</v>
      </c>
      <c r="D609" t="s">
        <v>47</v>
      </c>
      <c r="E609" s="6" t="s">
        <v>10</v>
      </c>
      <c r="F609" s="6" t="b">
        <f t="shared" si="18"/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f t="shared" si="19"/>
        <v>0</v>
      </c>
    </row>
    <row r="610" spans="1:36">
      <c r="A610">
        <v>609</v>
      </c>
      <c r="B610">
        <v>580</v>
      </c>
      <c r="C610">
        <v>581</v>
      </c>
      <c r="D610" t="s">
        <v>42</v>
      </c>
      <c r="E610" s="6" t="s">
        <v>46</v>
      </c>
      <c r="F610" s="6" t="b">
        <f t="shared" si="18"/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f t="shared" si="19"/>
        <v>0</v>
      </c>
    </row>
    <row r="611" spans="1:36">
      <c r="A611">
        <v>610</v>
      </c>
      <c r="B611">
        <v>581</v>
      </c>
      <c r="C611">
        <v>582</v>
      </c>
      <c r="D611" t="s">
        <v>1</v>
      </c>
      <c r="E611" s="6" t="s">
        <v>42</v>
      </c>
      <c r="F611" s="6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f t="shared" si="19"/>
        <v>0</v>
      </c>
    </row>
    <row r="612" spans="1:36">
      <c r="A612">
        <v>611</v>
      </c>
      <c r="B612">
        <v>582</v>
      </c>
      <c r="C612">
        <v>583</v>
      </c>
      <c r="D612" t="s">
        <v>43</v>
      </c>
      <c r="E612" s="6" t="s">
        <v>1</v>
      </c>
      <c r="F612" s="6" t="b">
        <f t="shared" si="18"/>
        <v>0</v>
      </c>
      <c r="G612" t="s">
        <v>46</v>
      </c>
      <c r="H612">
        <v>0</v>
      </c>
      <c r="I612">
        <v>0.19271948608136999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0.242384105960264</v>
      </c>
      <c r="T612">
        <v>0</v>
      </c>
      <c r="U612">
        <v>0</v>
      </c>
      <c r="V612">
        <v>0</v>
      </c>
      <c r="W612">
        <v>0.27144818119423397</v>
      </c>
      <c r="X612">
        <v>0.226724404577791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f t="shared" si="19"/>
        <v>1</v>
      </c>
    </row>
    <row r="613" spans="1:36">
      <c r="A613">
        <v>612</v>
      </c>
      <c r="B613">
        <v>583</v>
      </c>
      <c r="C613">
        <v>584</v>
      </c>
      <c r="D613" t="s">
        <v>6</v>
      </c>
      <c r="E613" s="6" t="s">
        <v>47</v>
      </c>
      <c r="F613" s="6" t="b">
        <f t="shared" si="18"/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f t="shared" si="19"/>
        <v>0</v>
      </c>
    </row>
    <row r="614" spans="1:36">
      <c r="A614">
        <v>613</v>
      </c>
      <c r="B614">
        <v>584</v>
      </c>
      <c r="C614">
        <v>585</v>
      </c>
      <c r="D614" t="s">
        <v>7</v>
      </c>
      <c r="E614" s="6" t="s">
        <v>6</v>
      </c>
      <c r="F614" s="6" t="b">
        <f t="shared" si="18"/>
        <v>0</v>
      </c>
      <c r="G614" t="s">
        <v>10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0.21420684578579299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0.187499999</v>
      </c>
      <c r="AJ614">
        <f t="shared" si="19"/>
        <v>0</v>
      </c>
    </row>
    <row r="615" spans="1:36">
      <c r="A615">
        <v>614</v>
      </c>
      <c r="B615">
        <v>585</v>
      </c>
      <c r="C615">
        <v>586</v>
      </c>
      <c r="D615" t="s">
        <v>68</v>
      </c>
      <c r="E615" s="6" t="s">
        <v>10</v>
      </c>
      <c r="F615" s="6" t="b">
        <f t="shared" si="18"/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f t="shared" si="19"/>
        <v>0</v>
      </c>
    </row>
    <row r="616" spans="1:36">
      <c r="A616">
        <v>615</v>
      </c>
      <c r="B616">
        <v>586</v>
      </c>
      <c r="C616">
        <v>587</v>
      </c>
      <c r="D616" t="s">
        <v>42</v>
      </c>
      <c r="E616" s="6" t="s">
        <v>68</v>
      </c>
      <c r="F616" s="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f t="shared" si="19"/>
        <v>0</v>
      </c>
    </row>
    <row r="617" spans="1:36">
      <c r="A617">
        <v>616</v>
      </c>
      <c r="B617">
        <v>587</v>
      </c>
      <c r="C617">
        <v>588</v>
      </c>
      <c r="D617" t="s">
        <v>8</v>
      </c>
      <c r="E617" s="6" t="s">
        <v>42</v>
      </c>
      <c r="F617" s="6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f t="shared" si="19"/>
        <v>0</v>
      </c>
    </row>
    <row r="618" spans="1:36">
      <c r="A618">
        <v>617</v>
      </c>
      <c r="B618">
        <v>588</v>
      </c>
      <c r="C618">
        <v>589</v>
      </c>
      <c r="D618" t="s">
        <v>5</v>
      </c>
      <c r="E618" s="6" t="s">
        <v>8</v>
      </c>
      <c r="F618" s="6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f t="shared" si="19"/>
        <v>0</v>
      </c>
    </row>
    <row r="619" spans="1:36">
      <c r="A619">
        <v>618</v>
      </c>
      <c r="B619">
        <v>589</v>
      </c>
      <c r="C619">
        <v>590</v>
      </c>
      <c r="D619" t="s">
        <v>44</v>
      </c>
      <c r="E619" s="6" t="s">
        <v>5</v>
      </c>
      <c r="F619" s="6" t="b">
        <f t="shared" si="18"/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f t="shared" si="19"/>
        <v>0</v>
      </c>
    </row>
    <row r="620" spans="1:36">
      <c r="A620">
        <v>619</v>
      </c>
      <c r="B620">
        <v>590</v>
      </c>
      <c r="C620">
        <v>591</v>
      </c>
      <c r="D620" t="s">
        <v>44</v>
      </c>
      <c r="E620" s="6" t="s">
        <v>44</v>
      </c>
      <c r="F620" s="6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f t="shared" si="19"/>
        <v>0</v>
      </c>
    </row>
    <row r="621" spans="1:36">
      <c r="A621">
        <v>620</v>
      </c>
      <c r="B621">
        <v>591</v>
      </c>
      <c r="C621">
        <v>592</v>
      </c>
      <c r="D621" t="s">
        <v>42</v>
      </c>
      <c r="E621" s="6" t="s">
        <v>44</v>
      </c>
      <c r="F621" s="6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f t="shared" si="19"/>
        <v>0</v>
      </c>
    </row>
    <row r="622" spans="1:36">
      <c r="A622">
        <v>621</v>
      </c>
      <c r="B622">
        <v>592</v>
      </c>
      <c r="C622">
        <v>593</v>
      </c>
      <c r="D622" t="s">
        <v>42</v>
      </c>
      <c r="E622" s="6" t="s">
        <v>42</v>
      </c>
      <c r="F622" s="6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f t="shared" si="19"/>
        <v>0</v>
      </c>
    </row>
    <row r="623" spans="1:36">
      <c r="A623">
        <v>622</v>
      </c>
      <c r="B623">
        <v>593</v>
      </c>
      <c r="C623">
        <v>594</v>
      </c>
      <c r="D623" t="s">
        <v>4</v>
      </c>
      <c r="E623" s="6" t="s">
        <v>42</v>
      </c>
      <c r="F623" s="6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f t="shared" si="19"/>
        <v>0</v>
      </c>
    </row>
    <row r="624" spans="1:36">
      <c r="A624">
        <v>623</v>
      </c>
      <c r="B624">
        <v>594</v>
      </c>
      <c r="C624">
        <v>595</v>
      </c>
      <c r="D624" t="s">
        <v>46</v>
      </c>
      <c r="E624" s="6" t="s">
        <v>4</v>
      </c>
      <c r="F624" s="6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f t="shared" si="19"/>
        <v>0</v>
      </c>
    </row>
    <row r="625" spans="1:36">
      <c r="A625">
        <v>624</v>
      </c>
      <c r="B625">
        <v>595</v>
      </c>
      <c r="C625">
        <v>596</v>
      </c>
      <c r="D625" t="s">
        <v>69</v>
      </c>
      <c r="E625" s="6" t="s">
        <v>46</v>
      </c>
      <c r="F625" s="6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f t="shared" si="19"/>
        <v>0</v>
      </c>
    </row>
    <row r="626" spans="1:36">
      <c r="A626">
        <v>625</v>
      </c>
      <c r="B626">
        <v>596</v>
      </c>
      <c r="C626">
        <v>597</v>
      </c>
      <c r="D626" t="s">
        <v>4</v>
      </c>
      <c r="E626" s="6" t="s">
        <v>69</v>
      </c>
      <c r="F626" s="6" t="b">
        <f t="shared" si="18"/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f t="shared" si="19"/>
        <v>0</v>
      </c>
    </row>
    <row r="627" spans="1:36">
      <c r="A627">
        <v>626</v>
      </c>
      <c r="B627">
        <v>597</v>
      </c>
      <c r="C627">
        <v>598</v>
      </c>
      <c r="D627" t="s">
        <v>50</v>
      </c>
      <c r="E627" s="6" t="s">
        <v>4</v>
      </c>
      <c r="F627" s="6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f t="shared" si="19"/>
        <v>0</v>
      </c>
    </row>
    <row r="628" spans="1:36">
      <c r="A628">
        <v>627</v>
      </c>
      <c r="B628">
        <v>598</v>
      </c>
      <c r="C628">
        <v>599</v>
      </c>
      <c r="D628" t="s">
        <v>7</v>
      </c>
      <c r="E628" s="6" t="s">
        <v>50</v>
      </c>
      <c r="F628" s="6" t="b">
        <f t="shared" si="18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f t="shared" si="19"/>
        <v>0</v>
      </c>
    </row>
    <row r="629" spans="1:36">
      <c r="A629">
        <v>628</v>
      </c>
      <c r="B629">
        <v>599</v>
      </c>
      <c r="C629">
        <v>600</v>
      </c>
      <c r="D629" t="s">
        <v>4</v>
      </c>
      <c r="E629" s="6" t="s">
        <v>7</v>
      </c>
      <c r="F629" s="6" t="b">
        <f t="shared" si="18"/>
        <v>1</v>
      </c>
      <c r="G629" t="s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0.16129032299999899</v>
      </c>
      <c r="AJ629">
        <f t="shared" si="19"/>
        <v>0</v>
      </c>
    </row>
    <row r="630" spans="1:36">
      <c r="A630">
        <v>629</v>
      </c>
      <c r="B630">
        <v>600</v>
      </c>
      <c r="C630">
        <v>601</v>
      </c>
      <c r="D630" t="s">
        <v>8</v>
      </c>
      <c r="E630" s="6" t="s">
        <v>4</v>
      </c>
      <c r="F630" s="6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f t="shared" si="19"/>
        <v>0</v>
      </c>
    </row>
    <row r="631" spans="1:36">
      <c r="A631">
        <v>630</v>
      </c>
      <c r="B631">
        <v>601</v>
      </c>
      <c r="C631">
        <v>602</v>
      </c>
      <c r="D631" t="s">
        <v>42</v>
      </c>
      <c r="E631" s="6" t="s">
        <v>8</v>
      </c>
      <c r="F631" s="6" t="b">
        <f t="shared" si="18"/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f t="shared" si="19"/>
        <v>0</v>
      </c>
    </row>
    <row r="632" spans="1:36">
      <c r="A632">
        <v>631</v>
      </c>
      <c r="B632">
        <v>602</v>
      </c>
      <c r="C632">
        <v>603</v>
      </c>
      <c r="D632" t="s">
        <v>46</v>
      </c>
      <c r="E632" s="6" t="s">
        <v>42</v>
      </c>
      <c r="F632" s="6" t="b">
        <f t="shared" si="18"/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f t="shared" si="19"/>
        <v>0</v>
      </c>
    </row>
    <row r="633" spans="1:36">
      <c r="A633">
        <v>632</v>
      </c>
      <c r="B633">
        <v>603</v>
      </c>
      <c r="C633">
        <v>604</v>
      </c>
      <c r="D633" t="s">
        <v>50</v>
      </c>
      <c r="E633" s="6" t="s">
        <v>46</v>
      </c>
      <c r="F633" s="6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f t="shared" si="19"/>
        <v>0</v>
      </c>
    </row>
    <row r="634" spans="1:36">
      <c r="A634">
        <v>633</v>
      </c>
      <c r="B634">
        <v>604</v>
      </c>
      <c r="C634">
        <v>605</v>
      </c>
      <c r="D634" t="s">
        <v>2</v>
      </c>
      <c r="E634" s="6" t="s">
        <v>50</v>
      </c>
      <c r="F634" s="6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f t="shared" si="19"/>
        <v>0</v>
      </c>
    </row>
    <row r="635" spans="1:36">
      <c r="A635">
        <v>634</v>
      </c>
      <c r="B635">
        <v>605</v>
      </c>
      <c r="C635">
        <v>606</v>
      </c>
      <c r="D635" t="s">
        <v>2</v>
      </c>
      <c r="E635" s="6" t="s">
        <v>2</v>
      </c>
      <c r="F635" s="6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f t="shared" si="19"/>
        <v>0</v>
      </c>
    </row>
    <row r="636" spans="1:36">
      <c r="A636">
        <v>635</v>
      </c>
      <c r="B636">
        <v>606</v>
      </c>
      <c r="C636">
        <v>607</v>
      </c>
      <c r="D636" t="s">
        <v>2</v>
      </c>
      <c r="E636" s="6" t="s">
        <v>2</v>
      </c>
      <c r="F636" s="6" t="b">
        <f t="shared" si="18"/>
        <v>1</v>
      </c>
      <c r="G636" t="s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0.33212520593080702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f t="shared" si="19"/>
        <v>1</v>
      </c>
    </row>
    <row r="637" spans="1:36">
      <c r="A637">
        <v>636</v>
      </c>
      <c r="B637">
        <v>607</v>
      </c>
      <c r="C637">
        <v>608</v>
      </c>
      <c r="D637" t="s">
        <v>47</v>
      </c>
      <c r="E637" s="6" t="s">
        <v>1</v>
      </c>
      <c r="F637" s="6" t="b">
        <f t="shared" si="18"/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f t="shared" si="19"/>
        <v>0</v>
      </c>
    </row>
    <row r="638" spans="1:36">
      <c r="A638">
        <v>637</v>
      </c>
      <c r="B638">
        <v>608</v>
      </c>
      <c r="C638">
        <v>609</v>
      </c>
      <c r="D638" t="s">
        <v>45</v>
      </c>
      <c r="E638" s="6" t="s">
        <v>47</v>
      </c>
      <c r="F638" s="6" t="b">
        <f t="shared" si="18"/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f t="shared" si="19"/>
        <v>0</v>
      </c>
    </row>
    <row r="639" spans="1:36">
      <c r="A639">
        <v>638</v>
      </c>
      <c r="B639">
        <v>609</v>
      </c>
      <c r="C639">
        <v>610</v>
      </c>
      <c r="D639" t="s">
        <v>69</v>
      </c>
      <c r="E639" s="6" t="s">
        <v>45</v>
      </c>
      <c r="F639" s="6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f t="shared" si="19"/>
        <v>0</v>
      </c>
    </row>
    <row r="640" spans="1:36">
      <c r="A640">
        <v>639</v>
      </c>
      <c r="B640">
        <v>610</v>
      </c>
      <c r="C640">
        <v>611</v>
      </c>
      <c r="D640" t="s">
        <v>3</v>
      </c>
      <c r="E640" s="6" t="s">
        <v>69</v>
      </c>
      <c r="F640" s="6" t="b">
        <f t="shared" si="18"/>
        <v>1</v>
      </c>
      <c r="G640" t="s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0.12765374600000001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f t="shared" si="19"/>
        <v>0</v>
      </c>
    </row>
    <row r="641" spans="1:36">
      <c r="A641">
        <v>640</v>
      </c>
      <c r="B641">
        <v>611</v>
      </c>
      <c r="C641">
        <v>612</v>
      </c>
      <c r="D641" t="s">
        <v>2</v>
      </c>
      <c r="E641" s="6" t="s">
        <v>3</v>
      </c>
      <c r="F641" s="6" t="b">
        <f t="shared" si="18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f t="shared" si="19"/>
        <v>0</v>
      </c>
    </row>
    <row r="642" spans="1:36">
      <c r="A642">
        <v>641</v>
      </c>
      <c r="B642">
        <v>612</v>
      </c>
      <c r="C642">
        <v>613</v>
      </c>
      <c r="D642" t="s">
        <v>7</v>
      </c>
      <c r="E642" s="6" t="s">
        <v>1</v>
      </c>
      <c r="F642" s="6" t="b">
        <f t="shared" ref="F642:F705" si="20">D642=G642</f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f t="shared" si="19"/>
        <v>0</v>
      </c>
    </row>
    <row r="643" spans="1:36">
      <c r="A643">
        <v>642</v>
      </c>
      <c r="B643">
        <v>613</v>
      </c>
      <c r="C643">
        <v>614</v>
      </c>
      <c r="D643" t="s">
        <v>69</v>
      </c>
      <c r="E643" s="6" t="s">
        <v>7</v>
      </c>
      <c r="F643" s="6" t="b">
        <f t="shared" si="20"/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f t="shared" ref="AJ643:AJ706" si="21">COUNTIF(H643:AI643,"&gt;0.25")</f>
        <v>0</v>
      </c>
    </row>
    <row r="644" spans="1:36">
      <c r="A644">
        <v>643</v>
      </c>
      <c r="B644">
        <v>614</v>
      </c>
      <c r="C644">
        <v>615</v>
      </c>
      <c r="D644" t="s">
        <v>7</v>
      </c>
      <c r="E644" s="6" t="s">
        <v>69</v>
      </c>
      <c r="F644" s="6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f t="shared" si="21"/>
        <v>0</v>
      </c>
    </row>
    <row r="645" spans="1:36">
      <c r="A645">
        <v>644</v>
      </c>
      <c r="B645">
        <v>615</v>
      </c>
      <c r="C645">
        <v>616</v>
      </c>
      <c r="D645" t="s">
        <v>3</v>
      </c>
      <c r="E645" s="6" t="s">
        <v>7</v>
      </c>
      <c r="F645" s="6" t="b">
        <f t="shared" si="20"/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f t="shared" si="21"/>
        <v>0</v>
      </c>
    </row>
    <row r="646" spans="1:36">
      <c r="A646">
        <v>645</v>
      </c>
      <c r="B646">
        <v>616</v>
      </c>
      <c r="C646">
        <v>617</v>
      </c>
      <c r="D646" t="s">
        <v>8</v>
      </c>
      <c r="E646" s="6" t="s">
        <v>3</v>
      </c>
      <c r="F646" s="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f t="shared" si="21"/>
        <v>0</v>
      </c>
    </row>
    <row r="647" spans="1:36">
      <c r="A647">
        <v>646</v>
      </c>
      <c r="B647">
        <v>617</v>
      </c>
      <c r="C647">
        <v>618</v>
      </c>
      <c r="D647" t="s">
        <v>7</v>
      </c>
      <c r="E647" s="6" t="s">
        <v>8</v>
      </c>
      <c r="F647" s="6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f t="shared" si="21"/>
        <v>0</v>
      </c>
    </row>
    <row r="648" spans="1:36">
      <c r="A648">
        <v>647</v>
      </c>
      <c r="B648">
        <v>618</v>
      </c>
      <c r="C648">
        <v>619</v>
      </c>
      <c r="D648" t="s">
        <v>42</v>
      </c>
      <c r="E648" s="6" t="s">
        <v>7</v>
      </c>
      <c r="F648" s="6" t="b">
        <f t="shared" si="20"/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f t="shared" si="21"/>
        <v>0</v>
      </c>
    </row>
    <row r="649" spans="1:36">
      <c r="A649">
        <v>648</v>
      </c>
      <c r="B649">
        <v>619</v>
      </c>
      <c r="C649">
        <v>620</v>
      </c>
      <c r="D649" t="s">
        <v>5</v>
      </c>
      <c r="E649" s="6" t="s">
        <v>42</v>
      </c>
      <c r="F649" s="6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f t="shared" si="21"/>
        <v>0</v>
      </c>
    </row>
    <row r="650" spans="1:36">
      <c r="A650">
        <v>649</v>
      </c>
      <c r="B650">
        <v>620</v>
      </c>
      <c r="C650">
        <v>621</v>
      </c>
      <c r="D650" t="s">
        <v>44</v>
      </c>
      <c r="E650" s="6" t="s">
        <v>6</v>
      </c>
      <c r="F650" s="6" t="b">
        <f t="shared" si="20"/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f t="shared" si="21"/>
        <v>0</v>
      </c>
    </row>
    <row r="651" spans="1:36">
      <c r="A651">
        <v>650</v>
      </c>
      <c r="B651">
        <v>621</v>
      </c>
      <c r="C651">
        <v>622</v>
      </c>
      <c r="D651" t="s">
        <v>46</v>
      </c>
      <c r="E651" s="6" t="s">
        <v>44</v>
      </c>
      <c r="F651" s="6" t="b">
        <f t="shared" si="20"/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f t="shared" si="21"/>
        <v>0</v>
      </c>
    </row>
    <row r="652" spans="1:36">
      <c r="A652">
        <v>651</v>
      </c>
      <c r="B652">
        <v>622</v>
      </c>
      <c r="C652">
        <v>623</v>
      </c>
      <c r="D652" t="s">
        <v>69</v>
      </c>
      <c r="E652" s="6" t="s">
        <v>46</v>
      </c>
      <c r="F652" s="6" t="b">
        <f t="shared" si="20"/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f t="shared" si="21"/>
        <v>0</v>
      </c>
    </row>
    <row r="653" spans="1:36">
      <c r="A653">
        <v>652</v>
      </c>
      <c r="B653">
        <v>623</v>
      </c>
      <c r="C653">
        <v>624</v>
      </c>
      <c r="D653" t="s">
        <v>3</v>
      </c>
      <c r="E653" s="6" t="s">
        <v>69</v>
      </c>
      <c r="F653" s="6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f t="shared" si="21"/>
        <v>0</v>
      </c>
    </row>
    <row r="654" spans="1:36">
      <c r="A654">
        <v>653</v>
      </c>
      <c r="B654">
        <v>624</v>
      </c>
      <c r="C654">
        <v>625</v>
      </c>
      <c r="D654" t="s">
        <v>3</v>
      </c>
      <c r="E654" s="6" t="s">
        <v>3</v>
      </c>
      <c r="F654" s="6" t="b">
        <f t="shared" si="20"/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f t="shared" si="21"/>
        <v>0</v>
      </c>
    </row>
    <row r="655" spans="1:36">
      <c r="A655">
        <v>654</v>
      </c>
      <c r="B655">
        <v>625</v>
      </c>
      <c r="C655">
        <v>626</v>
      </c>
      <c r="D655" t="s">
        <v>43</v>
      </c>
      <c r="E655" s="6" t="s">
        <v>9</v>
      </c>
      <c r="F655" s="6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f t="shared" si="21"/>
        <v>0</v>
      </c>
    </row>
    <row r="656" spans="1:36">
      <c r="A656">
        <v>655</v>
      </c>
      <c r="B656">
        <v>626</v>
      </c>
      <c r="C656">
        <v>627</v>
      </c>
      <c r="D656" t="s">
        <v>2</v>
      </c>
      <c r="E656" s="6" t="s">
        <v>2</v>
      </c>
      <c r="F656" s="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f t="shared" si="21"/>
        <v>0</v>
      </c>
    </row>
    <row r="657" spans="1:36">
      <c r="A657">
        <v>656</v>
      </c>
      <c r="B657">
        <v>627</v>
      </c>
      <c r="C657">
        <v>628</v>
      </c>
      <c r="D657" t="s">
        <v>69</v>
      </c>
      <c r="E657" s="6" t="s">
        <v>2</v>
      </c>
      <c r="F657" s="6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f t="shared" si="21"/>
        <v>0</v>
      </c>
    </row>
    <row r="658" spans="1:36">
      <c r="A658">
        <v>657</v>
      </c>
      <c r="B658">
        <v>628</v>
      </c>
      <c r="C658">
        <v>629</v>
      </c>
      <c r="D658" t="s">
        <v>10</v>
      </c>
      <c r="E658" s="6" t="s">
        <v>69</v>
      </c>
      <c r="F658" s="6" t="b">
        <f t="shared" si="20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f t="shared" si="21"/>
        <v>0</v>
      </c>
    </row>
    <row r="659" spans="1:36">
      <c r="A659">
        <v>658</v>
      </c>
      <c r="B659">
        <v>629</v>
      </c>
      <c r="C659">
        <v>630</v>
      </c>
      <c r="D659" t="s">
        <v>6</v>
      </c>
      <c r="E659" s="6" t="s">
        <v>43</v>
      </c>
      <c r="F659" s="6" t="b">
        <f t="shared" si="20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f t="shared" si="21"/>
        <v>0</v>
      </c>
    </row>
    <row r="660" spans="1:36">
      <c r="A660">
        <v>659</v>
      </c>
      <c r="B660">
        <v>630</v>
      </c>
      <c r="C660">
        <v>631</v>
      </c>
      <c r="D660" t="s">
        <v>69</v>
      </c>
      <c r="E660" s="6" t="s">
        <v>6</v>
      </c>
      <c r="F660" s="6" t="b">
        <f t="shared" si="20"/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f t="shared" si="21"/>
        <v>0</v>
      </c>
    </row>
    <row r="661" spans="1:36">
      <c r="A661">
        <v>660</v>
      </c>
      <c r="B661">
        <v>631</v>
      </c>
      <c r="C661">
        <v>632</v>
      </c>
      <c r="D661" t="s">
        <v>6</v>
      </c>
      <c r="E661" s="6" t="s">
        <v>69</v>
      </c>
      <c r="F661" s="6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f t="shared" si="21"/>
        <v>0</v>
      </c>
    </row>
    <row r="662" spans="1:36">
      <c r="A662">
        <v>661</v>
      </c>
      <c r="B662">
        <v>632</v>
      </c>
      <c r="C662">
        <v>633</v>
      </c>
      <c r="D662" t="s">
        <v>8</v>
      </c>
      <c r="E662" s="6" t="s">
        <v>5</v>
      </c>
      <c r="F662" s="6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f t="shared" si="21"/>
        <v>0</v>
      </c>
    </row>
    <row r="663" spans="1:36">
      <c r="A663">
        <v>662</v>
      </c>
      <c r="B663">
        <v>633</v>
      </c>
      <c r="C663">
        <v>634</v>
      </c>
      <c r="D663" t="s">
        <v>6</v>
      </c>
      <c r="E663" s="6" t="s">
        <v>10</v>
      </c>
      <c r="F663" s="6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f t="shared" si="21"/>
        <v>0</v>
      </c>
    </row>
    <row r="664" spans="1:36">
      <c r="A664">
        <v>663</v>
      </c>
      <c r="B664">
        <v>634</v>
      </c>
      <c r="C664">
        <v>635</v>
      </c>
      <c r="D664" t="s">
        <v>46</v>
      </c>
      <c r="E664" s="6" t="s">
        <v>6</v>
      </c>
      <c r="F664" s="6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f t="shared" si="21"/>
        <v>0</v>
      </c>
    </row>
    <row r="665" spans="1:36">
      <c r="A665">
        <v>664</v>
      </c>
      <c r="B665">
        <v>635</v>
      </c>
      <c r="C665">
        <v>636</v>
      </c>
      <c r="D665" t="s">
        <v>5</v>
      </c>
      <c r="E665" s="6" t="s">
        <v>46</v>
      </c>
      <c r="F665" s="6" t="b">
        <f t="shared" si="20"/>
        <v>0</v>
      </c>
      <c r="G665" t="s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0.152097541</v>
      </c>
      <c r="AJ665">
        <f t="shared" si="21"/>
        <v>0</v>
      </c>
    </row>
    <row r="666" spans="1:36">
      <c r="A666">
        <v>665</v>
      </c>
      <c r="B666">
        <v>636</v>
      </c>
      <c r="C666">
        <v>637</v>
      </c>
      <c r="D666" t="s">
        <v>3</v>
      </c>
      <c r="E666" s="6" t="s">
        <v>3</v>
      </c>
      <c r="F666" s="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f t="shared" si="21"/>
        <v>0</v>
      </c>
    </row>
    <row r="667" spans="1:36">
      <c r="A667">
        <v>666</v>
      </c>
      <c r="B667">
        <v>637</v>
      </c>
      <c r="C667">
        <v>638</v>
      </c>
      <c r="D667" t="s">
        <v>68</v>
      </c>
      <c r="E667" s="6" t="s">
        <v>3</v>
      </c>
      <c r="F667" s="6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f t="shared" si="21"/>
        <v>0</v>
      </c>
    </row>
    <row r="668" spans="1:36">
      <c r="A668">
        <v>667</v>
      </c>
      <c r="B668">
        <v>638</v>
      </c>
      <c r="C668">
        <v>639</v>
      </c>
      <c r="D668" t="s">
        <v>2</v>
      </c>
      <c r="E668" s="6" t="s">
        <v>68</v>
      </c>
      <c r="F668" s="6" t="b">
        <f t="shared" si="20"/>
        <v>0</v>
      </c>
      <c r="G668" t="s">
        <v>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f t="shared" si="21"/>
        <v>0</v>
      </c>
    </row>
    <row r="669" spans="1:36">
      <c r="A669">
        <v>668</v>
      </c>
      <c r="B669">
        <v>639</v>
      </c>
      <c r="C669">
        <v>640</v>
      </c>
      <c r="D669" t="s">
        <v>5</v>
      </c>
      <c r="E669" s="6" t="s">
        <v>2</v>
      </c>
      <c r="F669" s="6" t="b">
        <f t="shared" si="20"/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f t="shared" si="21"/>
        <v>0</v>
      </c>
    </row>
    <row r="670" spans="1:36">
      <c r="A670">
        <v>669</v>
      </c>
      <c r="B670">
        <v>640</v>
      </c>
      <c r="C670">
        <v>641</v>
      </c>
      <c r="D670" t="s">
        <v>42</v>
      </c>
      <c r="E670" s="6" t="s">
        <v>7</v>
      </c>
      <c r="F670" s="6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f t="shared" si="21"/>
        <v>0</v>
      </c>
    </row>
    <row r="671" spans="1:36">
      <c r="A671">
        <v>670</v>
      </c>
      <c r="B671">
        <v>641</v>
      </c>
      <c r="C671">
        <v>642</v>
      </c>
      <c r="D671" t="s">
        <v>46</v>
      </c>
      <c r="E671" s="6" t="s">
        <v>42</v>
      </c>
      <c r="F671" s="6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f t="shared" si="21"/>
        <v>0</v>
      </c>
    </row>
    <row r="672" spans="1:36">
      <c r="A672">
        <v>671</v>
      </c>
      <c r="B672">
        <v>642</v>
      </c>
      <c r="C672">
        <v>643</v>
      </c>
      <c r="D672" t="s">
        <v>68</v>
      </c>
      <c r="E672" s="6" t="s">
        <v>46</v>
      </c>
      <c r="F672" s="6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f t="shared" si="21"/>
        <v>0</v>
      </c>
    </row>
    <row r="673" spans="1:36">
      <c r="A673">
        <v>672</v>
      </c>
      <c r="B673">
        <v>643</v>
      </c>
      <c r="C673">
        <v>644</v>
      </c>
      <c r="D673" t="s">
        <v>2</v>
      </c>
      <c r="E673" s="6" t="s">
        <v>9</v>
      </c>
      <c r="F673" s="6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f t="shared" si="21"/>
        <v>0</v>
      </c>
    </row>
    <row r="674" spans="1:36">
      <c r="A674">
        <v>673</v>
      </c>
      <c r="B674">
        <v>644</v>
      </c>
      <c r="C674">
        <v>645</v>
      </c>
      <c r="D674" t="s">
        <v>42</v>
      </c>
      <c r="E674" s="6" t="s">
        <v>7</v>
      </c>
      <c r="F674" s="6" t="b">
        <f t="shared" si="20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f t="shared" si="21"/>
        <v>0</v>
      </c>
    </row>
    <row r="675" spans="1:36">
      <c r="A675">
        <v>674</v>
      </c>
      <c r="B675">
        <v>645</v>
      </c>
      <c r="C675">
        <v>646</v>
      </c>
      <c r="D675" t="s">
        <v>46</v>
      </c>
      <c r="E675" s="6" t="s">
        <v>42</v>
      </c>
      <c r="F675" s="6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f t="shared" si="21"/>
        <v>0</v>
      </c>
    </row>
    <row r="676" spans="1:36">
      <c r="A676">
        <v>675</v>
      </c>
      <c r="B676">
        <v>646</v>
      </c>
      <c r="C676">
        <v>647</v>
      </c>
      <c r="D676" t="s">
        <v>6</v>
      </c>
      <c r="E676" s="6" t="s">
        <v>46</v>
      </c>
      <c r="F676" s="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f t="shared" si="21"/>
        <v>0</v>
      </c>
    </row>
    <row r="677" spans="1:36">
      <c r="A677">
        <v>676</v>
      </c>
      <c r="B677">
        <v>647</v>
      </c>
      <c r="C677">
        <v>648</v>
      </c>
      <c r="D677" t="s">
        <v>8</v>
      </c>
      <c r="E677" s="6" t="s">
        <v>6</v>
      </c>
      <c r="F677" s="6" t="b">
        <f t="shared" si="20"/>
        <v>0</v>
      </c>
      <c r="G677" t="s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0.16461916461916401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f t="shared" si="21"/>
        <v>0</v>
      </c>
    </row>
    <row r="678" spans="1:36">
      <c r="A678">
        <v>677</v>
      </c>
      <c r="B678">
        <v>648</v>
      </c>
      <c r="C678">
        <v>649</v>
      </c>
      <c r="D678" t="s">
        <v>7</v>
      </c>
      <c r="E678" s="6" t="s">
        <v>6</v>
      </c>
      <c r="F678" s="6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f t="shared" si="21"/>
        <v>0</v>
      </c>
    </row>
    <row r="679" spans="1:36">
      <c r="A679">
        <v>678</v>
      </c>
      <c r="B679">
        <v>649</v>
      </c>
      <c r="C679">
        <v>650</v>
      </c>
      <c r="D679" t="s">
        <v>44</v>
      </c>
      <c r="E679" s="6" t="s">
        <v>7</v>
      </c>
      <c r="F679" s="6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f t="shared" si="21"/>
        <v>0</v>
      </c>
    </row>
    <row r="680" spans="1:36">
      <c r="A680">
        <v>679</v>
      </c>
      <c r="B680">
        <v>650</v>
      </c>
      <c r="C680">
        <v>651</v>
      </c>
      <c r="D680" t="s">
        <v>3</v>
      </c>
      <c r="E680" s="6" t="s">
        <v>44</v>
      </c>
      <c r="F680" s="6" t="b">
        <f t="shared" si="20"/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f t="shared" si="21"/>
        <v>0</v>
      </c>
    </row>
    <row r="681" spans="1:36">
      <c r="A681">
        <v>680</v>
      </c>
      <c r="B681">
        <v>651</v>
      </c>
      <c r="C681">
        <v>652</v>
      </c>
      <c r="D681" t="s">
        <v>44</v>
      </c>
      <c r="E681" s="6" t="s">
        <v>3</v>
      </c>
      <c r="F681" s="6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f t="shared" si="21"/>
        <v>0</v>
      </c>
    </row>
    <row r="682" spans="1:36">
      <c r="A682">
        <v>681</v>
      </c>
      <c r="B682">
        <v>652</v>
      </c>
      <c r="C682">
        <v>653</v>
      </c>
      <c r="D682" t="s">
        <v>44</v>
      </c>
      <c r="E682" s="6" t="s">
        <v>44</v>
      </c>
      <c r="F682" s="6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f t="shared" si="21"/>
        <v>0</v>
      </c>
    </row>
    <row r="683" spans="1:36">
      <c r="A683">
        <v>682</v>
      </c>
      <c r="B683">
        <v>653</v>
      </c>
      <c r="C683">
        <v>654</v>
      </c>
      <c r="D683" t="s">
        <v>6</v>
      </c>
      <c r="E683" s="6" t="s">
        <v>44</v>
      </c>
      <c r="F683" s="6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f t="shared" si="21"/>
        <v>0</v>
      </c>
    </row>
    <row r="684" spans="1:36">
      <c r="A684">
        <v>683</v>
      </c>
      <c r="B684">
        <v>654</v>
      </c>
      <c r="C684">
        <v>655</v>
      </c>
      <c r="D684" t="s">
        <v>8</v>
      </c>
      <c r="E684" s="6" t="s">
        <v>6</v>
      </c>
      <c r="F684" s="6" t="b">
        <f t="shared" si="20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f t="shared" si="21"/>
        <v>0</v>
      </c>
    </row>
    <row r="685" spans="1:36">
      <c r="A685">
        <v>684</v>
      </c>
      <c r="B685">
        <v>655</v>
      </c>
      <c r="C685">
        <v>656</v>
      </c>
      <c r="D685" t="s">
        <v>3</v>
      </c>
      <c r="E685" s="6" t="s">
        <v>8</v>
      </c>
      <c r="F685" s="6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f t="shared" si="21"/>
        <v>0</v>
      </c>
    </row>
    <row r="686" spans="1:36">
      <c r="A686">
        <v>685</v>
      </c>
      <c r="B686">
        <v>656</v>
      </c>
      <c r="C686">
        <v>657</v>
      </c>
      <c r="D686" t="s">
        <v>6</v>
      </c>
      <c r="E686" s="6" t="s">
        <v>3</v>
      </c>
      <c r="F686" s="6" t="b">
        <f t="shared" si="20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f t="shared" si="21"/>
        <v>0</v>
      </c>
    </row>
    <row r="687" spans="1:36">
      <c r="A687">
        <v>686</v>
      </c>
      <c r="B687">
        <v>657</v>
      </c>
      <c r="C687">
        <v>658</v>
      </c>
      <c r="D687" t="s">
        <v>44</v>
      </c>
      <c r="E687" s="6" t="s">
        <v>6</v>
      </c>
      <c r="F687" s="6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f t="shared" si="21"/>
        <v>0</v>
      </c>
    </row>
    <row r="688" spans="1:36">
      <c r="A688">
        <v>687</v>
      </c>
      <c r="B688">
        <v>658</v>
      </c>
      <c r="C688">
        <v>659</v>
      </c>
      <c r="D688" t="s">
        <v>6</v>
      </c>
      <c r="E688" s="6" t="s">
        <v>44</v>
      </c>
      <c r="F688" s="6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f t="shared" si="21"/>
        <v>0</v>
      </c>
    </row>
    <row r="689" spans="1:36">
      <c r="A689">
        <v>688</v>
      </c>
      <c r="B689">
        <v>659</v>
      </c>
      <c r="C689">
        <v>660</v>
      </c>
      <c r="D689" t="s">
        <v>42</v>
      </c>
      <c r="E689" s="6" t="s">
        <v>6</v>
      </c>
      <c r="F689" s="6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f t="shared" si="21"/>
        <v>0</v>
      </c>
    </row>
    <row r="690" spans="1:36">
      <c r="A690">
        <v>689</v>
      </c>
      <c r="B690">
        <v>660</v>
      </c>
      <c r="C690">
        <v>661</v>
      </c>
      <c r="D690" t="s">
        <v>42</v>
      </c>
      <c r="E690" s="6" t="s">
        <v>42</v>
      </c>
      <c r="F690" s="6" t="b">
        <f t="shared" si="20"/>
        <v>1</v>
      </c>
      <c r="G690" t="s">
        <v>42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0.30125037900000001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f t="shared" si="21"/>
        <v>1</v>
      </c>
    </row>
    <row r="691" spans="1:36">
      <c r="A691">
        <v>690</v>
      </c>
      <c r="B691">
        <v>661</v>
      </c>
      <c r="C691">
        <v>662</v>
      </c>
      <c r="D691" t="s">
        <v>6</v>
      </c>
      <c r="E691" s="6" t="s">
        <v>42</v>
      </c>
      <c r="F691" s="6" t="b">
        <f t="shared" si="20"/>
        <v>0</v>
      </c>
      <c r="G691" t="s">
        <v>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0.14491670226398901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f t="shared" si="21"/>
        <v>0</v>
      </c>
    </row>
    <row r="692" spans="1:36">
      <c r="A692">
        <v>691</v>
      </c>
      <c r="B692">
        <v>662</v>
      </c>
      <c r="C692">
        <v>663</v>
      </c>
      <c r="D692" t="s">
        <v>42</v>
      </c>
      <c r="E692" s="6" t="s">
        <v>6</v>
      </c>
      <c r="F692" s="6" t="b">
        <f t="shared" si="20"/>
        <v>1</v>
      </c>
      <c r="G692" t="s">
        <v>42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0.99414303329223197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f t="shared" si="21"/>
        <v>1</v>
      </c>
    </row>
    <row r="693" spans="1:36">
      <c r="A693">
        <v>692</v>
      </c>
      <c r="B693">
        <v>663</v>
      </c>
      <c r="C693">
        <v>664</v>
      </c>
      <c r="D693" t="s">
        <v>5</v>
      </c>
      <c r="E693" s="6" t="s">
        <v>42</v>
      </c>
      <c r="F693" s="6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f t="shared" si="21"/>
        <v>0</v>
      </c>
    </row>
    <row r="694" spans="1:36">
      <c r="A694">
        <v>693</v>
      </c>
      <c r="B694">
        <v>664</v>
      </c>
      <c r="C694">
        <v>665</v>
      </c>
      <c r="D694" t="s">
        <v>8</v>
      </c>
      <c r="E694" s="6" t="s">
        <v>5</v>
      </c>
      <c r="F694" s="6" t="b">
        <f t="shared" si="20"/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f t="shared" si="21"/>
        <v>0</v>
      </c>
    </row>
    <row r="695" spans="1:36">
      <c r="A695">
        <v>694</v>
      </c>
      <c r="B695">
        <v>665</v>
      </c>
      <c r="C695">
        <v>666</v>
      </c>
      <c r="D695" t="s">
        <v>69</v>
      </c>
      <c r="E695" s="6" t="s">
        <v>8</v>
      </c>
      <c r="F695" s="6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f t="shared" si="21"/>
        <v>0</v>
      </c>
    </row>
    <row r="696" spans="1:36">
      <c r="A696">
        <v>695</v>
      </c>
      <c r="B696">
        <v>666</v>
      </c>
      <c r="C696">
        <v>667</v>
      </c>
      <c r="D696" t="s">
        <v>1</v>
      </c>
      <c r="E696" s="6" t="s">
        <v>69</v>
      </c>
      <c r="F696" s="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f t="shared" si="21"/>
        <v>0</v>
      </c>
    </row>
    <row r="697" spans="1:36">
      <c r="A697">
        <v>696</v>
      </c>
      <c r="B697">
        <v>667</v>
      </c>
      <c r="C697">
        <v>668</v>
      </c>
      <c r="D697" t="s">
        <v>7</v>
      </c>
      <c r="E697" s="6" t="s">
        <v>1</v>
      </c>
      <c r="F697" s="6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f t="shared" si="21"/>
        <v>0</v>
      </c>
    </row>
    <row r="698" spans="1:36">
      <c r="A698">
        <v>697</v>
      </c>
      <c r="B698">
        <v>668</v>
      </c>
      <c r="C698">
        <v>669</v>
      </c>
      <c r="D698" t="s">
        <v>42</v>
      </c>
      <c r="E698" s="6" t="s">
        <v>7</v>
      </c>
      <c r="F698" s="6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f t="shared" si="21"/>
        <v>0</v>
      </c>
    </row>
    <row r="699" spans="1:36">
      <c r="A699">
        <v>698</v>
      </c>
      <c r="B699">
        <v>669</v>
      </c>
      <c r="C699">
        <v>670</v>
      </c>
      <c r="D699" t="s">
        <v>69</v>
      </c>
      <c r="E699" s="6" t="s">
        <v>42</v>
      </c>
      <c r="F699" s="6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f t="shared" si="21"/>
        <v>0</v>
      </c>
    </row>
    <row r="700" spans="1:36">
      <c r="A700">
        <v>699</v>
      </c>
      <c r="B700">
        <v>670</v>
      </c>
      <c r="C700">
        <v>671</v>
      </c>
      <c r="D700" t="s">
        <v>3</v>
      </c>
      <c r="E700" s="6" t="s">
        <v>69</v>
      </c>
      <c r="F700" s="6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f t="shared" si="21"/>
        <v>0</v>
      </c>
    </row>
    <row r="701" spans="1:36">
      <c r="A701">
        <v>700</v>
      </c>
      <c r="B701">
        <v>671</v>
      </c>
      <c r="C701">
        <v>672</v>
      </c>
      <c r="D701" t="s">
        <v>69</v>
      </c>
      <c r="E701" s="6" t="s">
        <v>3</v>
      </c>
      <c r="F701" s="6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f t="shared" si="21"/>
        <v>0</v>
      </c>
    </row>
    <row r="702" spans="1:36">
      <c r="A702">
        <v>701</v>
      </c>
      <c r="B702">
        <v>672</v>
      </c>
      <c r="C702">
        <v>673</v>
      </c>
      <c r="D702" t="s">
        <v>48</v>
      </c>
      <c r="E702" s="6" t="s">
        <v>69</v>
      </c>
      <c r="F702" s="6" t="b">
        <f t="shared" si="20"/>
        <v>0</v>
      </c>
      <c r="G702" t="s">
        <v>47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0.57130151200711499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f t="shared" si="21"/>
        <v>1</v>
      </c>
    </row>
    <row r="703" spans="1:36">
      <c r="A703">
        <v>702</v>
      </c>
      <c r="B703">
        <v>673</v>
      </c>
      <c r="C703">
        <v>674</v>
      </c>
      <c r="D703" t="s">
        <v>5</v>
      </c>
      <c r="E703" s="6" t="s">
        <v>48</v>
      </c>
      <c r="F703" s="6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f t="shared" si="21"/>
        <v>0</v>
      </c>
    </row>
    <row r="704" spans="1:36">
      <c r="A704">
        <v>703</v>
      </c>
      <c r="B704">
        <v>674</v>
      </c>
      <c r="C704">
        <v>675</v>
      </c>
      <c r="D704" t="s">
        <v>46</v>
      </c>
      <c r="E704" s="6" t="s">
        <v>3</v>
      </c>
      <c r="F704" s="6" t="b">
        <f t="shared" si="20"/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f t="shared" si="21"/>
        <v>0</v>
      </c>
    </row>
    <row r="705" spans="1:36">
      <c r="A705">
        <v>704</v>
      </c>
      <c r="B705">
        <v>675</v>
      </c>
      <c r="C705">
        <v>676</v>
      </c>
      <c r="D705" t="s">
        <v>2</v>
      </c>
      <c r="E705" s="6" t="s">
        <v>46</v>
      </c>
      <c r="F705" s="6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f t="shared" si="21"/>
        <v>0</v>
      </c>
    </row>
    <row r="706" spans="1:36">
      <c r="A706">
        <v>705</v>
      </c>
      <c r="B706">
        <v>676</v>
      </c>
      <c r="C706">
        <v>677</v>
      </c>
      <c r="D706" t="s">
        <v>3</v>
      </c>
      <c r="E706" s="6" t="s">
        <v>2</v>
      </c>
      <c r="F706" s="6" t="b">
        <f t="shared" ref="F706:F769" si="22">D706=G706</f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f t="shared" si="21"/>
        <v>0</v>
      </c>
    </row>
    <row r="707" spans="1:36">
      <c r="A707">
        <v>706</v>
      </c>
      <c r="B707">
        <v>677</v>
      </c>
      <c r="C707">
        <v>678</v>
      </c>
      <c r="D707" t="s">
        <v>69</v>
      </c>
      <c r="E707" s="6" t="s">
        <v>3</v>
      </c>
      <c r="F707" s="6" t="b">
        <f t="shared" si="22"/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f t="shared" ref="AJ707:AJ770" si="23">COUNTIF(H707:AI707,"&gt;0.25")</f>
        <v>0</v>
      </c>
    </row>
    <row r="708" spans="1:36">
      <c r="A708">
        <v>707</v>
      </c>
      <c r="B708">
        <v>678</v>
      </c>
      <c r="C708">
        <v>679</v>
      </c>
      <c r="D708" t="s">
        <v>42</v>
      </c>
      <c r="E708" s="6" t="s">
        <v>69</v>
      </c>
      <c r="F708" s="6" t="b">
        <f t="shared" si="22"/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f t="shared" si="23"/>
        <v>0</v>
      </c>
    </row>
    <row r="709" spans="1:36">
      <c r="A709">
        <v>708</v>
      </c>
      <c r="B709">
        <v>679</v>
      </c>
      <c r="C709">
        <v>680</v>
      </c>
      <c r="D709" t="s">
        <v>69</v>
      </c>
      <c r="E709" s="6" t="s">
        <v>42</v>
      </c>
      <c r="F709" s="6" t="b">
        <f t="shared" si="22"/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f t="shared" si="23"/>
        <v>0</v>
      </c>
    </row>
    <row r="710" spans="1:36">
      <c r="A710">
        <v>709</v>
      </c>
      <c r="B710">
        <v>680</v>
      </c>
      <c r="C710">
        <v>681</v>
      </c>
      <c r="D710" t="s">
        <v>68</v>
      </c>
      <c r="E710" s="6" t="s">
        <v>69</v>
      </c>
      <c r="F710" s="6" t="b">
        <f t="shared" si="22"/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f t="shared" si="23"/>
        <v>0</v>
      </c>
    </row>
    <row r="711" spans="1:36">
      <c r="A711">
        <v>710</v>
      </c>
      <c r="B711">
        <v>681</v>
      </c>
      <c r="C711">
        <v>682</v>
      </c>
      <c r="D711" t="s">
        <v>46</v>
      </c>
      <c r="E711" s="6" t="s">
        <v>68</v>
      </c>
      <c r="F711" s="6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f t="shared" si="23"/>
        <v>0</v>
      </c>
    </row>
    <row r="712" spans="1:36">
      <c r="A712">
        <v>711</v>
      </c>
      <c r="B712">
        <v>682</v>
      </c>
      <c r="C712">
        <v>683</v>
      </c>
      <c r="D712" t="s">
        <v>8</v>
      </c>
      <c r="E712" s="6" t="s">
        <v>46</v>
      </c>
      <c r="F712" s="6" t="b">
        <f t="shared" si="22"/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f t="shared" si="23"/>
        <v>0</v>
      </c>
    </row>
    <row r="713" spans="1:36">
      <c r="A713">
        <v>712</v>
      </c>
      <c r="B713">
        <v>683</v>
      </c>
      <c r="C713">
        <v>684</v>
      </c>
      <c r="D713" t="s">
        <v>46</v>
      </c>
      <c r="E713" s="6" t="s">
        <v>8</v>
      </c>
      <c r="F713" s="6" t="b">
        <f t="shared" si="22"/>
        <v>0</v>
      </c>
      <c r="G713" t="s">
        <v>42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0.203240058910162</v>
      </c>
      <c r="AB713">
        <v>0</v>
      </c>
      <c r="AC713">
        <v>0</v>
      </c>
      <c r="AD713">
        <v>0</v>
      </c>
      <c r="AE713">
        <v>0</v>
      </c>
      <c r="AF713">
        <v>0.10003954132068001</v>
      </c>
      <c r="AG713">
        <v>0</v>
      </c>
      <c r="AH713">
        <v>0</v>
      </c>
      <c r="AI713">
        <v>0</v>
      </c>
      <c r="AJ713">
        <f t="shared" si="23"/>
        <v>0</v>
      </c>
    </row>
    <row r="714" spans="1:36">
      <c r="A714">
        <v>713</v>
      </c>
      <c r="B714">
        <v>684</v>
      </c>
      <c r="C714">
        <v>685</v>
      </c>
      <c r="D714" t="s">
        <v>48</v>
      </c>
      <c r="E714" s="6" t="s">
        <v>42</v>
      </c>
      <c r="F714" s="6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f t="shared" si="23"/>
        <v>0</v>
      </c>
    </row>
    <row r="715" spans="1:36">
      <c r="A715">
        <v>714</v>
      </c>
      <c r="B715">
        <v>685</v>
      </c>
      <c r="C715">
        <v>686</v>
      </c>
      <c r="D715" t="s">
        <v>46</v>
      </c>
      <c r="E715" s="6" t="s">
        <v>48</v>
      </c>
      <c r="F715" s="6" t="b">
        <f t="shared" si="22"/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f t="shared" si="23"/>
        <v>0</v>
      </c>
    </row>
    <row r="716" spans="1:36">
      <c r="A716">
        <v>715</v>
      </c>
      <c r="B716">
        <v>686</v>
      </c>
      <c r="C716">
        <v>687</v>
      </c>
      <c r="D716" t="s">
        <v>43</v>
      </c>
      <c r="E716" s="6" t="s">
        <v>46</v>
      </c>
      <c r="F716" s="6" t="b">
        <f t="shared" si="22"/>
        <v>0</v>
      </c>
      <c r="G716" t="s">
        <v>46</v>
      </c>
      <c r="H716">
        <v>0</v>
      </c>
      <c r="I716">
        <v>0.13703775038520799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f t="shared" si="23"/>
        <v>0</v>
      </c>
    </row>
    <row r="717" spans="1:36">
      <c r="A717">
        <v>716</v>
      </c>
      <c r="B717">
        <v>687</v>
      </c>
      <c r="C717">
        <v>688</v>
      </c>
      <c r="D717" t="s">
        <v>47</v>
      </c>
      <c r="E717" s="6" t="s">
        <v>43</v>
      </c>
      <c r="F717" s="6" t="b">
        <f t="shared" si="22"/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f t="shared" si="23"/>
        <v>0</v>
      </c>
    </row>
    <row r="718" spans="1:36">
      <c r="A718">
        <v>717</v>
      </c>
      <c r="B718">
        <v>688</v>
      </c>
      <c r="C718">
        <v>689</v>
      </c>
      <c r="D718" t="s">
        <v>47</v>
      </c>
      <c r="E718" s="6" t="s">
        <v>46</v>
      </c>
      <c r="F718" s="6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f t="shared" si="23"/>
        <v>0</v>
      </c>
    </row>
    <row r="719" spans="1:36">
      <c r="A719">
        <v>718</v>
      </c>
      <c r="B719">
        <v>689</v>
      </c>
      <c r="C719">
        <v>690</v>
      </c>
      <c r="D719" t="s">
        <v>4</v>
      </c>
      <c r="E719" s="6" t="s">
        <v>47</v>
      </c>
      <c r="F719" s="6" t="b">
        <f t="shared" si="22"/>
        <v>1</v>
      </c>
      <c r="G719" t="s">
        <v>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0.99034981905910702</v>
      </c>
      <c r="AI719">
        <v>0</v>
      </c>
      <c r="AJ719">
        <f t="shared" si="23"/>
        <v>1</v>
      </c>
    </row>
    <row r="720" spans="1:36">
      <c r="A720">
        <v>719</v>
      </c>
      <c r="B720">
        <v>690</v>
      </c>
      <c r="C720">
        <v>691</v>
      </c>
      <c r="D720" t="s">
        <v>4</v>
      </c>
      <c r="E720" s="6" t="s">
        <v>4</v>
      </c>
      <c r="F720" s="6" t="b">
        <f t="shared" si="22"/>
        <v>1</v>
      </c>
      <c r="G720" t="s">
        <v>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0.114082741328875</v>
      </c>
      <c r="AG720">
        <v>0</v>
      </c>
      <c r="AH720">
        <v>0</v>
      </c>
      <c r="AI720">
        <v>0</v>
      </c>
      <c r="AJ720">
        <f t="shared" si="23"/>
        <v>0</v>
      </c>
    </row>
    <row r="721" spans="1:36">
      <c r="A721">
        <v>720</v>
      </c>
      <c r="B721">
        <v>691</v>
      </c>
      <c r="C721">
        <v>692</v>
      </c>
      <c r="D721" t="s">
        <v>42</v>
      </c>
      <c r="E721" s="6" t="s">
        <v>4</v>
      </c>
      <c r="F721" s="6" t="b">
        <f t="shared" si="22"/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f t="shared" si="23"/>
        <v>0</v>
      </c>
    </row>
    <row r="722" spans="1:36">
      <c r="A722">
        <v>721</v>
      </c>
      <c r="B722">
        <v>692</v>
      </c>
      <c r="C722">
        <v>693</v>
      </c>
      <c r="D722" t="s">
        <v>47</v>
      </c>
      <c r="E722" s="6" t="s">
        <v>42</v>
      </c>
      <c r="F722" s="6" t="b">
        <f t="shared" si="22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f t="shared" si="23"/>
        <v>0</v>
      </c>
    </row>
    <row r="723" spans="1:36">
      <c r="A723">
        <v>722</v>
      </c>
      <c r="B723">
        <v>693</v>
      </c>
      <c r="C723">
        <v>694</v>
      </c>
      <c r="D723" t="s">
        <v>4</v>
      </c>
      <c r="E723" s="6" t="s">
        <v>47</v>
      </c>
      <c r="F723" s="6" t="b">
        <f t="shared" si="22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f t="shared" si="23"/>
        <v>0</v>
      </c>
    </row>
    <row r="724" spans="1:36">
      <c r="A724">
        <v>723</v>
      </c>
      <c r="B724">
        <v>694</v>
      </c>
      <c r="C724">
        <v>695</v>
      </c>
      <c r="D724" t="s">
        <v>42</v>
      </c>
      <c r="E724" s="6" t="s">
        <v>4</v>
      </c>
      <c r="F724" s="6" t="b">
        <f t="shared" si="22"/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f t="shared" si="23"/>
        <v>0</v>
      </c>
    </row>
    <row r="725" spans="1:36">
      <c r="A725">
        <v>724</v>
      </c>
      <c r="B725">
        <v>695</v>
      </c>
      <c r="C725">
        <v>696</v>
      </c>
      <c r="D725" t="s">
        <v>10</v>
      </c>
      <c r="E725" s="6" t="s">
        <v>42</v>
      </c>
      <c r="F725" s="6" t="b">
        <f t="shared" si="22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f t="shared" si="23"/>
        <v>0</v>
      </c>
    </row>
    <row r="726" spans="1:36">
      <c r="A726">
        <v>725</v>
      </c>
      <c r="B726">
        <v>696</v>
      </c>
      <c r="C726">
        <v>697</v>
      </c>
      <c r="D726" t="s">
        <v>46</v>
      </c>
      <c r="E726" s="6" t="s">
        <v>10</v>
      </c>
      <c r="F726" s="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f t="shared" si="23"/>
        <v>0</v>
      </c>
    </row>
    <row r="727" spans="1:36">
      <c r="A727">
        <v>726</v>
      </c>
      <c r="B727">
        <v>697</v>
      </c>
      <c r="C727">
        <v>698</v>
      </c>
      <c r="D727" t="s">
        <v>47</v>
      </c>
      <c r="E727" s="6" t="s">
        <v>46</v>
      </c>
      <c r="F727" s="6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f t="shared" si="23"/>
        <v>0</v>
      </c>
    </row>
    <row r="728" spans="1:36">
      <c r="A728">
        <v>727</v>
      </c>
      <c r="B728">
        <v>698</v>
      </c>
      <c r="C728">
        <v>699</v>
      </c>
      <c r="D728" t="s">
        <v>48</v>
      </c>
      <c r="E728" s="6" t="s">
        <v>47</v>
      </c>
      <c r="F728" s="6" t="b">
        <f t="shared" si="22"/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f t="shared" si="23"/>
        <v>0</v>
      </c>
    </row>
    <row r="729" spans="1:36">
      <c r="A729">
        <v>728</v>
      </c>
      <c r="B729">
        <v>699</v>
      </c>
      <c r="C729">
        <v>700</v>
      </c>
      <c r="D729" t="s">
        <v>1</v>
      </c>
      <c r="E729" s="6" t="s">
        <v>48</v>
      </c>
      <c r="F729" s="6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f t="shared" si="23"/>
        <v>0</v>
      </c>
    </row>
    <row r="730" spans="1:36">
      <c r="A730">
        <v>729</v>
      </c>
      <c r="B730">
        <v>700</v>
      </c>
      <c r="C730">
        <v>701</v>
      </c>
      <c r="D730" t="s">
        <v>47</v>
      </c>
      <c r="E730" s="6" t="s">
        <v>1</v>
      </c>
      <c r="F730" s="6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f t="shared" si="23"/>
        <v>0</v>
      </c>
    </row>
    <row r="731" spans="1:36">
      <c r="A731">
        <v>730</v>
      </c>
      <c r="B731">
        <v>701</v>
      </c>
      <c r="C731">
        <v>702</v>
      </c>
      <c r="D731" t="s">
        <v>42</v>
      </c>
      <c r="E731" s="6" t="s">
        <v>47</v>
      </c>
      <c r="F731" s="6" t="b">
        <f t="shared" si="22"/>
        <v>0</v>
      </c>
      <c r="G731" t="s">
        <v>44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0.26356367789834301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f t="shared" si="23"/>
        <v>1</v>
      </c>
    </row>
    <row r="732" spans="1:36">
      <c r="A732">
        <v>731</v>
      </c>
      <c r="B732">
        <v>702</v>
      </c>
      <c r="C732">
        <v>703</v>
      </c>
      <c r="D732" t="s">
        <v>7</v>
      </c>
      <c r="E732" s="6" t="s">
        <v>42</v>
      </c>
      <c r="F732" s="6" t="b">
        <f t="shared" si="22"/>
        <v>0</v>
      </c>
      <c r="G732" t="s">
        <v>45</v>
      </c>
      <c r="H732">
        <v>0</v>
      </c>
      <c r="I732">
        <v>0</v>
      </c>
      <c r="J732">
        <v>0</v>
      </c>
      <c r="K732">
        <v>0.121141102311297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f t="shared" si="23"/>
        <v>0</v>
      </c>
    </row>
    <row r="733" spans="1:36">
      <c r="A733">
        <v>732</v>
      </c>
      <c r="B733">
        <v>703</v>
      </c>
      <c r="C733">
        <v>704</v>
      </c>
      <c r="D733" t="s">
        <v>46</v>
      </c>
      <c r="E733" s="6" t="s">
        <v>7</v>
      </c>
      <c r="F733" s="6" t="b">
        <f t="shared" si="22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f t="shared" si="23"/>
        <v>0</v>
      </c>
    </row>
    <row r="734" spans="1:36">
      <c r="A734">
        <v>733</v>
      </c>
      <c r="B734">
        <v>704</v>
      </c>
      <c r="C734">
        <v>705</v>
      </c>
      <c r="D734" t="s">
        <v>46</v>
      </c>
      <c r="E734" s="6" t="s">
        <v>46</v>
      </c>
      <c r="F734" s="6" t="b">
        <f t="shared" si="22"/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f t="shared" si="23"/>
        <v>0</v>
      </c>
    </row>
    <row r="735" spans="1:36">
      <c r="A735">
        <v>734</v>
      </c>
      <c r="B735">
        <v>705</v>
      </c>
      <c r="C735">
        <v>706</v>
      </c>
      <c r="D735" t="s">
        <v>3</v>
      </c>
      <c r="E735" s="6" t="s">
        <v>47</v>
      </c>
      <c r="F735" s="6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f t="shared" si="23"/>
        <v>0</v>
      </c>
    </row>
    <row r="736" spans="1:36">
      <c r="A736">
        <v>735</v>
      </c>
      <c r="B736">
        <v>706</v>
      </c>
      <c r="C736">
        <v>707</v>
      </c>
      <c r="D736" t="s">
        <v>10</v>
      </c>
      <c r="E736" s="6" t="s">
        <v>3</v>
      </c>
      <c r="F736" s="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f t="shared" si="23"/>
        <v>0</v>
      </c>
    </row>
    <row r="737" spans="1:36">
      <c r="A737">
        <v>736</v>
      </c>
      <c r="B737">
        <v>707</v>
      </c>
      <c r="C737">
        <v>708</v>
      </c>
      <c r="D737" t="s">
        <v>47</v>
      </c>
      <c r="E737" s="6" t="s">
        <v>10</v>
      </c>
      <c r="F737" s="6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f t="shared" si="23"/>
        <v>0</v>
      </c>
    </row>
    <row r="738" spans="1:36">
      <c r="A738">
        <v>737</v>
      </c>
      <c r="B738">
        <v>708</v>
      </c>
      <c r="C738">
        <v>709</v>
      </c>
      <c r="D738" t="s">
        <v>10</v>
      </c>
      <c r="E738" s="6" t="s">
        <v>47</v>
      </c>
      <c r="F738" s="6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f t="shared" si="23"/>
        <v>0</v>
      </c>
    </row>
    <row r="739" spans="1:36">
      <c r="A739">
        <v>738</v>
      </c>
      <c r="B739">
        <v>709</v>
      </c>
      <c r="C739">
        <v>710</v>
      </c>
      <c r="D739" t="s">
        <v>44</v>
      </c>
      <c r="E739" s="6" t="s">
        <v>10</v>
      </c>
      <c r="F739" s="6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f t="shared" si="23"/>
        <v>0</v>
      </c>
    </row>
    <row r="740" spans="1:36">
      <c r="A740">
        <v>739</v>
      </c>
      <c r="B740">
        <v>710</v>
      </c>
      <c r="C740">
        <v>711</v>
      </c>
      <c r="D740" t="s">
        <v>4</v>
      </c>
      <c r="E740" s="6" t="s">
        <v>44</v>
      </c>
      <c r="F740" s="6" t="b">
        <f t="shared" si="22"/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f t="shared" si="23"/>
        <v>0</v>
      </c>
    </row>
    <row r="741" spans="1:36">
      <c r="A741">
        <v>740</v>
      </c>
      <c r="B741">
        <v>711</v>
      </c>
      <c r="C741">
        <v>712</v>
      </c>
      <c r="D741" t="s">
        <v>68</v>
      </c>
      <c r="E741" s="6" t="s">
        <v>4</v>
      </c>
      <c r="F741" s="6" t="b">
        <f t="shared" si="22"/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f t="shared" si="23"/>
        <v>0</v>
      </c>
    </row>
    <row r="742" spans="1:36">
      <c r="A742">
        <v>741</v>
      </c>
      <c r="B742">
        <v>712</v>
      </c>
      <c r="C742">
        <v>713</v>
      </c>
      <c r="D742" t="s">
        <v>7</v>
      </c>
      <c r="E742" s="6" t="s">
        <v>68</v>
      </c>
      <c r="F742" s="6" t="b">
        <f t="shared" si="22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f t="shared" si="23"/>
        <v>0</v>
      </c>
    </row>
    <row r="743" spans="1:36">
      <c r="A743">
        <v>742</v>
      </c>
      <c r="B743">
        <v>713</v>
      </c>
      <c r="C743">
        <v>714</v>
      </c>
      <c r="D743" t="s">
        <v>45</v>
      </c>
      <c r="E743" s="6" t="s">
        <v>7</v>
      </c>
      <c r="F743" s="6" t="b">
        <f t="shared" si="22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f t="shared" si="23"/>
        <v>0</v>
      </c>
    </row>
    <row r="744" spans="1:36">
      <c r="A744">
        <v>743</v>
      </c>
      <c r="B744">
        <v>714</v>
      </c>
      <c r="C744">
        <v>715</v>
      </c>
      <c r="D744" t="s">
        <v>42</v>
      </c>
      <c r="E744" s="6" t="s">
        <v>45</v>
      </c>
      <c r="F744" s="6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f t="shared" si="23"/>
        <v>0</v>
      </c>
    </row>
    <row r="745" spans="1:36">
      <c r="A745">
        <v>744</v>
      </c>
      <c r="B745">
        <v>715</v>
      </c>
      <c r="C745">
        <v>716</v>
      </c>
      <c r="D745" t="s">
        <v>7</v>
      </c>
      <c r="E745" s="6" t="s">
        <v>42</v>
      </c>
      <c r="F745" s="6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f t="shared" si="23"/>
        <v>0</v>
      </c>
    </row>
    <row r="746" spans="1:36">
      <c r="A746">
        <v>745</v>
      </c>
      <c r="B746">
        <v>716</v>
      </c>
      <c r="C746">
        <v>717</v>
      </c>
      <c r="D746" t="s">
        <v>48</v>
      </c>
      <c r="E746" s="6" t="s">
        <v>7</v>
      </c>
      <c r="F746" s="6" t="b">
        <f t="shared" si="22"/>
        <v>1</v>
      </c>
      <c r="G746" t="s">
        <v>48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0.25522041763341002</v>
      </c>
      <c r="X746">
        <v>0.80791618160651901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0.141245487</v>
      </c>
      <c r="AJ746">
        <f t="shared" si="23"/>
        <v>2</v>
      </c>
    </row>
    <row r="747" spans="1:36">
      <c r="A747">
        <v>746</v>
      </c>
      <c r="B747">
        <v>716</v>
      </c>
      <c r="C747">
        <v>717</v>
      </c>
      <c r="D747" t="s">
        <v>48</v>
      </c>
      <c r="E747" s="6" t="s">
        <v>48</v>
      </c>
      <c r="F747" s="6" t="b">
        <f t="shared" si="22"/>
        <v>0</v>
      </c>
      <c r="G747" t="s">
        <v>42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0.152075813</v>
      </c>
      <c r="AJ747">
        <f t="shared" si="23"/>
        <v>0</v>
      </c>
    </row>
    <row r="748" spans="1:36">
      <c r="A748">
        <v>747</v>
      </c>
      <c r="B748">
        <v>717</v>
      </c>
      <c r="C748">
        <v>718</v>
      </c>
      <c r="D748" t="s">
        <v>44</v>
      </c>
      <c r="E748" s="6" t="s">
        <v>48</v>
      </c>
      <c r="F748" s="6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f t="shared" si="23"/>
        <v>0</v>
      </c>
    </row>
    <row r="749" spans="1:36">
      <c r="A749">
        <v>748</v>
      </c>
      <c r="B749">
        <v>718</v>
      </c>
      <c r="C749">
        <v>719</v>
      </c>
      <c r="D749" t="s">
        <v>2</v>
      </c>
      <c r="E749" s="6" t="s">
        <v>44</v>
      </c>
      <c r="F749" s="6" t="b">
        <f t="shared" si="22"/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f t="shared" si="23"/>
        <v>0</v>
      </c>
    </row>
    <row r="750" spans="1:36">
      <c r="A750">
        <v>749</v>
      </c>
      <c r="B750">
        <v>719</v>
      </c>
      <c r="C750">
        <v>720</v>
      </c>
      <c r="D750" t="s">
        <v>9</v>
      </c>
      <c r="E750" s="6" t="s">
        <v>2</v>
      </c>
      <c r="F750" s="6" t="b">
        <f t="shared" si="22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f t="shared" si="23"/>
        <v>0</v>
      </c>
    </row>
    <row r="751" spans="1:36">
      <c r="A751">
        <v>750</v>
      </c>
      <c r="B751">
        <v>720</v>
      </c>
      <c r="C751">
        <v>721</v>
      </c>
      <c r="D751" t="s">
        <v>42</v>
      </c>
      <c r="E751" s="6" t="s">
        <v>9</v>
      </c>
      <c r="F751" s="6" t="b">
        <f t="shared" si="22"/>
        <v>0</v>
      </c>
      <c r="G751" t="s">
        <v>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0.17635270541082099</v>
      </c>
      <c r="Z751">
        <v>0.10376213592233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f t="shared" si="23"/>
        <v>0</v>
      </c>
    </row>
    <row r="752" spans="1:36">
      <c r="A752">
        <v>751</v>
      </c>
      <c r="B752">
        <v>721</v>
      </c>
      <c r="C752">
        <v>722</v>
      </c>
      <c r="D752" t="s">
        <v>45</v>
      </c>
      <c r="E752" s="6" t="s">
        <v>42</v>
      </c>
      <c r="F752" s="6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f t="shared" si="23"/>
        <v>0</v>
      </c>
    </row>
    <row r="753" spans="1:36">
      <c r="A753">
        <v>752</v>
      </c>
      <c r="B753">
        <v>722</v>
      </c>
      <c r="C753">
        <v>723</v>
      </c>
      <c r="D753" t="s">
        <v>1</v>
      </c>
      <c r="E753" s="6" t="s">
        <v>45</v>
      </c>
      <c r="F753" s="6" t="b">
        <f t="shared" si="22"/>
        <v>0</v>
      </c>
      <c r="G753" t="s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0.62894817540631698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f t="shared" si="23"/>
        <v>1</v>
      </c>
    </row>
    <row r="754" spans="1:36">
      <c r="A754">
        <v>753</v>
      </c>
      <c r="B754">
        <v>723</v>
      </c>
      <c r="C754">
        <v>724</v>
      </c>
      <c r="D754" t="s">
        <v>45</v>
      </c>
      <c r="E754" s="6" t="s">
        <v>2</v>
      </c>
      <c r="F754" s="6" t="b">
        <f t="shared" si="22"/>
        <v>1</v>
      </c>
      <c r="G754" t="s">
        <v>45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0.301369863013698</v>
      </c>
      <c r="AG754">
        <v>0</v>
      </c>
      <c r="AH754">
        <v>0</v>
      </c>
      <c r="AI754">
        <v>0</v>
      </c>
      <c r="AJ754">
        <f t="shared" si="23"/>
        <v>1</v>
      </c>
    </row>
    <row r="755" spans="1:36">
      <c r="A755">
        <v>754</v>
      </c>
      <c r="B755">
        <v>724</v>
      </c>
      <c r="C755">
        <v>725</v>
      </c>
      <c r="D755" t="s">
        <v>10</v>
      </c>
      <c r="E755" s="6" t="s">
        <v>45</v>
      </c>
      <c r="F755" s="6" t="b">
        <f t="shared" si="22"/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f t="shared" si="23"/>
        <v>0</v>
      </c>
    </row>
    <row r="756" spans="1:36">
      <c r="A756">
        <v>755</v>
      </c>
      <c r="B756">
        <v>725</v>
      </c>
      <c r="C756">
        <v>726</v>
      </c>
      <c r="D756" t="s">
        <v>4</v>
      </c>
      <c r="E756" s="6" t="s">
        <v>10</v>
      </c>
      <c r="F756" s="6" t="b">
        <f t="shared" si="22"/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f t="shared" si="23"/>
        <v>0</v>
      </c>
    </row>
    <row r="757" spans="1:36">
      <c r="A757">
        <v>756</v>
      </c>
      <c r="B757">
        <v>726</v>
      </c>
      <c r="C757">
        <v>727</v>
      </c>
      <c r="D757" t="s">
        <v>45</v>
      </c>
      <c r="E757" s="6" t="s">
        <v>4</v>
      </c>
      <c r="F757" s="6" t="b">
        <f t="shared" si="22"/>
        <v>0</v>
      </c>
      <c r="G757" t="s">
        <v>42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0.14223636200000001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f t="shared" si="23"/>
        <v>0</v>
      </c>
    </row>
    <row r="758" spans="1:36">
      <c r="A758">
        <v>757</v>
      </c>
      <c r="B758">
        <v>727</v>
      </c>
      <c r="C758">
        <v>728</v>
      </c>
      <c r="D758" t="s">
        <v>5</v>
      </c>
      <c r="E758" s="6" t="s">
        <v>45</v>
      </c>
      <c r="F758" s="6" t="b">
        <f t="shared" si="22"/>
        <v>0</v>
      </c>
      <c r="G758" t="s">
        <v>3</v>
      </c>
      <c r="H758">
        <v>0</v>
      </c>
      <c r="I758">
        <v>0</v>
      </c>
      <c r="J758">
        <v>0</v>
      </c>
      <c r="K758">
        <v>0.336972343522561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f t="shared" si="23"/>
        <v>1</v>
      </c>
    </row>
    <row r="759" spans="1:36">
      <c r="A759">
        <v>758</v>
      </c>
      <c r="B759">
        <v>728</v>
      </c>
      <c r="C759">
        <v>729</v>
      </c>
      <c r="D759" t="s">
        <v>10</v>
      </c>
      <c r="E759" s="6" t="s">
        <v>5</v>
      </c>
      <c r="F759" s="6" t="b">
        <f t="shared" si="22"/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f t="shared" si="23"/>
        <v>0</v>
      </c>
    </row>
    <row r="760" spans="1:36">
      <c r="A760">
        <v>759</v>
      </c>
      <c r="B760">
        <v>729</v>
      </c>
      <c r="C760">
        <v>730</v>
      </c>
      <c r="D760" t="s">
        <v>45</v>
      </c>
      <c r="E760" s="6" t="s">
        <v>10</v>
      </c>
      <c r="F760" s="6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f t="shared" si="23"/>
        <v>0</v>
      </c>
    </row>
    <row r="761" spans="1:36">
      <c r="A761">
        <v>760</v>
      </c>
      <c r="B761">
        <v>730</v>
      </c>
      <c r="C761">
        <v>731</v>
      </c>
      <c r="D761" t="s">
        <v>6</v>
      </c>
      <c r="E761" s="6" t="s">
        <v>45</v>
      </c>
      <c r="F761" s="6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f t="shared" si="23"/>
        <v>0</v>
      </c>
    </row>
    <row r="762" spans="1:36">
      <c r="A762">
        <v>761</v>
      </c>
      <c r="B762">
        <v>731</v>
      </c>
      <c r="C762">
        <v>732</v>
      </c>
      <c r="D762" t="s">
        <v>4</v>
      </c>
      <c r="E762" s="6" t="s">
        <v>6</v>
      </c>
      <c r="F762" s="6" t="b">
        <f t="shared" si="22"/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f t="shared" si="23"/>
        <v>0</v>
      </c>
    </row>
    <row r="763" spans="1:36">
      <c r="A763">
        <v>762</v>
      </c>
      <c r="B763">
        <v>732</v>
      </c>
      <c r="C763">
        <v>733</v>
      </c>
      <c r="D763" t="s">
        <v>46</v>
      </c>
      <c r="E763" s="6" t="s">
        <v>4</v>
      </c>
      <c r="F763" s="6" t="b">
        <f t="shared" si="22"/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f t="shared" si="23"/>
        <v>0</v>
      </c>
    </row>
    <row r="764" spans="1:36">
      <c r="A764">
        <v>763</v>
      </c>
      <c r="B764">
        <v>733</v>
      </c>
      <c r="C764">
        <v>734</v>
      </c>
      <c r="D764" t="s">
        <v>4</v>
      </c>
      <c r="E764" s="6" t="s">
        <v>46</v>
      </c>
      <c r="F764" s="6" t="b">
        <f t="shared" si="22"/>
        <v>1</v>
      </c>
      <c r="G764" t="s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0.14121546999999901</v>
      </c>
      <c r="AJ764">
        <f t="shared" si="23"/>
        <v>0</v>
      </c>
    </row>
    <row r="765" spans="1:36">
      <c r="A765">
        <v>764</v>
      </c>
      <c r="B765">
        <v>734</v>
      </c>
      <c r="C765">
        <v>735</v>
      </c>
      <c r="D765" t="s">
        <v>6</v>
      </c>
      <c r="E765" s="6" t="s">
        <v>6</v>
      </c>
      <c r="F765" s="6" t="b">
        <f t="shared" si="22"/>
        <v>0</v>
      </c>
      <c r="G765" t="s">
        <v>8</v>
      </c>
      <c r="H765">
        <v>0</v>
      </c>
      <c r="I765">
        <v>0</v>
      </c>
      <c r="J765">
        <v>0.11051154759335199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f t="shared" si="23"/>
        <v>0</v>
      </c>
    </row>
    <row r="766" spans="1:36">
      <c r="A766">
        <v>765</v>
      </c>
      <c r="B766">
        <v>735</v>
      </c>
      <c r="C766">
        <v>736</v>
      </c>
      <c r="D766" t="s">
        <v>6</v>
      </c>
      <c r="E766" s="6" t="s">
        <v>6</v>
      </c>
      <c r="F766" s="6" t="b">
        <f t="shared" si="22"/>
        <v>0</v>
      </c>
      <c r="G766" t="s">
        <v>8</v>
      </c>
      <c r="H766">
        <v>0</v>
      </c>
      <c r="I766">
        <v>0</v>
      </c>
      <c r="J766">
        <v>0.11364633611232899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f t="shared" si="23"/>
        <v>0</v>
      </c>
    </row>
    <row r="767" spans="1:36">
      <c r="A767">
        <v>766</v>
      </c>
      <c r="B767">
        <v>736</v>
      </c>
      <c r="C767">
        <v>737</v>
      </c>
      <c r="D767" t="s">
        <v>4</v>
      </c>
      <c r="E767" s="6" t="s">
        <v>6</v>
      </c>
      <c r="F767" s="6" t="b">
        <f t="shared" si="22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f t="shared" si="23"/>
        <v>0</v>
      </c>
    </row>
    <row r="768" spans="1:36">
      <c r="A768">
        <v>767</v>
      </c>
      <c r="B768">
        <v>737</v>
      </c>
      <c r="C768">
        <v>738</v>
      </c>
      <c r="D768" t="s">
        <v>4</v>
      </c>
      <c r="E768" s="6" t="s">
        <v>4</v>
      </c>
      <c r="F768" s="6" t="b">
        <f t="shared" si="22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f t="shared" si="23"/>
        <v>0</v>
      </c>
    </row>
    <row r="769" spans="1:36">
      <c r="A769">
        <v>768</v>
      </c>
      <c r="B769">
        <v>738</v>
      </c>
      <c r="C769">
        <v>739</v>
      </c>
      <c r="D769" t="s">
        <v>6</v>
      </c>
      <c r="E769" s="6" t="s">
        <v>4</v>
      </c>
      <c r="F769" s="6" t="b">
        <f t="shared" si="22"/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f t="shared" si="23"/>
        <v>0</v>
      </c>
    </row>
    <row r="770" spans="1:36">
      <c r="A770">
        <v>769</v>
      </c>
      <c r="B770">
        <v>739</v>
      </c>
      <c r="C770">
        <v>740</v>
      </c>
      <c r="D770" t="s">
        <v>10</v>
      </c>
      <c r="E770" s="6" t="s">
        <v>6</v>
      </c>
      <c r="F770" s="6" t="b">
        <f t="shared" ref="F770:F833" si="24">D770=G770</f>
        <v>1</v>
      </c>
      <c r="G770" t="s">
        <v>10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0.108670520231213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f t="shared" si="23"/>
        <v>0</v>
      </c>
    </row>
    <row r="771" spans="1:36">
      <c r="A771">
        <v>770</v>
      </c>
      <c r="B771">
        <v>740</v>
      </c>
      <c r="C771">
        <v>741</v>
      </c>
      <c r="D771" t="s">
        <v>5</v>
      </c>
      <c r="E771" s="6" t="s">
        <v>10</v>
      </c>
      <c r="F771" s="6" t="b">
        <f t="shared" si="24"/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f t="shared" ref="AJ771:AJ834" si="25">COUNTIF(H771:AI771,"&gt;0.25")</f>
        <v>0</v>
      </c>
    </row>
    <row r="772" spans="1:36">
      <c r="A772">
        <v>771</v>
      </c>
      <c r="B772">
        <v>741</v>
      </c>
      <c r="C772">
        <v>742</v>
      </c>
      <c r="D772" t="s">
        <v>7</v>
      </c>
      <c r="E772" s="6" t="s">
        <v>5</v>
      </c>
      <c r="F772" s="6" t="b">
        <f t="shared" si="24"/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f t="shared" si="25"/>
        <v>0</v>
      </c>
    </row>
    <row r="773" spans="1:36">
      <c r="A773">
        <v>772</v>
      </c>
      <c r="B773">
        <v>742</v>
      </c>
      <c r="C773">
        <v>743</v>
      </c>
      <c r="D773" t="s">
        <v>5</v>
      </c>
      <c r="E773" s="6" t="s">
        <v>10</v>
      </c>
      <c r="F773" s="6" t="b">
        <f t="shared" si="24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f t="shared" si="25"/>
        <v>0</v>
      </c>
    </row>
    <row r="774" spans="1:36">
      <c r="A774">
        <v>773</v>
      </c>
      <c r="B774">
        <v>743</v>
      </c>
      <c r="C774">
        <v>744</v>
      </c>
      <c r="D774" t="s">
        <v>10</v>
      </c>
      <c r="E774" s="6" t="s">
        <v>5</v>
      </c>
      <c r="F774" s="6" t="b">
        <f t="shared" si="24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f t="shared" si="25"/>
        <v>0</v>
      </c>
    </row>
    <row r="775" spans="1:36">
      <c r="A775">
        <v>774</v>
      </c>
      <c r="B775">
        <v>744</v>
      </c>
      <c r="C775">
        <v>745</v>
      </c>
      <c r="D775" t="s">
        <v>7</v>
      </c>
      <c r="E775" s="6" t="s">
        <v>10</v>
      </c>
      <c r="F775" s="6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f t="shared" si="25"/>
        <v>0</v>
      </c>
    </row>
    <row r="776" spans="1:36">
      <c r="A776">
        <v>775</v>
      </c>
      <c r="B776">
        <v>745</v>
      </c>
      <c r="C776">
        <v>746</v>
      </c>
      <c r="D776" t="s">
        <v>4</v>
      </c>
      <c r="E776" s="6" t="s">
        <v>7</v>
      </c>
      <c r="F776" s="6" t="b">
        <f t="shared" si="24"/>
        <v>1</v>
      </c>
      <c r="G776" t="s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0.84090909090909005</v>
      </c>
      <c r="AH776">
        <v>0</v>
      </c>
      <c r="AI776">
        <v>0</v>
      </c>
      <c r="AJ776">
        <f t="shared" si="25"/>
        <v>1</v>
      </c>
    </row>
    <row r="777" spans="1:36">
      <c r="A777">
        <v>776</v>
      </c>
      <c r="B777">
        <v>746</v>
      </c>
      <c r="C777">
        <v>747</v>
      </c>
      <c r="D777" t="s">
        <v>10</v>
      </c>
      <c r="E777" s="6" t="s">
        <v>46</v>
      </c>
      <c r="F777" s="6" t="b">
        <f t="shared" si="24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f t="shared" si="25"/>
        <v>0</v>
      </c>
    </row>
    <row r="778" spans="1:36">
      <c r="A778">
        <v>777</v>
      </c>
      <c r="B778">
        <v>747</v>
      </c>
      <c r="C778">
        <v>748</v>
      </c>
      <c r="D778" t="s">
        <v>7</v>
      </c>
      <c r="E778" s="6" t="s">
        <v>10</v>
      </c>
      <c r="F778" s="6" t="b">
        <f t="shared" si="24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f t="shared" si="25"/>
        <v>0</v>
      </c>
    </row>
    <row r="779" spans="1:36">
      <c r="A779">
        <v>778</v>
      </c>
      <c r="B779">
        <v>748</v>
      </c>
      <c r="C779">
        <v>749</v>
      </c>
      <c r="D779" t="s">
        <v>47</v>
      </c>
      <c r="E779" s="6" t="s">
        <v>42</v>
      </c>
      <c r="F779" s="6" t="b">
        <f t="shared" si="24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f t="shared" si="25"/>
        <v>0</v>
      </c>
    </row>
    <row r="780" spans="1:36">
      <c r="A780">
        <v>779</v>
      </c>
      <c r="B780">
        <v>749</v>
      </c>
      <c r="C780">
        <v>750</v>
      </c>
      <c r="D780" t="s">
        <v>5</v>
      </c>
      <c r="E780" s="6" t="s">
        <v>47</v>
      </c>
      <c r="F780" s="6" t="b">
        <f t="shared" si="24"/>
        <v>0</v>
      </c>
      <c r="G780" t="s">
        <v>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0.16147082299999899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f t="shared" si="25"/>
        <v>0</v>
      </c>
    </row>
    <row r="781" spans="1:36">
      <c r="A781">
        <v>780</v>
      </c>
      <c r="B781">
        <v>749</v>
      </c>
      <c r="C781">
        <v>750</v>
      </c>
      <c r="D781" t="s">
        <v>5</v>
      </c>
      <c r="E781" s="6" t="s">
        <v>3</v>
      </c>
      <c r="F781" s="6" t="b">
        <f t="shared" si="24"/>
        <v>0</v>
      </c>
      <c r="G781" t="s">
        <v>3</v>
      </c>
      <c r="H781">
        <v>0</v>
      </c>
      <c r="I781">
        <v>0</v>
      </c>
      <c r="J781">
        <v>0.135566188197767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f t="shared" si="25"/>
        <v>0</v>
      </c>
    </row>
    <row r="782" spans="1:36">
      <c r="A782">
        <v>781</v>
      </c>
      <c r="B782">
        <v>750</v>
      </c>
      <c r="C782">
        <v>751</v>
      </c>
      <c r="D782" t="s">
        <v>4</v>
      </c>
      <c r="E782" s="6" t="s">
        <v>3</v>
      </c>
      <c r="F782" s="6" t="b">
        <f t="shared" si="24"/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f t="shared" si="25"/>
        <v>0</v>
      </c>
    </row>
    <row r="783" spans="1:36">
      <c r="A783">
        <v>782</v>
      </c>
      <c r="B783">
        <v>751</v>
      </c>
      <c r="C783">
        <v>752</v>
      </c>
      <c r="D783" t="s">
        <v>48</v>
      </c>
      <c r="E783" s="6" t="s">
        <v>4</v>
      </c>
      <c r="F783" s="6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f t="shared" si="25"/>
        <v>0</v>
      </c>
    </row>
    <row r="784" spans="1:36">
      <c r="A784">
        <v>783</v>
      </c>
      <c r="B784">
        <v>752</v>
      </c>
      <c r="C784">
        <v>753</v>
      </c>
      <c r="D784" t="s">
        <v>42</v>
      </c>
      <c r="E784" s="6" t="s">
        <v>7</v>
      </c>
      <c r="F784" s="6" t="b">
        <f t="shared" si="24"/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f t="shared" si="25"/>
        <v>0</v>
      </c>
    </row>
    <row r="785" spans="1:36">
      <c r="A785">
        <v>784</v>
      </c>
      <c r="B785">
        <v>753</v>
      </c>
      <c r="C785">
        <v>754</v>
      </c>
      <c r="D785" t="s">
        <v>45</v>
      </c>
      <c r="E785" s="6" t="s">
        <v>42</v>
      </c>
      <c r="F785" s="6" t="b">
        <f t="shared" si="24"/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f t="shared" si="25"/>
        <v>0</v>
      </c>
    </row>
    <row r="786" spans="1:36">
      <c r="A786">
        <v>785</v>
      </c>
      <c r="B786">
        <v>754</v>
      </c>
      <c r="C786">
        <v>755</v>
      </c>
      <c r="D786" t="s">
        <v>42</v>
      </c>
      <c r="E786" s="6" t="s">
        <v>1</v>
      </c>
      <c r="F786" s="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f t="shared" si="25"/>
        <v>0</v>
      </c>
    </row>
    <row r="787" spans="1:36">
      <c r="A787">
        <v>786</v>
      </c>
      <c r="B787">
        <v>755</v>
      </c>
      <c r="C787">
        <v>756</v>
      </c>
      <c r="D787" t="s">
        <v>46</v>
      </c>
      <c r="E787" s="6" t="s">
        <v>42</v>
      </c>
      <c r="F787" s="6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f t="shared" si="25"/>
        <v>0</v>
      </c>
    </row>
    <row r="788" spans="1:36">
      <c r="A788">
        <v>787</v>
      </c>
      <c r="B788">
        <v>756</v>
      </c>
      <c r="C788">
        <v>757</v>
      </c>
      <c r="D788" t="s">
        <v>69</v>
      </c>
      <c r="E788" s="6" t="s">
        <v>46</v>
      </c>
      <c r="F788" s="6" t="b">
        <f t="shared" si="24"/>
        <v>0</v>
      </c>
      <c r="G788" t="s">
        <v>51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0.136181390847504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f t="shared" si="25"/>
        <v>0</v>
      </c>
    </row>
    <row r="789" spans="1:36">
      <c r="A789">
        <v>788</v>
      </c>
      <c r="B789">
        <v>757</v>
      </c>
      <c r="C789">
        <v>758</v>
      </c>
      <c r="D789" t="s">
        <v>47</v>
      </c>
      <c r="E789" s="6" t="s">
        <v>69</v>
      </c>
      <c r="F789" s="6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f t="shared" si="25"/>
        <v>0</v>
      </c>
    </row>
    <row r="790" spans="1:36">
      <c r="A790">
        <v>789</v>
      </c>
      <c r="B790">
        <v>758</v>
      </c>
      <c r="C790">
        <v>759</v>
      </c>
      <c r="D790" t="s">
        <v>5</v>
      </c>
      <c r="E790" s="6" t="s">
        <v>5</v>
      </c>
      <c r="F790" s="6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f t="shared" si="25"/>
        <v>0</v>
      </c>
    </row>
    <row r="791" spans="1:36">
      <c r="A791">
        <v>790</v>
      </c>
      <c r="B791">
        <v>759</v>
      </c>
      <c r="C791">
        <v>760</v>
      </c>
      <c r="D791" t="s">
        <v>42</v>
      </c>
      <c r="E791" s="6" t="s">
        <v>5</v>
      </c>
      <c r="F791" s="6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f t="shared" si="25"/>
        <v>0</v>
      </c>
    </row>
    <row r="792" spans="1:36">
      <c r="A792">
        <v>791</v>
      </c>
      <c r="B792">
        <v>760</v>
      </c>
      <c r="C792">
        <v>761</v>
      </c>
      <c r="D792" t="s">
        <v>10</v>
      </c>
      <c r="E792" s="6" t="s">
        <v>42</v>
      </c>
      <c r="F792" s="6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f t="shared" si="25"/>
        <v>0</v>
      </c>
    </row>
    <row r="793" spans="1:36">
      <c r="A793">
        <v>792</v>
      </c>
      <c r="B793">
        <v>761</v>
      </c>
      <c r="C793">
        <v>762</v>
      </c>
      <c r="D793" t="s">
        <v>7</v>
      </c>
      <c r="E793" s="6" t="s">
        <v>10</v>
      </c>
      <c r="F793" s="6" t="b">
        <f t="shared" si="24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f t="shared" si="25"/>
        <v>0</v>
      </c>
    </row>
    <row r="794" spans="1:36">
      <c r="A794">
        <v>793</v>
      </c>
      <c r="B794">
        <v>762</v>
      </c>
      <c r="C794">
        <v>763</v>
      </c>
      <c r="D794" t="s">
        <v>42</v>
      </c>
      <c r="E794" s="6" t="s">
        <v>7</v>
      </c>
      <c r="F794" s="6" t="b">
        <f t="shared" si="24"/>
        <v>1</v>
      </c>
      <c r="G794" t="s">
        <v>42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0.994299606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f t="shared" si="25"/>
        <v>1</v>
      </c>
    </row>
    <row r="795" spans="1:36">
      <c r="A795">
        <v>794</v>
      </c>
      <c r="B795">
        <v>763</v>
      </c>
      <c r="C795">
        <v>764</v>
      </c>
      <c r="D795" t="s">
        <v>48</v>
      </c>
      <c r="E795" s="6" t="s">
        <v>42</v>
      </c>
      <c r="F795" s="6" t="b">
        <f t="shared" si="24"/>
        <v>0</v>
      </c>
      <c r="G795" t="s">
        <v>47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0.22154280338664101</v>
      </c>
      <c r="Z795">
        <v>0.16049382716049301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f t="shared" si="25"/>
        <v>0</v>
      </c>
    </row>
    <row r="796" spans="1:36">
      <c r="A796">
        <v>795</v>
      </c>
      <c r="B796">
        <v>764</v>
      </c>
      <c r="C796">
        <v>765</v>
      </c>
      <c r="D796" t="s">
        <v>42</v>
      </c>
      <c r="E796" s="6" t="s">
        <v>50</v>
      </c>
      <c r="F796" s="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f t="shared" si="25"/>
        <v>0</v>
      </c>
    </row>
    <row r="797" spans="1:36">
      <c r="A797">
        <v>796</v>
      </c>
      <c r="B797">
        <v>765</v>
      </c>
      <c r="C797">
        <v>766</v>
      </c>
      <c r="D797" t="s">
        <v>48</v>
      </c>
      <c r="E797" s="6" t="s">
        <v>42</v>
      </c>
      <c r="F797" s="6" t="b">
        <f t="shared" si="24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f t="shared" si="25"/>
        <v>0</v>
      </c>
    </row>
    <row r="798" spans="1:36">
      <c r="A798">
        <v>797</v>
      </c>
      <c r="B798">
        <v>766</v>
      </c>
      <c r="C798">
        <v>767</v>
      </c>
      <c r="D798" t="s">
        <v>7</v>
      </c>
      <c r="E798" s="6" t="s">
        <v>48</v>
      </c>
      <c r="F798" s="6" t="b">
        <f t="shared" si="24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f t="shared" si="25"/>
        <v>0</v>
      </c>
    </row>
    <row r="799" spans="1:36">
      <c r="A799">
        <v>798</v>
      </c>
      <c r="B799">
        <v>767</v>
      </c>
      <c r="C799">
        <v>768</v>
      </c>
      <c r="D799" t="s">
        <v>68</v>
      </c>
      <c r="E799" s="6" t="s">
        <v>7</v>
      </c>
      <c r="F799" s="6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f t="shared" si="25"/>
        <v>0</v>
      </c>
    </row>
    <row r="800" spans="1:36">
      <c r="A800">
        <v>799</v>
      </c>
      <c r="B800">
        <v>768</v>
      </c>
      <c r="C800">
        <v>769</v>
      </c>
      <c r="D800" t="s">
        <v>9</v>
      </c>
      <c r="E800" s="6" t="s">
        <v>68</v>
      </c>
      <c r="F800" s="6" t="b">
        <f t="shared" si="24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f t="shared" si="25"/>
        <v>0</v>
      </c>
    </row>
    <row r="801" spans="1:36">
      <c r="A801">
        <v>800</v>
      </c>
      <c r="B801">
        <v>769</v>
      </c>
      <c r="C801">
        <v>770</v>
      </c>
      <c r="D801" t="s">
        <v>10</v>
      </c>
      <c r="E801" s="6" t="s">
        <v>9</v>
      </c>
      <c r="F801" s="6" t="b">
        <f t="shared" si="24"/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f t="shared" si="25"/>
        <v>0</v>
      </c>
    </row>
    <row r="802" spans="1:36">
      <c r="A802">
        <v>801</v>
      </c>
      <c r="B802">
        <v>770</v>
      </c>
      <c r="C802">
        <v>771</v>
      </c>
      <c r="D802" t="s">
        <v>42</v>
      </c>
      <c r="E802" s="6" t="s">
        <v>10</v>
      </c>
      <c r="F802" s="6" t="b">
        <f t="shared" si="24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f t="shared" si="25"/>
        <v>0</v>
      </c>
    </row>
    <row r="803" spans="1:36">
      <c r="A803">
        <v>802</v>
      </c>
      <c r="B803">
        <v>771</v>
      </c>
      <c r="C803">
        <v>772</v>
      </c>
      <c r="D803" t="s">
        <v>2</v>
      </c>
      <c r="E803" s="6" t="s">
        <v>42</v>
      </c>
      <c r="F803" s="6" t="b">
        <f t="shared" si="24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f t="shared" si="25"/>
        <v>0</v>
      </c>
    </row>
    <row r="804" spans="1:36">
      <c r="A804">
        <v>803</v>
      </c>
      <c r="B804">
        <v>772</v>
      </c>
      <c r="C804">
        <v>773</v>
      </c>
      <c r="D804" t="s">
        <v>5</v>
      </c>
      <c r="E804" s="6" t="s">
        <v>10</v>
      </c>
      <c r="F804" s="6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f t="shared" si="25"/>
        <v>0</v>
      </c>
    </row>
    <row r="805" spans="1:36">
      <c r="A805">
        <v>804</v>
      </c>
      <c r="B805">
        <v>773</v>
      </c>
      <c r="C805">
        <v>774</v>
      </c>
      <c r="D805" t="s">
        <v>42</v>
      </c>
      <c r="E805" s="6" t="s">
        <v>5</v>
      </c>
      <c r="F805" s="6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f t="shared" si="25"/>
        <v>0</v>
      </c>
    </row>
    <row r="806" spans="1:36">
      <c r="A806">
        <v>805</v>
      </c>
      <c r="B806">
        <v>774</v>
      </c>
      <c r="C806">
        <v>775</v>
      </c>
      <c r="D806" t="s">
        <v>42</v>
      </c>
      <c r="E806" s="6" t="s">
        <v>42</v>
      </c>
      <c r="F806" s="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f t="shared" si="25"/>
        <v>0</v>
      </c>
    </row>
    <row r="807" spans="1:36">
      <c r="A807">
        <v>806</v>
      </c>
      <c r="B807">
        <v>775</v>
      </c>
      <c r="C807">
        <v>776</v>
      </c>
      <c r="D807" t="s">
        <v>42</v>
      </c>
      <c r="E807" s="6" t="s">
        <v>42</v>
      </c>
      <c r="F807" s="6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f t="shared" si="25"/>
        <v>0</v>
      </c>
    </row>
    <row r="808" spans="1:36">
      <c r="A808">
        <v>807</v>
      </c>
      <c r="B808">
        <v>776</v>
      </c>
      <c r="C808">
        <v>777</v>
      </c>
      <c r="D808" t="s">
        <v>46</v>
      </c>
      <c r="E808" s="6" t="s">
        <v>42</v>
      </c>
      <c r="F808" s="6" t="b">
        <f t="shared" si="24"/>
        <v>1</v>
      </c>
      <c r="G808" t="s">
        <v>46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0.10520487264673301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f t="shared" si="25"/>
        <v>0</v>
      </c>
    </row>
    <row r="809" spans="1:36">
      <c r="A809">
        <v>808</v>
      </c>
      <c r="B809">
        <v>777</v>
      </c>
      <c r="C809">
        <v>778</v>
      </c>
      <c r="D809" t="s">
        <v>47</v>
      </c>
      <c r="E809" s="6" t="s">
        <v>46</v>
      </c>
      <c r="F809" s="6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f t="shared" si="25"/>
        <v>0</v>
      </c>
    </row>
    <row r="810" spans="1:36">
      <c r="A810">
        <v>809</v>
      </c>
      <c r="B810">
        <v>778</v>
      </c>
      <c r="C810">
        <v>779</v>
      </c>
      <c r="D810" t="s">
        <v>2</v>
      </c>
      <c r="E810" s="6" t="s">
        <v>47</v>
      </c>
      <c r="F810" s="6" t="b">
        <f t="shared" si="24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f t="shared" si="25"/>
        <v>0</v>
      </c>
    </row>
    <row r="811" spans="1:36">
      <c r="A811">
        <v>810</v>
      </c>
      <c r="B811">
        <v>779</v>
      </c>
      <c r="C811">
        <v>780</v>
      </c>
      <c r="D811" t="s">
        <v>10</v>
      </c>
      <c r="E811" s="6" t="s">
        <v>2</v>
      </c>
      <c r="F811" s="6" t="b">
        <f t="shared" si="24"/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f t="shared" si="25"/>
        <v>0</v>
      </c>
    </row>
    <row r="812" spans="1:36">
      <c r="A812">
        <v>811</v>
      </c>
      <c r="B812">
        <v>780</v>
      </c>
      <c r="C812">
        <v>781</v>
      </c>
      <c r="D812" t="s">
        <v>46</v>
      </c>
      <c r="E812" s="6" t="s">
        <v>10</v>
      </c>
      <c r="F812" s="6" t="b">
        <f t="shared" si="24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f t="shared" si="25"/>
        <v>0</v>
      </c>
    </row>
    <row r="813" spans="1:36">
      <c r="A813">
        <v>812</v>
      </c>
      <c r="B813">
        <v>781</v>
      </c>
      <c r="C813">
        <v>782</v>
      </c>
      <c r="D813" t="s">
        <v>47</v>
      </c>
      <c r="E813" s="6" t="s">
        <v>46</v>
      </c>
      <c r="F813" s="6" t="b">
        <f t="shared" si="24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f t="shared" si="25"/>
        <v>0</v>
      </c>
    </row>
    <row r="814" spans="1:36">
      <c r="A814">
        <v>813</v>
      </c>
      <c r="B814">
        <v>782</v>
      </c>
      <c r="C814">
        <v>783</v>
      </c>
      <c r="D814" t="s">
        <v>6</v>
      </c>
      <c r="E814" s="6" t="s">
        <v>47</v>
      </c>
      <c r="F814" s="6" t="b">
        <f t="shared" si="24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f t="shared" si="25"/>
        <v>0</v>
      </c>
    </row>
    <row r="815" spans="1:36">
      <c r="A815">
        <v>814</v>
      </c>
      <c r="B815">
        <v>783</v>
      </c>
      <c r="C815">
        <v>784</v>
      </c>
      <c r="D815" t="s">
        <v>42</v>
      </c>
      <c r="E815" s="6" t="s">
        <v>6</v>
      </c>
      <c r="F815" s="6" t="b">
        <f t="shared" si="24"/>
        <v>1</v>
      </c>
      <c r="G815" t="s">
        <v>42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0.339866003999999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f t="shared" si="25"/>
        <v>1</v>
      </c>
    </row>
    <row r="816" spans="1:36">
      <c r="A816">
        <v>815</v>
      </c>
      <c r="B816">
        <v>784</v>
      </c>
      <c r="C816">
        <v>785</v>
      </c>
      <c r="D816" t="s">
        <v>42</v>
      </c>
      <c r="E816" s="6" t="s">
        <v>42</v>
      </c>
      <c r="F816" s="6" t="b">
        <f t="shared" si="24"/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f t="shared" si="25"/>
        <v>0</v>
      </c>
    </row>
    <row r="817" spans="1:36">
      <c r="A817">
        <v>816</v>
      </c>
      <c r="B817">
        <v>785</v>
      </c>
      <c r="C817">
        <v>786</v>
      </c>
      <c r="D817" t="s">
        <v>4</v>
      </c>
      <c r="E817" s="6" t="s">
        <v>42</v>
      </c>
      <c r="F817" s="6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f t="shared" si="25"/>
        <v>0</v>
      </c>
    </row>
    <row r="818" spans="1:36">
      <c r="A818">
        <v>817</v>
      </c>
      <c r="B818">
        <v>786</v>
      </c>
      <c r="C818">
        <v>787</v>
      </c>
      <c r="D818" t="s">
        <v>10</v>
      </c>
      <c r="E818" s="6" t="s">
        <v>4</v>
      </c>
      <c r="F818" s="6" t="b">
        <f t="shared" si="24"/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f t="shared" si="25"/>
        <v>0</v>
      </c>
    </row>
    <row r="819" spans="1:36">
      <c r="A819">
        <v>818</v>
      </c>
      <c r="B819">
        <v>787</v>
      </c>
      <c r="C819">
        <v>788</v>
      </c>
      <c r="D819" t="s">
        <v>10</v>
      </c>
      <c r="E819" s="6" t="s">
        <v>10</v>
      </c>
      <c r="F819" s="6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f t="shared" si="25"/>
        <v>0</v>
      </c>
    </row>
    <row r="820" spans="1:36">
      <c r="A820">
        <v>819</v>
      </c>
      <c r="B820">
        <v>788</v>
      </c>
      <c r="C820">
        <v>789</v>
      </c>
      <c r="D820" t="s">
        <v>4</v>
      </c>
      <c r="E820" s="6" t="s">
        <v>10</v>
      </c>
      <c r="F820" s="6" t="b">
        <f t="shared" si="24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f t="shared" si="25"/>
        <v>0</v>
      </c>
    </row>
    <row r="821" spans="1:36">
      <c r="A821">
        <v>820</v>
      </c>
      <c r="B821">
        <v>789</v>
      </c>
      <c r="C821">
        <v>790</v>
      </c>
      <c r="D821" t="s">
        <v>69</v>
      </c>
      <c r="E821" s="6" t="s">
        <v>4</v>
      </c>
      <c r="F821" s="6" t="b">
        <f t="shared" si="24"/>
        <v>0</v>
      </c>
      <c r="G821" t="s">
        <v>51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0.13591331269349799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f t="shared" si="25"/>
        <v>0</v>
      </c>
    </row>
    <row r="822" spans="1:36">
      <c r="A822">
        <v>821</v>
      </c>
      <c r="B822">
        <v>790</v>
      </c>
      <c r="C822">
        <v>791</v>
      </c>
      <c r="D822" t="s">
        <v>4</v>
      </c>
      <c r="E822" s="6" t="s">
        <v>69</v>
      </c>
      <c r="F822" s="6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f t="shared" si="25"/>
        <v>0</v>
      </c>
    </row>
    <row r="823" spans="1:36">
      <c r="A823">
        <v>822</v>
      </c>
      <c r="B823">
        <v>791</v>
      </c>
      <c r="C823">
        <v>792</v>
      </c>
      <c r="D823" t="s">
        <v>46</v>
      </c>
      <c r="E823" s="6" t="s">
        <v>6</v>
      </c>
      <c r="F823" s="6" t="b">
        <f t="shared" si="24"/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f t="shared" si="25"/>
        <v>0</v>
      </c>
    </row>
    <row r="824" spans="1:36">
      <c r="A824">
        <v>823</v>
      </c>
      <c r="B824">
        <v>792</v>
      </c>
      <c r="C824">
        <v>793</v>
      </c>
      <c r="D824" t="s">
        <v>42</v>
      </c>
      <c r="E824" s="6" t="s">
        <v>1</v>
      </c>
      <c r="F824" s="6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f t="shared" si="25"/>
        <v>0</v>
      </c>
    </row>
    <row r="825" spans="1:36">
      <c r="A825">
        <v>824</v>
      </c>
      <c r="B825">
        <v>793</v>
      </c>
      <c r="C825">
        <v>794</v>
      </c>
      <c r="D825" t="s">
        <v>8</v>
      </c>
      <c r="E825" s="6" t="s">
        <v>42</v>
      </c>
      <c r="F825" s="6" t="b">
        <f t="shared" si="24"/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f t="shared" si="25"/>
        <v>0</v>
      </c>
    </row>
    <row r="826" spans="1:36">
      <c r="A826">
        <v>825</v>
      </c>
      <c r="B826">
        <v>794</v>
      </c>
      <c r="C826">
        <v>795</v>
      </c>
      <c r="D826" t="s">
        <v>68</v>
      </c>
      <c r="E826" s="6" t="s">
        <v>8</v>
      </c>
      <c r="F826" s="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f t="shared" si="25"/>
        <v>0</v>
      </c>
    </row>
    <row r="827" spans="1:36">
      <c r="A827">
        <v>826</v>
      </c>
      <c r="B827">
        <v>795</v>
      </c>
      <c r="C827">
        <v>796</v>
      </c>
      <c r="D827" t="s">
        <v>69</v>
      </c>
      <c r="E827" s="6" t="s">
        <v>68</v>
      </c>
      <c r="F827" s="6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f t="shared" si="25"/>
        <v>0</v>
      </c>
    </row>
    <row r="828" spans="1:36">
      <c r="A828">
        <v>827</v>
      </c>
      <c r="B828">
        <v>796</v>
      </c>
      <c r="C828">
        <v>797</v>
      </c>
      <c r="D828" t="s">
        <v>69</v>
      </c>
      <c r="E828" s="6" t="s">
        <v>69</v>
      </c>
      <c r="F828" s="6" t="b">
        <f t="shared" si="24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f t="shared" si="25"/>
        <v>0</v>
      </c>
    </row>
    <row r="829" spans="1:36">
      <c r="A829">
        <v>828</v>
      </c>
      <c r="B829">
        <v>797</v>
      </c>
      <c r="C829">
        <v>798</v>
      </c>
      <c r="D829" t="s">
        <v>7</v>
      </c>
      <c r="E829" s="6" t="s">
        <v>69</v>
      </c>
      <c r="F829" s="6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f t="shared" si="25"/>
        <v>0</v>
      </c>
    </row>
    <row r="830" spans="1:36">
      <c r="A830">
        <v>829</v>
      </c>
      <c r="B830">
        <v>798</v>
      </c>
      <c r="C830">
        <v>799</v>
      </c>
      <c r="D830" t="s">
        <v>42</v>
      </c>
      <c r="E830" s="6" t="s">
        <v>3</v>
      </c>
      <c r="F830" s="6" t="b">
        <f t="shared" si="24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f t="shared" si="25"/>
        <v>0</v>
      </c>
    </row>
    <row r="831" spans="1:36">
      <c r="A831">
        <v>830</v>
      </c>
      <c r="B831">
        <v>799</v>
      </c>
      <c r="C831">
        <v>800</v>
      </c>
      <c r="D831" t="s">
        <v>42</v>
      </c>
      <c r="E831" s="6" t="s">
        <v>42</v>
      </c>
      <c r="F831" s="6" t="b">
        <f t="shared" si="24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f t="shared" si="25"/>
        <v>0</v>
      </c>
    </row>
    <row r="832" spans="1:36">
      <c r="A832">
        <v>831</v>
      </c>
      <c r="B832">
        <v>800</v>
      </c>
      <c r="C832">
        <v>801</v>
      </c>
      <c r="D832" t="s">
        <v>44</v>
      </c>
      <c r="E832" s="6" t="s">
        <v>42</v>
      </c>
      <c r="F832" s="6" t="b">
        <f t="shared" si="24"/>
        <v>1</v>
      </c>
      <c r="G832" t="s">
        <v>44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0.101613456917267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f t="shared" si="25"/>
        <v>0</v>
      </c>
    </row>
    <row r="833" spans="1:36">
      <c r="A833">
        <v>832</v>
      </c>
      <c r="B833">
        <v>801</v>
      </c>
      <c r="C833">
        <v>802</v>
      </c>
      <c r="D833" t="s">
        <v>68</v>
      </c>
      <c r="E833" s="6" t="s">
        <v>44</v>
      </c>
      <c r="F833" s="6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f t="shared" si="25"/>
        <v>0</v>
      </c>
    </row>
    <row r="834" spans="1:36">
      <c r="A834">
        <v>833</v>
      </c>
      <c r="B834">
        <v>802</v>
      </c>
      <c r="C834">
        <v>803</v>
      </c>
      <c r="D834" t="s">
        <v>69</v>
      </c>
      <c r="E834" s="6" t="s">
        <v>68</v>
      </c>
      <c r="F834" s="6" t="b">
        <f t="shared" ref="F834:F894" si="26">D834=G834</f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f t="shared" si="25"/>
        <v>0</v>
      </c>
    </row>
    <row r="835" spans="1:36">
      <c r="A835">
        <v>834</v>
      </c>
      <c r="B835">
        <v>803</v>
      </c>
      <c r="C835">
        <v>804</v>
      </c>
      <c r="D835" t="s">
        <v>7</v>
      </c>
      <c r="E835" s="6" t="s">
        <v>69</v>
      </c>
      <c r="F835" s="6" t="b">
        <f t="shared" si="26"/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f t="shared" ref="AJ835:AJ894" si="27">COUNTIF(H835:AI835,"&gt;0.25")</f>
        <v>0</v>
      </c>
    </row>
    <row r="836" spans="1:36">
      <c r="A836">
        <v>835</v>
      </c>
      <c r="B836">
        <v>804</v>
      </c>
      <c r="C836">
        <v>805</v>
      </c>
      <c r="D836" t="s">
        <v>44</v>
      </c>
      <c r="E836" s="6" t="s">
        <v>7</v>
      </c>
      <c r="F836" s="6" t="b">
        <f t="shared" si="26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f t="shared" si="27"/>
        <v>0</v>
      </c>
    </row>
    <row r="837" spans="1:36">
      <c r="A837">
        <v>836</v>
      </c>
      <c r="B837">
        <v>805</v>
      </c>
      <c r="C837">
        <v>806</v>
      </c>
      <c r="D837" t="s">
        <v>6</v>
      </c>
      <c r="E837" s="6" t="s">
        <v>44</v>
      </c>
      <c r="F837" s="6" t="b">
        <f t="shared" si="26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f t="shared" si="27"/>
        <v>0</v>
      </c>
    </row>
    <row r="838" spans="1:36">
      <c r="A838">
        <v>837</v>
      </c>
      <c r="B838">
        <v>806</v>
      </c>
      <c r="C838">
        <v>807</v>
      </c>
      <c r="D838" t="s">
        <v>42</v>
      </c>
      <c r="E838" s="6" t="s">
        <v>6</v>
      </c>
      <c r="F838" s="6" t="b">
        <f t="shared" si="26"/>
        <v>1</v>
      </c>
      <c r="G838" t="s">
        <v>42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0.123945489941596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f t="shared" si="27"/>
        <v>0</v>
      </c>
    </row>
    <row r="839" spans="1:36">
      <c r="A839">
        <v>838</v>
      </c>
      <c r="B839">
        <v>807</v>
      </c>
      <c r="C839">
        <v>808</v>
      </c>
      <c r="D839" t="s">
        <v>8</v>
      </c>
      <c r="E839" s="6" t="s">
        <v>42</v>
      </c>
      <c r="F839" s="6" t="b">
        <f t="shared" si="26"/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f t="shared" si="27"/>
        <v>0</v>
      </c>
    </row>
    <row r="840" spans="1:36">
      <c r="A840">
        <v>839</v>
      </c>
      <c r="B840">
        <v>808</v>
      </c>
      <c r="C840">
        <v>809</v>
      </c>
      <c r="D840" t="s">
        <v>3</v>
      </c>
      <c r="E840" s="6" t="s">
        <v>8</v>
      </c>
      <c r="F840" s="6" t="b">
        <f t="shared" si="26"/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f t="shared" si="27"/>
        <v>0</v>
      </c>
    </row>
    <row r="841" spans="1:36">
      <c r="A841">
        <v>840</v>
      </c>
      <c r="B841">
        <v>809</v>
      </c>
      <c r="C841">
        <v>810</v>
      </c>
      <c r="D841" t="s">
        <v>7</v>
      </c>
      <c r="E841" s="6" t="s">
        <v>3</v>
      </c>
      <c r="F841" s="6" t="b">
        <f t="shared" si="26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f t="shared" si="27"/>
        <v>0</v>
      </c>
    </row>
    <row r="842" spans="1:36">
      <c r="A842">
        <v>841</v>
      </c>
      <c r="B842">
        <v>810</v>
      </c>
      <c r="C842">
        <v>811</v>
      </c>
      <c r="D842" t="s">
        <v>1</v>
      </c>
      <c r="E842" s="6" t="s">
        <v>7</v>
      </c>
      <c r="F842" s="6" t="b">
        <f t="shared" si="26"/>
        <v>0</v>
      </c>
      <c r="G842" t="s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0.168048645660585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f t="shared" si="27"/>
        <v>0</v>
      </c>
    </row>
    <row r="843" spans="1:36">
      <c r="A843">
        <v>842</v>
      </c>
      <c r="B843">
        <v>811</v>
      </c>
      <c r="C843">
        <v>812</v>
      </c>
      <c r="D843" t="s">
        <v>47</v>
      </c>
      <c r="E843" s="6" t="s">
        <v>1</v>
      </c>
      <c r="F843" s="6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f t="shared" si="27"/>
        <v>0</v>
      </c>
    </row>
    <row r="844" spans="1:36">
      <c r="A844">
        <v>843</v>
      </c>
      <c r="B844">
        <v>812</v>
      </c>
      <c r="C844">
        <v>813</v>
      </c>
      <c r="D844" t="s">
        <v>7</v>
      </c>
      <c r="E844" s="6" t="s">
        <v>47</v>
      </c>
      <c r="F844" s="6" t="b">
        <f t="shared" si="26"/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f t="shared" si="27"/>
        <v>0</v>
      </c>
    </row>
    <row r="845" spans="1:36">
      <c r="A845">
        <v>844</v>
      </c>
      <c r="B845">
        <v>813</v>
      </c>
      <c r="C845">
        <v>814</v>
      </c>
      <c r="D845" t="s">
        <v>42</v>
      </c>
      <c r="E845" s="6" t="s">
        <v>7</v>
      </c>
      <c r="F845" s="6" t="b">
        <f t="shared" si="26"/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f t="shared" si="27"/>
        <v>0</v>
      </c>
    </row>
    <row r="846" spans="1:36">
      <c r="A846">
        <v>845</v>
      </c>
      <c r="B846">
        <v>814</v>
      </c>
      <c r="C846">
        <v>815</v>
      </c>
      <c r="D846" t="s">
        <v>42</v>
      </c>
      <c r="E846" s="6" t="s">
        <v>42</v>
      </c>
      <c r="F846" s="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f t="shared" si="27"/>
        <v>0</v>
      </c>
    </row>
    <row r="847" spans="1:36">
      <c r="A847">
        <v>846</v>
      </c>
      <c r="B847">
        <v>815</v>
      </c>
      <c r="C847">
        <v>816</v>
      </c>
      <c r="D847" t="s">
        <v>3</v>
      </c>
      <c r="E847" s="6" t="s">
        <v>42</v>
      </c>
      <c r="F847" s="6" t="b">
        <f t="shared" si="26"/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f t="shared" si="27"/>
        <v>0</v>
      </c>
    </row>
    <row r="848" spans="1:36">
      <c r="A848">
        <v>847</v>
      </c>
      <c r="B848">
        <v>816</v>
      </c>
      <c r="C848">
        <v>817</v>
      </c>
      <c r="D848" t="s">
        <v>1</v>
      </c>
      <c r="E848" s="6" t="s">
        <v>3</v>
      </c>
      <c r="F848" s="6" t="b">
        <f t="shared" si="26"/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f t="shared" si="27"/>
        <v>0</v>
      </c>
    </row>
    <row r="849" spans="1:36">
      <c r="A849">
        <v>848</v>
      </c>
      <c r="B849">
        <v>817</v>
      </c>
      <c r="C849">
        <v>818</v>
      </c>
      <c r="D849" t="s">
        <v>2</v>
      </c>
      <c r="E849" s="6" t="s">
        <v>1</v>
      </c>
      <c r="F849" s="6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f t="shared" si="27"/>
        <v>0</v>
      </c>
    </row>
    <row r="850" spans="1:36">
      <c r="A850">
        <v>849</v>
      </c>
      <c r="B850">
        <v>818</v>
      </c>
      <c r="C850">
        <v>819</v>
      </c>
      <c r="D850" t="s">
        <v>1</v>
      </c>
      <c r="E850" s="6" t="s">
        <v>2</v>
      </c>
      <c r="F850" s="6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f t="shared" si="27"/>
        <v>0</v>
      </c>
    </row>
    <row r="851" spans="1:36">
      <c r="A851">
        <v>850</v>
      </c>
      <c r="B851">
        <v>819</v>
      </c>
      <c r="C851">
        <v>820</v>
      </c>
      <c r="D851" t="s">
        <v>46</v>
      </c>
      <c r="E851" s="6" t="s">
        <v>1</v>
      </c>
      <c r="F851" s="6" t="b">
        <f t="shared" si="26"/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f t="shared" si="27"/>
        <v>0</v>
      </c>
    </row>
    <row r="852" spans="1:36">
      <c r="A852">
        <v>851</v>
      </c>
      <c r="B852">
        <v>820</v>
      </c>
      <c r="C852">
        <v>821</v>
      </c>
      <c r="D852" t="s">
        <v>1</v>
      </c>
      <c r="E852" s="6" t="s">
        <v>46</v>
      </c>
      <c r="F852" s="6" t="b">
        <f t="shared" si="26"/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f t="shared" si="27"/>
        <v>0</v>
      </c>
    </row>
    <row r="853" spans="1:36">
      <c r="A853">
        <v>852</v>
      </c>
      <c r="B853">
        <v>821</v>
      </c>
      <c r="C853">
        <v>822</v>
      </c>
      <c r="D853" t="s">
        <v>47</v>
      </c>
      <c r="E853" s="6" t="s">
        <v>1</v>
      </c>
      <c r="F853" s="6" t="b">
        <f t="shared" si="26"/>
        <v>0</v>
      </c>
      <c r="G853" t="s">
        <v>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0.25093671200000001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f t="shared" si="27"/>
        <v>1</v>
      </c>
    </row>
    <row r="854" spans="1:36">
      <c r="A854">
        <v>853</v>
      </c>
      <c r="B854">
        <v>822</v>
      </c>
      <c r="C854">
        <v>823</v>
      </c>
      <c r="D854" t="s">
        <v>1</v>
      </c>
      <c r="E854" s="6" t="s">
        <v>47</v>
      </c>
      <c r="F854" s="6" t="b">
        <f t="shared" si="26"/>
        <v>0</v>
      </c>
      <c r="G854" t="s">
        <v>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0.240209544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f t="shared" si="27"/>
        <v>0</v>
      </c>
    </row>
    <row r="855" spans="1:36">
      <c r="A855">
        <v>854</v>
      </c>
      <c r="B855">
        <v>823</v>
      </c>
      <c r="C855">
        <v>824</v>
      </c>
      <c r="D855" t="s">
        <v>6</v>
      </c>
      <c r="E855" s="6" t="s">
        <v>1</v>
      </c>
      <c r="F855" s="6" t="b">
        <f t="shared" si="26"/>
        <v>0</v>
      </c>
      <c r="G855" t="s">
        <v>51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0.22408931200000001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f t="shared" si="27"/>
        <v>0</v>
      </c>
    </row>
    <row r="856" spans="1:36">
      <c r="A856">
        <v>855</v>
      </c>
      <c r="B856">
        <v>824</v>
      </c>
      <c r="C856">
        <v>825</v>
      </c>
      <c r="D856" t="s">
        <v>10</v>
      </c>
      <c r="E856" s="6" t="s">
        <v>6</v>
      </c>
      <c r="F856" s="6" t="b">
        <f t="shared" si="26"/>
        <v>0</v>
      </c>
      <c r="G856" t="s">
        <v>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0.22513018999999901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f t="shared" si="27"/>
        <v>0</v>
      </c>
    </row>
    <row r="857" spans="1:36">
      <c r="A857">
        <v>856</v>
      </c>
      <c r="B857">
        <v>825</v>
      </c>
      <c r="C857">
        <v>826</v>
      </c>
      <c r="D857" t="s">
        <v>2</v>
      </c>
      <c r="E857" s="6" t="s">
        <v>4</v>
      </c>
      <c r="F857" s="6" t="b">
        <f t="shared" si="26"/>
        <v>0</v>
      </c>
      <c r="G857" t="s">
        <v>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0.22478287699999999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f t="shared" si="27"/>
        <v>0</v>
      </c>
    </row>
    <row r="858" spans="1:36">
      <c r="A858">
        <v>857</v>
      </c>
      <c r="B858">
        <v>826</v>
      </c>
      <c r="C858">
        <v>827</v>
      </c>
      <c r="D858" t="s">
        <v>5</v>
      </c>
      <c r="E858" s="6" t="s">
        <v>2</v>
      </c>
      <c r="F858" s="6" t="b">
        <f t="shared" si="26"/>
        <v>0</v>
      </c>
      <c r="G858" t="s">
        <v>10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0.224316772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f t="shared" si="27"/>
        <v>0</v>
      </c>
    </row>
    <row r="859" spans="1:36">
      <c r="A859">
        <v>858</v>
      </c>
      <c r="B859">
        <v>827</v>
      </c>
      <c r="C859">
        <v>828</v>
      </c>
      <c r="D859" t="s">
        <v>10</v>
      </c>
      <c r="E859" s="6" t="s">
        <v>5</v>
      </c>
      <c r="F859" s="6" t="b">
        <f t="shared" si="26"/>
        <v>0</v>
      </c>
      <c r="G859" t="s">
        <v>51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0.22523222400000001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f t="shared" si="27"/>
        <v>0</v>
      </c>
    </row>
    <row r="860" spans="1:36">
      <c r="A860">
        <v>859</v>
      </c>
      <c r="B860">
        <v>828</v>
      </c>
      <c r="C860">
        <v>829</v>
      </c>
      <c r="D860" t="s">
        <v>46</v>
      </c>
      <c r="E860" s="6" t="s">
        <v>10</v>
      </c>
      <c r="F860" s="6" t="b">
        <f t="shared" si="26"/>
        <v>0</v>
      </c>
      <c r="G860" t="s">
        <v>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0.228492902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f t="shared" si="27"/>
        <v>0</v>
      </c>
    </row>
    <row r="861" spans="1:36">
      <c r="A861">
        <v>860</v>
      </c>
      <c r="B861">
        <v>829</v>
      </c>
      <c r="C861">
        <v>830</v>
      </c>
      <c r="D861" t="s">
        <v>46</v>
      </c>
      <c r="E861" s="6" t="s">
        <v>47</v>
      </c>
      <c r="F861" s="6" t="b">
        <f t="shared" si="26"/>
        <v>0</v>
      </c>
      <c r="G861" t="s">
        <v>68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0.218523894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f t="shared" si="27"/>
        <v>0</v>
      </c>
    </row>
    <row r="862" spans="1:36">
      <c r="A862">
        <v>861</v>
      </c>
      <c r="B862">
        <v>830</v>
      </c>
      <c r="C862">
        <v>831</v>
      </c>
      <c r="D862" t="s">
        <v>6</v>
      </c>
      <c r="E862" s="6" t="s">
        <v>46</v>
      </c>
      <c r="F862" s="6" t="b">
        <f t="shared" si="26"/>
        <v>0</v>
      </c>
      <c r="G862" t="s">
        <v>10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0.230186155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f t="shared" si="27"/>
        <v>0</v>
      </c>
    </row>
    <row r="863" spans="1:36">
      <c r="A863">
        <v>862</v>
      </c>
      <c r="B863">
        <v>831</v>
      </c>
      <c r="C863">
        <v>832</v>
      </c>
      <c r="D863" t="s">
        <v>46</v>
      </c>
      <c r="E863" s="6" t="s">
        <v>6</v>
      </c>
      <c r="F863" s="6" t="b">
        <f t="shared" si="26"/>
        <v>0</v>
      </c>
      <c r="G863" t="s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0.22771446000000001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f t="shared" si="27"/>
        <v>0</v>
      </c>
    </row>
    <row r="864" spans="1:36">
      <c r="A864">
        <v>863</v>
      </c>
      <c r="B864">
        <v>832</v>
      </c>
      <c r="C864">
        <v>833</v>
      </c>
      <c r="D864" t="s">
        <v>47</v>
      </c>
      <c r="E864" s="6" t="s">
        <v>47</v>
      </c>
      <c r="F864" s="6" t="b">
        <f t="shared" si="26"/>
        <v>0</v>
      </c>
      <c r="G864" t="s">
        <v>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0.223051531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f t="shared" si="27"/>
        <v>0</v>
      </c>
    </row>
    <row r="865" spans="1:36">
      <c r="A865">
        <v>864</v>
      </c>
      <c r="B865">
        <v>833</v>
      </c>
      <c r="C865">
        <v>834</v>
      </c>
      <c r="D865" t="s">
        <v>44</v>
      </c>
      <c r="E865" s="6" t="s">
        <v>47</v>
      </c>
      <c r="F865" s="6" t="b">
        <f t="shared" si="26"/>
        <v>0</v>
      </c>
      <c r="G865" t="s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0.22610260200000001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f t="shared" si="27"/>
        <v>0</v>
      </c>
    </row>
    <row r="866" spans="1:36">
      <c r="A866">
        <v>865</v>
      </c>
      <c r="B866">
        <v>834</v>
      </c>
      <c r="C866">
        <v>835</v>
      </c>
      <c r="D866" t="s">
        <v>10</v>
      </c>
      <c r="E866" s="6" t="s">
        <v>44</v>
      </c>
      <c r="F866" s="6" t="b">
        <f t="shared" si="26"/>
        <v>0</v>
      </c>
      <c r="G866" t="s">
        <v>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0.22256779499999901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f t="shared" si="27"/>
        <v>0</v>
      </c>
    </row>
    <row r="867" spans="1:36">
      <c r="A867">
        <v>866</v>
      </c>
      <c r="B867">
        <v>835</v>
      </c>
      <c r="C867">
        <v>836</v>
      </c>
      <c r="D867" t="s">
        <v>47</v>
      </c>
      <c r="E867" s="6" t="s">
        <v>4</v>
      </c>
      <c r="F867" s="6" t="b">
        <f t="shared" si="26"/>
        <v>0</v>
      </c>
      <c r="G867" t="s">
        <v>48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0.104656985478217</v>
      </c>
      <c r="AG867">
        <v>0</v>
      </c>
      <c r="AH867">
        <v>0</v>
      </c>
      <c r="AI867">
        <v>0</v>
      </c>
      <c r="AJ867">
        <f t="shared" si="27"/>
        <v>0</v>
      </c>
    </row>
    <row r="868" spans="1:36">
      <c r="A868">
        <v>867</v>
      </c>
      <c r="B868">
        <v>835</v>
      </c>
      <c r="C868">
        <v>836</v>
      </c>
      <c r="D868" t="s">
        <v>47</v>
      </c>
      <c r="E868" s="6" t="s">
        <v>1</v>
      </c>
      <c r="F868" s="6" t="b">
        <f t="shared" si="26"/>
        <v>0</v>
      </c>
      <c r="G868" t="s">
        <v>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0.22226934500000001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f t="shared" si="27"/>
        <v>0</v>
      </c>
    </row>
    <row r="869" spans="1:36">
      <c r="A869">
        <v>868</v>
      </c>
      <c r="B869">
        <v>835</v>
      </c>
      <c r="C869">
        <v>836</v>
      </c>
      <c r="D869" t="s">
        <v>47</v>
      </c>
      <c r="E869" s="6" t="s">
        <v>1</v>
      </c>
      <c r="F869" s="6" t="b">
        <f t="shared" si="26"/>
        <v>1</v>
      </c>
      <c r="G869" t="s">
        <v>47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0.111358574610244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f t="shared" si="27"/>
        <v>0</v>
      </c>
    </row>
    <row r="870" spans="1:36">
      <c r="A870">
        <v>869</v>
      </c>
      <c r="B870">
        <v>836</v>
      </c>
      <c r="C870">
        <v>837</v>
      </c>
      <c r="D870" t="s">
        <v>48</v>
      </c>
      <c r="E870" s="6" t="s">
        <v>1</v>
      </c>
      <c r="F870" s="6" t="b">
        <f t="shared" si="26"/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f t="shared" si="27"/>
        <v>0</v>
      </c>
    </row>
    <row r="871" spans="1:36">
      <c r="A871">
        <v>870</v>
      </c>
      <c r="B871">
        <v>837</v>
      </c>
      <c r="C871">
        <v>838</v>
      </c>
      <c r="D871" t="s">
        <v>10</v>
      </c>
      <c r="E871" s="6" t="s">
        <v>50</v>
      </c>
      <c r="F871" s="6" t="b">
        <f t="shared" si="26"/>
        <v>0</v>
      </c>
      <c r="G871" t="s">
        <v>51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0.226946817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f t="shared" si="27"/>
        <v>0</v>
      </c>
    </row>
    <row r="872" spans="1:36">
      <c r="A872">
        <v>871</v>
      </c>
      <c r="B872">
        <v>838</v>
      </c>
      <c r="C872">
        <v>839</v>
      </c>
      <c r="D872" t="s">
        <v>1</v>
      </c>
      <c r="E872" s="6" t="s">
        <v>10</v>
      </c>
      <c r="F872" s="6" t="b">
        <f t="shared" si="26"/>
        <v>0</v>
      </c>
      <c r="G872" t="s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0.226567501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f t="shared" si="27"/>
        <v>0</v>
      </c>
    </row>
    <row r="873" spans="1:36">
      <c r="A873">
        <v>872</v>
      </c>
      <c r="B873">
        <v>839</v>
      </c>
      <c r="C873">
        <v>840</v>
      </c>
      <c r="D873" t="s">
        <v>42</v>
      </c>
      <c r="E873" s="6" t="s">
        <v>1</v>
      </c>
      <c r="F873" s="6" t="b">
        <f t="shared" si="26"/>
        <v>0</v>
      </c>
      <c r="G873" t="s">
        <v>48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0.442066805845511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f t="shared" si="27"/>
        <v>1</v>
      </c>
    </row>
    <row r="874" spans="1:36">
      <c r="A874">
        <v>873</v>
      </c>
      <c r="B874">
        <v>839</v>
      </c>
      <c r="C874">
        <v>840</v>
      </c>
      <c r="D874" t="s">
        <v>42</v>
      </c>
      <c r="E874" s="6" t="s">
        <v>46</v>
      </c>
      <c r="F874" s="6" t="b">
        <f t="shared" si="26"/>
        <v>0</v>
      </c>
      <c r="G874" t="s">
        <v>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0.303373697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f t="shared" si="27"/>
        <v>1</v>
      </c>
    </row>
    <row r="875" spans="1:36">
      <c r="A875">
        <v>874</v>
      </c>
      <c r="B875">
        <v>840</v>
      </c>
      <c r="C875">
        <v>841</v>
      </c>
      <c r="D875" t="s">
        <v>42</v>
      </c>
      <c r="E875" s="6" t="s">
        <v>46</v>
      </c>
      <c r="F875" s="6" t="b">
        <f t="shared" si="26"/>
        <v>0</v>
      </c>
      <c r="G875" t="s">
        <v>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0.22405614399999901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f t="shared" si="27"/>
        <v>0</v>
      </c>
    </row>
    <row r="876" spans="1:36">
      <c r="A876">
        <v>875</v>
      </c>
      <c r="B876">
        <v>841</v>
      </c>
      <c r="C876">
        <v>842</v>
      </c>
      <c r="D876" t="s">
        <v>9</v>
      </c>
      <c r="E876" s="6" t="s">
        <v>10</v>
      </c>
      <c r="F876" s="6" t="b">
        <f t="shared" si="26"/>
        <v>0</v>
      </c>
      <c r="G876" t="s">
        <v>45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0.229165338999999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f t="shared" si="27"/>
        <v>0</v>
      </c>
    </row>
    <row r="877" spans="1:36">
      <c r="A877">
        <v>876</v>
      </c>
      <c r="B877">
        <v>842</v>
      </c>
      <c r="C877">
        <v>843</v>
      </c>
      <c r="D877" t="s">
        <v>46</v>
      </c>
      <c r="E877" s="6" t="s">
        <v>9</v>
      </c>
      <c r="F877" s="6" t="b">
        <f t="shared" si="26"/>
        <v>0</v>
      </c>
      <c r="G877" t="s">
        <v>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0.23003047800000001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f t="shared" si="27"/>
        <v>0</v>
      </c>
    </row>
    <row r="878" spans="1:36">
      <c r="A878">
        <v>877</v>
      </c>
      <c r="B878">
        <v>843</v>
      </c>
      <c r="C878">
        <v>844</v>
      </c>
      <c r="D878" t="s">
        <v>45</v>
      </c>
      <c r="E878" s="6" t="s">
        <v>46</v>
      </c>
      <c r="F878" s="6" t="b">
        <f t="shared" si="26"/>
        <v>0</v>
      </c>
      <c r="G878" t="s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0.23071029100000001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f t="shared" si="27"/>
        <v>0</v>
      </c>
    </row>
    <row r="879" spans="1:36">
      <c r="A879">
        <v>878</v>
      </c>
      <c r="B879">
        <v>844</v>
      </c>
      <c r="C879">
        <v>845</v>
      </c>
      <c r="D879" t="s">
        <v>10</v>
      </c>
      <c r="E879" s="6" t="s">
        <v>45</v>
      </c>
      <c r="F879" s="6" t="b">
        <f t="shared" si="26"/>
        <v>0</v>
      </c>
      <c r="G879" t="s">
        <v>51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0.23033078200000001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f t="shared" si="27"/>
        <v>0</v>
      </c>
    </row>
    <row r="880" spans="1:36">
      <c r="A880">
        <v>879</v>
      </c>
      <c r="B880">
        <v>845</v>
      </c>
      <c r="C880">
        <v>846</v>
      </c>
      <c r="D880" t="s">
        <v>10</v>
      </c>
      <c r="E880" s="6" t="s">
        <v>10</v>
      </c>
      <c r="F880" s="6" t="b">
        <f t="shared" si="26"/>
        <v>0</v>
      </c>
      <c r="G880" t="s">
        <v>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0.227830267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f t="shared" si="27"/>
        <v>0</v>
      </c>
    </row>
    <row r="881" spans="1:36">
      <c r="A881">
        <v>880</v>
      </c>
      <c r="B881">
        <v>846</v>
      </c>
      <c r="C881">
        <v>847</v>
      </c>
      <c r="D881" t="s">
        <v>46</v>
      </c>
      <c r="E881" s="6" t="s">
        <v>10</v>
      </c>
      <c r="F881" s="6" t="b">
        <f t="shared" si="26"/>
        <v>0</v>
      </c>
      <c r="G881" t="s">
        <v>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0.22135687100000001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f t="shared" si="27"/>
        <v>0</v>
      </c>
    </row>
    <row r="882" spans="1:36">
      <c r="A882">
        <v>881</v>
      </c>
      <c r="B882">
        <v>847</v>
      </c>
      <c r="C882">
        <v>848</v>
      </c>
      <c r="D882" t="s">
        <v>10</v>
      </c>
      <c r="E882" s="6" t="s">
        <v>46</v>
      </c>
      <c r="F882" s="6" t="b">
        <f t="shared" si="26"/>
        <v>0</v>
      </c>
      <c r="G882" t="s">
        <v>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0.217364369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f t="shared" si="27"/>
        <v>0</v>
      </c>
    </row>
    <row r="883" spans="1:36">
      <c r="A883">
        <v>882</v>
      </c>
      <c r="B883">
        <v>848</v>
      </c>
      <c r="C883">
        <v>849</v>
      </c>
      <c r="D883" t="s">
        <v>44</v>
      </c>
      <c r="E883" s="6" t="s">
        <v>10</v>
      </c>
      <c r="F883" s="6" t="b">
        <f t="shared" si="26"/>
        <v>0</v>
      </c>
      <c r="G883" t="s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0.21311804300000001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f t="shared" si="27"/>
        <v>0</v>
      </c>
    </row>
    <row r="884" spans="1:36">
      <c r="A884">
        <v>883</v>
      </c>
      <c r="B884">
        <v>849</v>
      </c>
      <c r="C884">
        <v>850</v>
      </c>
      <c r="D884" t="s">
        <v>4</v>
      </c>
      <c r="E884" s="6" t="s">
        <v>44</v>
      </c>
      <c r="F884" s="6" t="b">
        <f t="shared" si="26"/>
        <v>1</v>
      </c>
      <c r="G884" t="s">
        <v>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0.21440875399999901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0.31853116994022201</v>
      </c>
      <c r="AG884">
        <v>0</v>
      </c>
      <c r="AH884">
        <v>0</v>
      </c>
      <c r="AI884">
        <v>0</v>
      </c>
      <c r="AJ884">
        <f t="shared" si="27"/>
        <v>1</v>
      </c>
    </row>
    <row r="885" spans="1:36">
      <c r="A885">
        <v>884</v>
      </c>
      <c r="B885">
        <v>850</v>
      </c>
      <c r="C885">
        <v>851</v>
      </c>
      <c r="D885" t="s">
        <v>48</v>
      </c>
      <c r="E885" s="6" t="s">
        <v>4</v>
      </c>
      <c r="F885" s="6" t="b">
        <f t="shared" si="26"/>
        <v>0</v>
      </c>
      <c r="G885" t="s">
        <v>42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0.21579113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f t="shared" si="27"/>
        <v>0</v>
      </c>
    </row>
    <row r="886" spans="1:36">
      <c r="A886">
        <v>885</v>
      </c>
      <c r="B886">
        <v>851</v>
      </c>
      <c r="C886">
        <v>852</v>
      </c>
      <c r="D886" t="s">
        <v>6</v>
      </c>
      <c r="E886" s="6" t="s">
        <v>42</v>
      </c>
      <c r="F886" s="6" t="b">
        <f t="shared" si="26"/>
        <v>0</v>
      </c>
      <c r="G886" t="s">
        <v>51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0.217382088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f t="shared" si="27"/>
        <v>0</v>
      </c>
    </row>
    <row r="887" spans="1:36">
      <c r="A887">
        <v>886</v>
      </c>
      <c r="B887">
        <v>852</v>
      </c>
      <c r="C887">
        <v>853</v>
      </c>
      <c r="D887" t="s">
        <v>10</v>
      </c>
      <c r="E887" s="6" t="s">
        <v>6</v>
      </c>
      <c r="F887" s="6" t="b">
        <f t="shared" si="26"/>
        <v>0</v>
      </c>
      <c r="G887" t="s">
        <v>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0.21856758000000001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f t="shared" si="27"/>
        <v>0</v>
      </c>
    </row>
    <row r="888" spans="1:36">
      <c r="A888">
        <v>887</v>
      </c>
      <c r="B888">
        <v>853</v>
      </c>
      <c r="C888">
        <v>854</v>
      </c>
      <c r="D888" t="s">
        <v>1</v>
      </c>
      <c r="E888" s="6" t="s">
        <v>10</v>
      </c>
      <c r="F888" s="6" t="b">
        <f t="shared" si="26"/>
        <v>1</v>
      </c>
      <c r="G888" t="s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0.99366515837103997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f t="shared" si="27"/>
        <v>1</v>
      </c>
    </row>
    <row r="889" spans="1:36">
      <c r="A889">
        <v>888</v>
      </c>
      <c r="B889">
        <v>853</v>
      </c>
      <c r="C889">
        <v>854</v>
      </c>
      <c r="D889" t="s">
        <v>1</v>
      </c>
      <c r="E889" s="6" t="s">
        <v>46</v>
      </c>
      <c r="F889" s="6" t="b">
        <f t="shared" si="26"/>
        <v>0</v>
      </c>
      <c r="G889" t="s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0.218360581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f t="shared" si="27"/>
        <v>0</v>
      </c>
    </row>
    <row r="890" spans="1:36">
      <c r="A890">
        <v>889</v>
      </c>
      <c r="B890">
        <v>853</v>
      </c>
      <c r="C890">
        <v>854</v>
      </c>
      <c r="D890" t="s">
        <v>1</v>
      </c>
      <c r="E890" s="6" t="s">
        <v>46</v>
      </c>
      <c r="F890" s="6" t="b">
        <f t="shared" si="26"/>
        <v>0</v>
      </c>
      <c r="G890" t="s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f t="shared" si="27"/>
        <v>0</v>
      </c>
    </row>
    <row r="891" spans="1:36">
      <c r="A891">
        <v>890</v>
      </c>
      <c r="B891">
        <v>854</v>
      </c>
      <c r="C891">
        <v>855</v>
      </c>
      <c r="D891" t="s">
        <v>42</v>
      </c>
      <c r="E891" s="6" t="s">
        <v>46</v>
      </c>
      <c r="F891" s="6" t="b">
        <f t="shared" si="26"/>
        <v>0</v>
      </c>
      <c r="G891" t="s">
        <v>48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0.219737766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f t="shared" si="27"/>
        <v>0</v>
      </c>
    </row>
    <row r="892" spans="1:36">
      <c r="A892">
        <v>891</v>
      </c>
      <c r="B892">
        <v>854</v>
      </c>
      <c r="C892">
        <v>855</v>
      </c>
      <c r="D892" t="s">
        <v>42</v>
      </c>
      <c r="E892" s="6" t="s">
        <v>42</v>
      </c>
      <c r="F892" s="6" t="b">
        <f t="shared" si="26"/>
        <v>0</v>
      </c>
      <c r="G892" t="s">
        <v>43</v>
      </c>
      <c r="H892">
        <v>0</v>
      </c>
      <c r="I892">
        <v>0</v>
      </c>
      <c r="J892">
        <v>0</v>
      </c>
      <c r="K892">
        <v>0.98331193838254105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f t="shared" si="27"/>
        <v>1</v>
      </c>
    </row>
    <row r="893" spans="1:36">
      <c r="A893">
        <v>892</v>
      </c>
      <c r="B893">
        <v>855</v>
      </c>
      <c r="C893">
        <v>856</v>
      </c>
      <c r="D893" t="s">
        <v>42</v>
      </c>
      <c r="E893" s="6" t="s">
        <v>42</v>
      </c>
      <c r="F893" s="6" t="b">
        <f t="shared" si="26"/>
        <v>0</v>
      </c>
      <c r="G893" t="s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0.224021266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f t="shared" si="27"/>
        <v>0</v>
      </c>
    </row>
    <row r="894" spans="1:36">
      <c r="A894" s="6">
        <v>892</v>
      </c>
      <c r="B894" s="6">
        <v>855</v>
      </c>
      <c r="C894" s="6">
        <v>856</v>
      </c>
      <c r="D894" s="6" t="s">
        <v>42</v>
      </c>
      <c r="E894" s="6" t="s">
        <v>42</v>
      </c>
      <c r="F894" s="6" t="b">
        <f t="shared" si="26"/>
        <v>0</v>
      </c>
      <c r="G894" s="6" t="s">
        <v>1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0.22402126999999999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/>
      <c r="AI894" s="6"/>
      <c r="AJ894">
        <f t="shared" si="27"/>
        <v>0</v>
      </c>
    </row>
  </sheetData>
  <autoFilter ref="A1:AK894" xr:uid="{B630E3F6-8850-5E42-8793-BC2E0F8F528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65"/>
  <sheetViews>
    <sheetView workbookViewId="0">
      <selection sqref="A1:B65"/>
    </sheetView>
  </sheetViews>
  <sheetFormatPr baseColWidth="10" defaultRowHeight="16"/>
  <cols>
    <col min="1" max="1" width="11.6640625" customWidth="1"/>
    <col min="2" max="2" width="10.83203125" customWidth="1"/>
  </cols>
  <sheetData>
    <row r="1" spans="1:2">
      <c r="A1" s="6" t="s">
        <v>363</v>
      </c>
      <c r="B1" s="6" t="s">
        <v>364</v>
      </c>
    </row>
    <row r="2" spans="1:2">
      <c r="A2" s="6" t="s">
        <v>31</v>
      </c>
      <c r="B2" s="6">
        <v>24</v>
      </c>
    </row>
    <row r="3" spans="1:2">
      <c r="A3" s="6" t="s">
        <v>32</v>
      </c>
      <c r="B3" s="6">
        <v>15</v>
      </c>
    </row>
    <row r="4" spans="1:2">
      <c r="A4" s="6" t="s">
        <v>33</v>
      </c>
      <c r="B4" s="6">
        <v>9</v>
      </c>
    </row>
    <row r="5" spans="1:2">
      <c r="A5" s="6" t="s">
        <v>34</v>
      </c>
      <c r="B5" s="6">
        <v>25</v>
      </c>
    </row>
    <row r="6" spans="1:2">
      <c r="A6" s="6" t="s">
        <v>35</v>
      </c>
      <c r="B6" s="6">
        <v>22</v>
      </c>
    </row>
    <row r="7" spans="1:2">
      <c r="A7" s="6" t="s">
        <v>230</v>
      </c>
      <c r="B7" s="6">
        <v>26</v>
      </c>
    </row>
    <row r="8" spans="1:2">
      <c r="A8" s="6" t="s">
        <v>36</v>
      </c>
      <c r="B8" s="6">
        <v>26</v>
      </c>
    </row>
    <row r="9" spans="1:2">
      <c r="A9" s="6" t="s">
        <v>37</v>
      </c>
      <c r="B9" s="6">
        <v>18</v>
      </c>
    </row>
    <row r="10" spans="1:2">
      <c r="A10" s="6" t="s">
        <v>38</v>
      </c>
      <c r="B10" s="6">
        <v>20</v>
      </c>
    </row>
    <row r="11" spans="1:2">
      <c r="A11" s="6" t="s">
        <v>39</v>
      </c>
      <c r="B11" s="6">
        <v>26</v>
      </c>
    </row>
    <row r="12" spans="1:2">
      <c r="A12" s="6" t="s">
        <v>14</v>
      </c>
      <c r="B12" s="6">
        <v>24</v>
      </c>
    </row>
    <row r="13" spans="1:2">
      <c r="A13" s="6" t="s">
        <v>15</v>
      </c>
      <c r="B13" s="6">
        <v>18</v>
      </c>
    </row>
    <row r="14" spans="1:2">
      <c r="A14" s="6" t="s">
        <v>16</v>
      </c>
      <c r="B14" s="6">
        <v>20</v>
      </c>
    </row>
    <row r="15" spans="1:2">
      <c r="A15" s="6" t="s">
        <v>17</v>
      </c>
      <c r="B15" s="6">
        <v>19</v>
      </c>
    </row>
    <row r="16" spans="1:2">
      <c r="A16" s="6" t="s">
        <v>18</v>
      </c>
      <c r="B16" s="6">
        <v>12</v>
      </c>
    </row>
    <row r="17" spans="1:2">
      <c r="A17" s="6" t="s">
        <v>247</v>
      </c>
      <c r="B17" s="6">
        <v>17</v>
      </c>
    </row>
    <row r="18" spans="1:2">
      <c r="A18" s="6" t="s">
        <v>248</v>
      </c>
      <c r="B18" s="6">
        <v>10</v>
      </c>
    </row>
    <row r="19" spans="1:2">
      <c r="A19" s="6" t="s">
        <v>19</v>
      </c>
      <c r="B19" s="6">
        <v>14</v>
      </c>
    </row>
    <row r="20" spans="1:2">
      <c r="A20" s="6" t="s">
        <v>20</v>
      </c>
      <c r="B20" s="6">
        <v>20</v>
      </c>
    </row>
    <row r="21" spans="1:2">
      <c r="A21" s="6" t="s">
        <v>21</v>
      </c>
      <c r="B21" s="6">
        <v>17</v>
      </c>
    </row>
    <row r="22" spans="1:2">
      <c r="A22" s="6" t="s">
        <v>22</v>
      </c>
      <c r="B22" s="6">
        <v>21</v>
      </c>
    </row>
    <row r="23" spans="1:2">
      <c r="A23" s="6" t="s">
        <v>23</v>
      </c>
      <c r="B23" s="6">
        <v>22</v>
      </c>
    </row>
    <row r="24" spans="1:2">
      <c r="A24" s="6" t="s">
        <v>24</v>
      </c>
      <c r="B24" s="6">
        <v>19</v>
      </c>
    </row>
    <row r="25" spans="1:2">
      <c r="A25" s="6" t="s">
        <v>25</v>
      </c>
      <c r="B25" s="6">
        <v>9</v>
      </c>
    </row>
    <row r="26" spans="1:2">
      <c r="A26" s="6" t="s">
        <v>26</v>
      </c>
      <c r="B26" s="6">
        <v>20</v>
      </c>
    </row>
    <row r="27" spans="1:2">
      <c r="A27" s="6" t="s">
        <v>27</v>
      </c>
      <c r="B27" s="6">
        <v>24</v>
      </c>
    </row>
    <row r="28" spans="1:2">
      <c r="A28" s="6" t="s">
        <v>28</v>
      </c>
      <c r="B28" s="6">
        <v>24</v>
      </c>
    </row>
    <row r="29" spans="1:2">
      <c r="A29" s="6" t="s">
        <v>258</v>
      </c>
      <c r="B29" s="6"/>
    </row>
    <row r="30" spans="1:2">
      <c r="A30" s="6" t="s">
        <v>29</v>
      </c>
      <c r="B30" s="6">
        <v>13</v>
      </c>
    </row>
    <row r="31" spans="1:2">
      <c r="A31" s="6" t="s">
        <v>30</v>
      </c>
      <c r="B31" s="6">
        <v>22</v>
      </c>
    </row>
    <row r="32" spans="1:2">
      <c r="A32" s="6" t="s">
        <v>40</v>
      </c>
      <c r="B32" s="6">
        <v>15</v>
      </c>
    </row>
    <row r="33" spans="1:2">
      <c r="A33" s="6" t="s">
        <v>365</v>
      </c>
      <c r="B33" s="6">
        <v>12</v>
      </c>
    </row>
    <row r="34" spans="1:2">
      <c r="A34" s="6" t="s">
        <v>366</v>
      </c>
      <c r="B34" s="6">
        <v>12</v>
      </c>
    </row>
    <row r="35" spans="1:2">
      <c r="A35" t="s">
        <v>91</v>
      </c>
      <c r="B35">
        <v>24</v>
      </c>
    </row>
    <row r="36" spans="1:2">
      <c r="A36" t="s">
        <v>92</v>
      </c>
      <c r="B36">
        <v>24</v>
      </c>
    </row>
    <row r="37" spans="1:2">
      <c r="A37" t="s">
        <v>84</v>
      </c>
      <c r="B37">
        <v>18</v>
      </c>
    </row>
    <row r="38" spans="1:2">
      <c r="A38" t="s">
        <v>85</v>
      </c>
      <c r="B38">
        <v>24</v>
      </c>
    </row>
    <row r="39" spans="1:2">
      <c r="A39" t="s">
        <v>86</v>
      </c>
      <c r="B39">
        <v>12</v>
      </c>
    </row>
    <row r="40" spans="1:2">
      <c r="A40" t="s">
        <v>87</v>
      </c>
      <c r="B40">
        <v>24</v>
      </c>
    </row>
    <row r="41" spans="1:2">
      <c r="A41" t="s">
        <v>88</v>
      </c>
      <c r="B41">
        <v>21</v>
      </c>
    </row>
    <row r="42" spans="1:2">
      <c r="A42" t="s">
        <v>89</v>
      </c>
      <c r="B42">
        <v>24</v>
      </c>
    </row>
    <row r="43" spans="1:2">
      <c r="A43" t="s">
        <v>90</v>
      </c>
      <c r="B43">
        <v>24</v>
      </c>
    </row>
    <row r="44" spans="1:2">
      <c r="A44" t="s">
        <v>93</v>
      </c>
      <c r="B44">
        <v>20</v>
      </c>
    </row>
    <row r="45" spans="1:2">
      <c r="A45" t="s">
        <v>94</v>
      </c>
      <c r="B45">
        <v>20</v>
      </c>
    </row>
    <row r="46" spans="1:2">
      <c r="A46" t="s">
        <v>95</v>
      </c>
      <c r="B46">
        <v>20</v>
      </c>
    </row>
    <row r="47" spans="1:2">
      <c r="A47" t="s">
        <v>96</v>
      </c>
      <c r="B47">
        <v>20</v>
      </c>
    </row>
    <row r="48" spans="1:2">
      <c r="A48" t="s">
        <v>97</v>
      </c>
      <c r="B48">
        <v>20</v>
      </c>
    </row>
    <row r="49" spans="1:2">
      <c r="A49" t="s">
        <v>98</v>
      </c>
      <c r="B49">
        <v>20</v>
      </c>
    </row>
    <row r="50" spans="1:2">
      <c r="A50" t="s">
        <v>99</v>
      </c>
      <c r="B50">
        <v>20</v>
      </c>
    </row>
    <row r="51" spans="1:2">
      <c r="A51" t="s">
        <v>380</v>
      </c>
    </row>
    <row r="52" spans="1:2">
      <c r="A52" t="s">
        <v>100</v>
      </c>
      <c r="B52">
        <v>20</v>
      </c>
    </row>
    <row r="53" spans="1:2">
      <c r="A53" t="s">
        <v>381</v>
      </c>
    </row>
    <row r="54" spans="1:2">
      <c r="A54" t="s">
        <v>101</v>
      </c>
      <c r="B54">
        <v>20</v>
      </c>
    </row>
    <row r="55" spans="1:2">
      <c r="A55" t="s">
        <v>102</v>
      </c>
      <c r="B55">
        <v>16</v>
      </c>
    </row>
    <row r="56" spans="1:2">
      <c r="A56" t="s">
        <v>103</v>
      </c>
      <c r="B56">
        <v>20</v>
      </c>
    </row>
    <row r="57" spans="1:2">
      <c r="A57" t="s">
        <v>382</v>
      </c>
      <c r="B57">
        <v>12</v>
      </c>
    </row>
    <row r="58" spans="1:2">
      <c r="A58" t="s">
        <v>104</v>
      </c>
      <c r="B58">
        <v>24</v>
      </c>
    </row>
    <row r="59" spans="1:2">
      <c r="A59" t="s">
        <v>383</v>
      </c>
    </row>
    <row r="60" spans="1:2">
      <c r="A60" t="s">
        <v>105</v>
      </c>
      <c r="B60">
        <v>24</v>
      </c>
    </row>
    <row r="61" spans="1:2">
      <c r="A61" t="s">
        <v>106</v>
      </c>
      <c r="B61">
        <v>24</v>
      </c>
    </row>
    <row r="62" spans="1:2">
      <c r="A62" t="s">
        <v>107</v>
      </c>
      <c r="B62">
        <v>24</v>
      </c>
    </row>
    <row r="63" spans="1:2">
      <c r="A63" t="s">
        <v>384</v>
      </c>
    </row>
    <row r="64" spans="1:2">
      <c r="A64" t="s">
        <v>108</v>
      </c>
      <c r="B64">
        <v>24</v>
      </c>
    </row>
    <row r="65" spans="1:2">
      <c r="A65" t="s">
        <v>109</v>
      </c>
      <c r="B65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sqref="A1:F174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6" t="s">
        <v>294</v>
      </c>
      <c r="B1" s="16" t="s">
        <v>110</v>
      </c>
      <c r="C1" s="16" t="s">
        <v>111</v>
      </c>
      <c r="D1" s="16" t="s">
        <v>112</v>
      </c>
      <c r="E1" s="16" t="s">
        <v>113</v>
      </c>
      <c r="F1" s="16" t="s">
        <v>114</v>
      </c>
    </row>
    <row r="2" spans="1:6" ht="17">
      <c r="A2" s="17" t="s">
        <v>31</v>
      </c>
      <c r="B2" s="15">
        <v>12</v>
      </c>
      <c r="C2" s="15"/>
      <c r="D2" s="15">
        <v>1</v>
      </c>
      <c r="E2" s="15"/>
      <c r="F2" s="15"/>
    </row>
    <row r="3" spans="1:6" ht="17">
      <c r="A3" s="17" t="s">
        <v>32</v>
      </c>
      <c r="B3" s="15">
        <v>7</v>
      </c>
      <c r="C3" s="15"/>
      <c r="D3" s="15">
        <v>1</v>
      </c>
      <c r="E3" s="15"/>
      <c r="F3" s="15"/>
    </row>
    <row r="4" spans="1:6" ht="17">
      <c r="A4" s="17" t="s">
        <v>33</v>
      </c>
      <c r="B4" s="15">
        <v>4</v>
      </c>
      <c r="C4" s="15"/>
      <c r="D4" s="15">
        <v>1</v>
      </c>
      <c r="E4" s="15"/>
      <c r="F4" s="15"/>
    </row>
    <row r="5" spans="1:6" ht="17">
      <c r="A5" s="17" t="s">
        <v>34</v>
      </c>
      <c r="B5" s="15">
        <v>5</v>
      </c>
      <c r="C5" s="15"/>
      <c r="D5" s="15">
        <v>1</v>
      </c>
      <c r="E5" s="15"/>
      <c r="F5" s="15"/>
    </row>
    <row r="6" spans="1:6" ht="17">
      <c r="A6" s="17" t="s">
        <v>35</v>
      </c>
      <c r="B6" s="15">
        <v>14</v>
      </c>
      <c r="C6" s="15"/>
      <c r="D6" s="15">
        <v>1</v>
      </c>
      <c r="E6" s="15"/>
      <c r="F6" s="15"/>
    </row>
    <row r="7" spans="1:6" ht="17">
      <c r="A7" s="17" t="s">
        <v>230</v>
      </c>
      <c r="B7" s="15">
        <v>3</v>
      </c>
      <c r="C7" s="15"/>
      <c r="D7" s="15">
        <v>1</v>
      </c>
      <c r="E7" s="15"/>
      <c r="F7" s="15"/>
    </row>
    <row r="8" spans="1:6" ht="17">
      <c r="A8" s="17" t="s">
        <v>36</v>
      </c>
      <c r="B8" s="15">
        <v>5</v>
      </c>
      <c r="C8" s="15"/>
      <c r="D8" s="15">
        <v>1</v>
      </c>
      <c r="E8" s="15"/>
      <c r="F8" s="15"/>
    </row>
    <row r="9" spans="1:6" ht="17">
      <c r="A9" s="17" t="s">
        <v>37</v>
      </c>
      <c r="B9" s="15">
        <v>8</v>
      </c>
      <c r="C9" s="15"/>
      <c r="D9" s="15">
        <v>1</v>
      </c>
      <c r="E9" s="15"/>
      <c r="F9" s="15"/>
    </row>
    <row r="10" spans="1:6" ht="17">
      <c r="A10" s="17" t="s">
        <v>38</v>
      </c>
      <c r="B10" s="15">
        <v>2</v>
      </c>
      <c r="C10" s="15"/>
      <c r="D10" s="15">
        <v>1</v>
      </c>
      <c r="E10" s="15"/>
      <c r="F10" s="15"/>
    </row>
    <row r="11" spans="1:6" ht="17">
      <c r="A11" s="17" t="s">
        <v>39</v>
      </c>
      <c r="B11" s="15">
        <v>2</v>
      </c>
      <c r="C11" s="15"/>
      <c r="D11" s="15">
        <v>1</v>
      </c>
      <c r="E11" s="15"/>
      <c r="F11" s="15"/>
    </row>
    <row r="12" spans="1:6" ht="17">
      <c r="A12" s="17" t="s">
        <v>14</v>
      </c>
      <c r="B12" s="15">
        <v>10</v>
      </c>
      <c r="C12" s="15"/>
      <c r="D12" s="15">
        <v>1</v>
      </c>
      <c r="E12" s="15"/>
      <c r="F12" s="15"/>
    </row>
    <row r="13" spans="1:6" ht="17">
      <c r="A13" s="17" t="s">
        <v>15</v>
      </c>
      <c r="B13" s="15">
        <v>3</v>
      </c>
      <c r="C13" s="15"/>
      <c r="D13" s="15">
        <v>1</v>
      </c>
      <c r="E13" s="15"/>
      <c r="F13" s="15"/>
    </row>
    <row r="14" spans="1:6" ht="17">
      <c r="A14" s="17" t="s">
        <v>16</v>
      </c>
      <c r="B14" s="15">
        <v>4</v>
      </c>
      <c r="C14" s="15"/>
      <c r="D14" s="15">
        <v>1</v>
      </c>
      <c r="E14" s="15"/>
      <c r="F14" s="15"/>
    </row>
    <row r="15" spans="1:6" ht="17">
      <c r="A15" s="17" t="s">
        <v>17</v>
      </c>
      <c r="B15" s="15">
        <v>3</v>
      </c>
      <c r="C15" s="15"/>
      <c r="D15" s="15">
        <v>1</v>
      </c>
      <c r="E15" s="15"/>
      <c r="F15" s="15"/>
    </row>
    <row r="16" spans="1:6" ht="17">
      <c r="A16" s="17" t="s">
        <v>18</v>
      </c>
      <c r="B16" s="15">
        <v>4</v>
      </c>
      <c r="C16" s="15"/>
      <c r="D16" s="15">
        <v>1</v>
      </c>
      <c r="E16" s="15"/>
      <c r="F16" s="15"/>
    </row>
    <row r="17" spans="1:6" ht="17">
      <c r="A17" s="17" t="s">
        <v>247</v>
      </c>
      <c r="B17" s="15">
        <v>4</v>
      </c>
      <c r="C17" s="15"/>
      <c r="D17" s="15">
        <v>1</v>
      </c>
      <c r="E17" s="15"/>
      <c r="F17" s="15"/>
    </row>
    <row r="18" spans="1:6" ht="17">
      <c r="A18" s="17" t="s">
        <v>248</v>
      </c>
      <c r="B18" s="15">
        <v>4</v>
      </c>
      <c r="C18" s="15"/>
      <c r="D18" s="15">
        <v>1</v>
      </c>
      <c r="E18" s="15"/>
      <c r="F18" s="15"/>
    </row>
    <row r="19" spans="1:6" ht="17">
      <c r="A19" s="17" t="s">
        <v>19</v>
      </c>
      <c r="B19" s="15">
        <v>6</v>
      </c>
      <c r="C19" s="15"/>
      <c r="D19" s="15">
        <v>1</v>
      </c>
      <c r="E19" s="15"/>
      <c r="F19" s="15"/>
    </row>
    <row r="20" spans="1:6" ht="17">
      <c r="A20" s="17" t="s">
        <v>20</v>
      </c>
      <c r="B20" s="15">
        <v>15</v>
      </c>
      <c r="C20" s="15"/>
      <c r="D20" s="15">
        <v>1</v>
      </c>
      <c r="E20" s="15"/>
      <c r="F20" s="15"/>
    </row>
    <row r="21" spans="1:6" ht="17">
      <c r="A21" s="17" t="s">
        <v>21</v>
      </c>
      <c r="B21" s="15">
        <v>8</v>
      </c>
      <c r="C21" s="15"/>
      <c r="D21" s="15">
        <v>1</v>
      </c>
      <c r="E21" s="15"/>
      <c r="F21" s="15"/>
    </row>
    <row r="22" spans="1:6" ht="17">
      <c r="A22" s="17" t="s">
        <v>22</v>
      </c>
      <c r="B22" s="15">
        <v>5</v>
      </c>
      <c r="C22" s="15"/>
      <c r="D22" s="15">
        <v>1</v>
      </c>
      <c r="E22" s="15"/>
      <c r="F22" s="15"/>
    </row>
    <row r="23" spans="1:6" ht="17">
      <c r="A23" s="17" t="s">
        <v>23</v>
      </c>
      <c r="B23" s="15">
        <v>5</v>
      </c>
      <c r="C23" s="15"/>
      <c r="D23" s="15">
        <v>1</v>
      </c>
      <c r="E23" s="15"/>
      <c r="F23" s="15"/>
    </row>
    <row r="24" spans="1:6" ht="17">
      <c r="A24" s="17" t="s">
        <v>24</v>
      </c>
      <c r="B24" s="15">
        <v>5</v>
      </c>
      <c r="C24" s="15"/>
      <c r="D24" s="15">
        <v>1</v>
      </c>
      <c r="E24" s="15"/>
      <c r="F24" s="15"/>
    </row>
    <row r="25" spans="1:6" ht="17">
      <c r="A25" s="17" t="s">
        <v>25</v>
      </c>
      <c r="B25" s="15">
        <v>3</v>
      </c>
      <c r="C25" s="15"/>
      <c r="D25" s="15">
        <v>1</v>
      </c>
      <c r="E25" s="15"/>
      <c r="F25" s="15"/>
    </row>
    <row r="26" spans="1:6" ht="17">
      <c r="A26" s="17" t="s">
        <v>26</v>
      </c>
      <c r="B26" s="15">
        <v>14</v>
      </c>
      <c r="C26" s="15"/>
      <c r="D26" s="15">
        <v>1</v>
      </c>
      <c r="E26" s="15"/>
      <c r="F26" s="15"/>
    </row>
    <row r="27" spans="1:6" ht="17">
      <c r="A27" s="17" t="s">
        <v>27</v>
      </c>
      <c r="B27" s="15">
        <v>6</v>
      </c>
      <c r="C27" s="15"/>
      <c r="D27" s="15">
        <v>1</v>
      </c>
      <c r="E27" s="15"/>
      <c r="F27" s="15"/>
    </row>
    <row r="28" spans="1:6" ht="17">
      <c r="A28" s="17" t="s">
        <v>28</v>
      </c>
      <c r="B28" s="15">
        <v>4</v>
      </c>
      <c r="C28" s="15"/>
      <c r="D28" s="15">
        <v>1</v>
      </c>
      <c r="E28" s="15"/>
      <c r="F28" s="15"/>
    </row>
    <row r="29" spans="1:6" ht="17">
      <c r="A29" s="17" t="s">
        <v>258</v>
      </c>
      <c r="B29" s="15">
        <v>4</v>
      </c>
      <c r="C29" s="15"/>
      <c r="D29" s="15">
        <v>1</v>
      </c>
      <c r="E29" s="15"/>
      <c r="F29" s="15"/>
    </row>
    <row r="30" spans="1:6" ht="17">
      <c r="A30" s="17" t="s">
        <v>29</v>
      </c>
      <c r="B30" s="15">
        <v>2</v>
      </c>
      <c r="C30" s="15"/>
      <c r="D30" s="15">
        <v>1</v>
      </c>
      <c r="E30" s="15"/>
      <c r="F30" s="15"/>
    </row>
    <row r="31" spans="1:6" ht="17">
      <c r="A31" s="17" t="s">
        <v>30</v>
      </c>
      <c r="B31" s="15">
        <v>4</v>
      </c>
      <c r="C31" s="15"/>
      <c r="D31" s="15">
        <v>1</v>
      </c>
      <c r="E31" s="15"/>
      <c r="F31" s="15"/>
    </row>
    <row r="32" spans="1:6">
      <c r="A32" s="13" t="s">
        <v>273</v>
      </c>
      <c r="B32" s="13">
        <v>2</v>
      </c>
      <c r="C32" s="12"/>
      <c r="D32" s="13">
        <v>1</v>
      </c>
      <c r="E32" s="12"/>
      <c r="F32" s="12"/>
    </row>
    <row r="33" spans="1:6">
      <c r="A33" s="13" t="s">
        <v>274</v>
      </c>
      <c r="B33" s="13">
        <v>2</v>
      </c>
      <c r="C33" s="12"/>
      <c r="D33" s="13">
        <v>1</v>
      </c>
      <c r="E33" s="12"/>
      <c r="F33" s="12"/>
    </row>
    <row r="34" spans="1:6" ht="17">
      <c r="A34" s="17" t="s">
        <v>226</v>
      </c>
      <c r="B34" s="15">
        <v>20</v>
      </c>
      <c r="C34" s="15"/>
      <c r="D34" s="15">
        <v>0</v>
      </c>
      <c r="E34" s="15"/>
      <c r="F34" s="15"/>
    </row>
    <row r="35" spans="1:6" ht="17">
      <c r="A35" s="17" t="s">
        <v>227</v>
      </c>
      <c r="B35" s="15">
        <v>22</v>
      </c>
      <c r="C35" s="15"/>
      <c r="D35" s="15">
        <v>0</v>
      </c>
      <c r="E35" s="15"/>
      <c r="F35" s="15"/>
    </row>
    <row r="36" spans="1:6" ht="17">
      <c r="A36" s="17" t="s">
        <v>228</v>
      </c>
      <c r="B36" s="15">
        <v>14</v>
      </c>
      <c r="C36" s="15"/>
      <c r="D36" s="15">
        <v>0</v>
      </c>
      <c r="E36" s="15"/>
      <c r="F36" s="15"/>
    </row>
    <row r="37" spans="1:6" ht="17">
      <c r="A37" s="17" t="s">
        <v>229</v>
      </c>
      <c r="B37" s="15">
        <v>15</v>
      </c>
      <c r="C37" s="15"/>
      <c r="D37" s="15">
        <v>0</v>
      </c>
      <c r="E37" s="15"/>
      <c r="F37" s="15"/>
    </row>
    <row r="38" spans="1:6" ht="17">
      <c r="A38" s="17" t="s">
        <v>231</v>
      </c>
      <c r="B38" s="15">
        <v>22</v>
      </c>
      <c r="C38" s="15"/>
      <c r="D38" s="15">
        <v>0</v>
      </c>
      <c r="E38" s="15"/>
      <c r="F38" s="15"/>
    </row>
    <row r="39" spans="1:6" ht="17">
      <c r="A39" s="17" t="s">
        <v>233</v>
      </c>
      <c r="B39" s="15">
        <v>22</v>
      </c>
      <c r="C39" s="15"/>
      <c r="D39" s="15">
        <v>0</v>
      </c>
      <c r="E39" s="15"/>
      <c r="F39" s="15"/>
    </row>
    <row r="40" spans="1:6" ht="17">
      <c r="A40" s="17" t="s">
        <v>234</v>
      </c>
      <c r="B40" s="15">
        <v>17</v>
      </c>
      <c r="C40" s="15"/>
      <c r="D40" s="15">
        <v>0</v>
      </c>
      <c r="E40" s="15"/>
      <c r="F40" s="15"/>
    </row>
    <row r="41" spans="1:6" ht="17">
      <c r="A41" s="17" t="s">
        <v>235</v>
      </c>
      <c r="B41" s="15">
        <v>12</v>
      </c>
      <c r="C41" s="15"/>
      <c r="D41" s="15">
        <v>0</v>
      </c>
      <c r="E41" s="15"/>
      <c r="F41" s="15"/>
    </row>
    <row r="42" spans="1:6" ht="17">
      <c r="A42" s="17" t="s">
        <v>236</v>
      </c>
      <c r="B42" s="15">
        <v>17</v>
      </c>
      <c r="C42" s="15"/>
      <c r="D42" s="15">
        <v>0</v>
      </c>
      <c r="E42" s="15"/>
      <c r="F42" s="15"/>
    </row>
    <row r="43" spans="1:6" ht="17">
      <c r="A43" s="17" t="s">
        <v>237</v>
      </c>
      <c r="B43" s="15">
        <v>9</v>
      </c>
      <c r="C43" s="15"/>
      <c r="D43" s="15">
        <v>0</v>
      </c>
      <c r="E43" s="15"/>
      <c r="F43" s="15"/>
    </row>
    <row r="44" spans="1:6" ht="17">
      <c r="A44" s="17" t="s">
        <v>238</v>
      </c>
      <c r="B44" s="15">
        <v>17</v>
      </c>
      <c r="C44" s="15"/>
      <c r="D44" s="15">
        <v>0</v>
      </c>
      <c r="E44" s="15"/>
      <c r="F44" s="15"/>
    </row>
    <row r="45" spans="1:6" ht="17">
      <c r="A45" s="17" t="s">
        <v>240</v>
      </c>
      <c r="B45" s="15">
        <v>22</v>
      </c>
      <c r="C45" s="15"/>
      <c r="D45" s="15">
        <v>0</v>
      </c>
      <c r="E45" s="15"/>
      <c r="F45" s="15"/>
    </row>
    <row r="46" spans="1:6" ht="17">
      <c r="A46" s="17" t="s">
        <v>241</v>
      </c>
      <c r="B46" s="15">
        <v>4</v>
      </c>
      <c r="C46" s="15"/>
      <c r="D46" s="15">
        <v>0</v>
      </c>
      <c r="E46" s="15"/>
      <c r="F46" s="15"/>
    </row>
    <row r="47" spans="1:6" ht="17">
      <c r="A47" s="17" t="s">
        <v>242</v>
      </c>
      <c r="B47" s="15">
        <v>16</v>
      </c>
      <c r="C47" s="15"/>
      <c r="D47" s="15">
        <v>0</v>
      </c>
      <c r="E47" s="15"/>
      <c r="F47" s="15"/>
    </row>
    <row r="48" spans="1:6" ht="17">
      <c r="A48" s="17" t="s">
        <v>243</v>
      </c>
      <c r="B48" s="15">
        <v>7</v>
      </c>
      <c r="C48" s="15"/>
      <c r="D48" s="15">
        <v>0</v>
      </c>
      <c r="E48" s="15"/>
      <c r="F48" s="15"/>
    </row>
    <row r="49" spans="1:6" ht="17">
      <c r="A49" s="17" t="s">
        <v>244</v>
      </c>
      <c r="B49" s="15">
        <v>7</v>
      </c>
      <c r="C49" s="15"/>
      <c r="D49" s="15">
        <v>0</v>
      </c>
      <c r="E49" s="15"/>
      <c r="F49" s="15"/>
    </row>
    <row r="50" spans="1:6" ht="17">
      <c r="A50" s="17" t="s">
        <v>245</v>
      </c>
      <c r="B50" s="15">
        <v>7</v>
      </c>
      <c r="C50" s="15"/>
      <c r="D50" s="15">
        <v>0</v>
      </c>
      <c r="E50" s="15"/>
      <c r="F50" s="15"/>
    </row>
    <row r="51" spans="1:6" ht="17">
      <c r="A51" s="17" t="s">
        <v>251</v>
      </c>
      <c r="B51" s="15">
        <v>12</v>
      </c>
      <c r="C51" s="15"/>
      <c r="D51" s="15">
        <v>0</v>
      </c>
      <c r="E51" s="15"/>
      <c r="F51" s="15"/>
    </row>
    <row r="52" spans="1:6" ht="17">
      <c r="A52" s="17" t="s">
        <v>252</v>
      </c>
      <c r="B52" s="15">
        <v>11</v>
      </c>
      <c r="C52" s="15"/>
      <c r="D52" s="15">
        <v>0</v>
      </c>
      <c r="E52" s="15"/>
      <c r="F52" s="15"/>
    </row>
    <row r="53" spans="1:6" ht="17">
      <c r="A53" s="17" t="s">
        <v>253</v>
      </c>
      <c r="B53" s="15">
        <v>8</v>
      </c>
      <c r="C53" s="15"/>
      <c r="D53" s="15">
        <v>0</v>
      </c>
      <c r="E53" s="15"/>
      <c r="F53" s="15"/>
    </row>
    <row r="54" spans="1:6" ht="17">
      <c r="A54" s="17" t="s">
        <v>254</v>
      </c>
      <c r="B54" s="15">
        <v>6</v>
      </c>
      <c r="C54" s="15"/>
      <c r="D54" s="15">
        <v>0</v>
      </c>
      <c r="E54" s="15"/>
      <c r="F54" s="15"/>
    </row>
    <row r="55" spans="1:6" ht="17">
      <c r="A55" s="17" t="s">
        <v>255</v>
      </c>
      <c r="B55" s="15">
        <v>11</v>
      </c>
      <c r="C55" s="15"/>
      <c r="D55" s="15">
        <v>0</v>
      </c>
      <c r="E55" s="15"/>
      <c r="F55" s="15"/>
    </row>
    <row r="56" spans="1:6" ht="17">
      <c r="A56" s="17" t="s">
        <v>256</v>
      </c>
      <c r="B56" s="15">
        <v>7</v>
      </c>
      <c r="C56" s="15"/>
      <c r="D56" s="15">
        <v>0</v>
      </c>
      <c r="E56" s="15"/>
      <c r="F56" s="15"/>
    </row>
    <row r="57" spans="1:6" ht="17">
      <c r="A57" s="17" t="s">
        <v>257</v>
      </c>
      <c r="B57" s="15">
        <v>20</v>
      </c>
      <c r="C57" s="15"/>
      <c r="D57" s="15">
        <v>0</v>
      </c>
      <c r="E57" s="15"/>
      <c r="F57" s="15"/>
    </row>
    <row r="58" spans="1:6" ht="17">
      <c r="A58" s="17" t="s">
        <v>172</v>
      </c>
      <c r="B58" s="15">
        <v>2</v>
      </c>
      <c r="C58" s="15">
        <v>1</v>
      </c>
      <c r="D58" s="15"/>
      <c r="E58" s="15"/>
      <c r="F58" s="15"/>
    </row>
    <row r="59" spans="1:6" ht="17">
      <c r="A59" s="17" t="s">
        <v>173</v>
      </c>
      <c r="B59" s="15">
        <v>2</v>
      </c>
      <c r="C59" s="15">
        <v>1</v>
      </c>
      <c r="D59" s="15"/>
      <c r="E59" s="15"/>
      <c r="F59" s="15"/>
    </row>
    <row r="60" spans="1:6" ht="17">
      <c r="A60" s="17" t="s">
        <v>174</v>
      </c>
      <c r="B60" s="15">
        <v>2</v>
      </c>
      <c r="C60" s="15">
        <v>1</v>
      </c>
      <c r="D60" s="15"/>
      <c r="E60" s="15"/>
      <c r="F60" s="15"/>
    </row>
    <row r="61" spans="1:6" ht="17">
      <c r="A61" s="17" t="s">
        <v>175</v>
      </c>
      <c r="B61" s="15">
        <v>2</v>
      </c>
      <c r="C61" s="15">
        <v>1</v>
      </c>
      <c r="D61" s="15"/>
      <c r="E61" s="15"/>
      <c r="F61" s="15"/>
    </row>
    <row r="62" spans="1:6" ht="17">
      <c r="A62" s="17" t="s">
        <v>176</v>
      </c>
      <c r="B62" s="15">
        <v>2</v>
      </c>
      <c r="C62" s="15">
        <v>1</v>
      </c>
      <c r="D62" s="15"/>
      <c r="E62" s="15"/>
      <c r="F62" s="15"/>
    </row>
    <row r="63" spans="1:6" ht="17">
      <c r="A63" s="17" t="s">
        <v>177</v>
      </c>
      <c r="B63" s="15">
        <v>2</v>
      </c>
      <c r="C63" s="15">
        <v>1</v>
      </c>
      <c r="D63" s="15"/>
      <c r="E63" s="15"/>
      <c r="F63" s="15"/>
    </row>
    <row r="64" spans="1:6" ht="17">
      <c r="A64" s="17" t="s">
        <v>178</v>
      </c>
      <c r="B64" s="15">
        <v>2</v>
      </c>
      <c r="C64" s="15">
        <v>1</v>
      </c>
      <c r="D64" s="15"/>
      <c r="E64" s="15"/>
      <c r="F64" s="15"/>
    </row>
    <row r="65" spans="1:6" ht="17">
      <c r="A65" s="17" t="s">
        <v>179</v>
      </c>
      <c r="B65" s="15">
        <v>2</v>
      </c>
      <c r="C65" s="15">
        <v>1</v>
      </c>
      <c r="D65" s="15"/>
      <c r="E65" s="15"/>
      <c r="F65" s="15"/>
    </row>
    <row r="66" spans="1:6" ht="17">
      <c r="A66" s="17" t="s">
        <v>180</v>
      </c>
      <c r="B66" s="15">
        <v>2</v>
      </c>
      <c r="C66" s="15">
        <v>1</v>
      </c>
      <c r="D66" s="15"/>
      <c r="E66" s="15"/>
      <c r="F66" s="15"/>
    </row>
    <row r="67" spans="1:6" ht="17">
      <c r="A67" s="17" t="s">
        <v>181</v>
      </c>
      <c r="B67" s="15">
        <v>2</v>
      </c>
      <c r="C67" s="15">
        <v>1</v>
      </c>
      <c r="D67" s="15"/>
      <c r="E67" s="15"/>
      <c r="F67" s="15"/>
    </row>
    <row r="68" spans="1:6" ht="17">
      <c r="A68" s="17" t="s">
        <v>182</v>
      </c>
      <c r="B68" s="15">
        <v>2</v>
      </c>
      <c r="C68" s="15">
        <v>1</v>
      </c>
      <c r="D68" s="15"/>
      <c r="E68" s="15"/>
      <c r="F68" s="15"/>
    </row>
    <row r="69" spans="1:6" ht="17">
      <c r="A69" s="17" t="s">
        <v>183</v>
      </c>
      <c r="B69" s="15">
        <v>2</v>
      </c>
      <c r="C69" s="15">
        <v>1</v>
      </c>
      <c r="D69" s="15"/>
      <c r="E69" s="15"/>
      <c r="F69" s="15"/>
    </row>
    <row r="70" spans="1:6" ht="17">
      <c r="A70" s="17" t="s">
        <v>184</v>
      </c>
      <c r="B70" s="15">
        <v>2</v>
      </c>
      <c r="C70" s="15">
        <v>1</v>
      </c>
      <c r="D70" s="15"/>
      <c r="E70" s="15"/>
      <c r="F70" s="15"/>
    </row>
    <row r="71" spans="1:6" ht="17">
      <c r="A71" s="17" t="s">
        <v>185</v>
      </c>
      <c r="B71" s="15">
        <v>2</v>
      </c>
      <c r="C71" s="15">
        <v>1</v>
      </c>
      <c r="D71" s="15"/>
      <c r="E71" s="15"/>
      <c r="F71" s="15"/>
    </row>
    <row r="72" spans="1:6" ht="17">
      <c r="A72" s="17" t="s">
        <v>186</v>
      </c>
      <c r="B72" s="15">
        <v>2</v>
      </c>
      <c r="C72" s="15">
        <v>1</v>
      </c>
      <c r="D72" s="15"/>
      <c r="E72" s="15"/>
      <c r="F72" s="15"/>
    </row>
    <row r="73" spans="1:6" ht="17">
      <c r="A73" s="17" t="s">
        <v>187</v>
      </c>
      <c r="B73" s="15">
        <v>2</v>
      </c>
      <c r="C73" s="15">
        <v>1</v>
      </c>
      <c r="D73" s="15"/>
      <c r="E73" s="15"/>
      <c r="F73" s="15"/>
    </row>
    <row r="74" spans="1:6" ht="17">
      <c r="A74" s="17" t="s">
        <v>188</v>
      </c>
      <c r="B74" s="15">
        <v>2</v>
      </c>
      <c r="C74" s="15">
        <v>1</v>
      </c>
      <c r="D74" s="15"/>
      <c r="E74" s="15"/>
      <c r="F74" s="15"/>
    </row>
    <row r="75" spans="1:6" ht="17">
      <c r="A75" s="17" t="s">
        <v>189</v>
      </c>
      <c r="B75" s="15">
        <v>2</v>
      </c>
      <c r="C75" s="15">
        <v>1</v>
      </c>
      <c r="D75" s="15"/>
      <c r="E75" s="15"/>
      <c r="F75" s="15"/>
    </row>
    <row r="76" spans="1:6" ht="17">
      <c r="A76" s="17" t="s">
        <v>190</v>
      </c>
      <c r="B76" s="15">
        <v>2</v>
      </c>
      <c r="C76" s="15">
        <v>1</v>
      </c>
      <c r="D76" s="15"/>
      <c r="E76" s="15"/>
      <c r="F76" s="15"/>
    </row>
    <row r="77" spans="1:6" ht="17">
      <c r="A77" s="17" t="s">
        <v>191</v>
      </c>
      <c r="B77" s="15">
        <v>2</v>
      </c>
      <c r="C77" s="15">
        <v>1</v>
      </c>
      <c r="D77" s="15"/>
      <c r="E77" s="15"/>
      <c r="F77" s="15"/>
    </row>
    <row r="78" spans="1:6" ht="17">
      <c r="A78" s="17" t="s">
        <v>192</v>
      </c>
      <c r="B78" s="15">
        <v>2</v>
      </c>
      <c r="C78" s="15">
        <v>1</v>
      </c>
      <c r="D78" s="15"/>
      <c r="E78" s="15"/>
      <c r="F78" s="15"/>
    </row>
    <row r="79" spans="1:6" ht="17">
      <c r="A79" s="17" t="s">
        <v>193</v>
      </c>
      <c r="B79" s="15">
        <v>2</v>
      </c>
      <c r="C79" s="15">
        <v>1</v>
      </c>
      <c r="D79" s="15"/>
      <c r="E79" s="15"/>
      <c r="F79" s="15"/>
    </row>
    <row r="80" spans="1:6" ht="17">
      <c r="A80" s="17" t="s">
        <v>194</v>
      </c>
      <c r="B80" s="15">
        <v>2</v>
      </c>
      <c r="C80" s="15">
        <v>1</v>
      </c>
      <c r="D80" s="15"/>
      <c r="E80" s="15"/>
      <c r="F80" s="15"/>
    </row>
    <row r="81" spans="1:6" ht="17">
      <c r="A81" s="17" t="s">
        <v>195</v>
      </c>
      <c r="B81" s="15">
        <v>2</v>
      </c>
      <c r="C81" s="15">
        <v>1</v>
      </c>
      <c r="D81" s="15"/>
      <c r="E81" s="15"/>
      <c r="F81" s="15"/>
    </row>
    <row r="82" spans="1:6" ht="17">
      <c r="A82" s="17" t="s">
        <v>196</v>
      </c>
      <c r="B82" s="15">
        <v>2</v>
      </c>
      <c r="C82" s="15">
        <v>1</v>
      </c>
      <c r="D82" s="15"/>
      <c r="E82" s="15"/>
      <c r="F82" s="15"/>
    </row>
    <row r="83" spans="1:6" ht="17">
      <c r="A83" s="17" t="s">
        <v>197</v>
      </c>
      <c r="B83" s="15">
        <v>2</v>
      </c>
      <c r="C83" s="15">
        <v>1</v>
      </c>
      <c r="D83" s="15"/>
      <c r="E83" s="15"/>
      <c r="F83" s="15"/>
    </row>
    <row r="84" spans="1:6" ht="17">
      <c r="A84" s="17" t="s">
        <v>198</v>
      </c>
      <c r="B84" s="15">
        <v>2</v>
      </c>
      <c r="C84" s="15">
        <v>1</v>
      </c>
      <c r="D84" s="15"/>
      <c r="E84" s="15"/>
      <c r="F84" s="15"/>
    </row>
    <row r="85" spans="1:6" ht="17">
      <c r="A85" s="17" t="s">
        <v>199</v>
      </c>
      <c r="B85" s="15">
        <v>3</v>
      </c>
      <c r="C85" s="15">
        <v>1</v>
      </c>
      <c r="D85" s="15"/>
      <c r="E85" s="15"/>
      <c r="F85" s="15"/>
    </row>
    <row r="86" spans="1:6" ht="17">
      <c r="A86" s="17" t="s">
        <v>200</v>
      </c>
      <c r="B86" s="15">
        <v>2</v>
      </c>
      <c r="C86" s="15">
        <v>1</v>
      </c>
      <c r="D86" s="15"/>
      <c r="E86" s="15"/>
      <c r="F86" s="15"/>
    </row>
    <row r="87" spans="1:6" ht="17">
      <c r="A87" s="17" t="s">
        <v>201</v>
      </c>
      <c r="B87" s="15">
        <v>2</v>
      </c>
      <c r="C87" s="15">
        <v>1</v>
      </c>
      <c r="D87" s="15"/>
      <c r="E87" s="15"/>
      <c r="F87" s="15"/>
    </row>
    <row r="88" spans="1:6" ht="17">
      <c r="A88" s="17" t="s">
        <v>202</v>
      </c>
      <c r="B88" s="15">
        <v>2</v>
      </c>
      <c r="C88" s="15">
        <v>1</v>
      </c>
      <c r="D88" s="15"/>
      <c r="E88" s="15"/>
      <c r="F88" s="15"/>
    </row>
    <row r="89" spans="1:6" ht="17">
      <c r="A89" s="17" t="s">
        <v>203</v>
      </c>
      <c r="B89" s="15">
        <v>2</v>
      </c>
      <c r="C89" s="15">
        <v>1</v>
      </c>
      <c r="D89" s="15"/>
      <c r="E89" s="15"/>
      <c r="F89" s="15"/>
    </row>
    <row r="90" spans="1:6" ht="17">
      <c r="A90" s="17" t="s">
        <v>204</v>
      </c>
      <c r="B90" s="15">
        <v>2</v>
      </c>
      <c r="C90" s="15">
        <v>1</v>
      </c>
      <c r="D90" s="15"/>
      <c r="E90" s="15"/>
      <c r="F90" s="15"/>
    </row>
    <row r="91" spans="1:6" ht="17">
      <c r="A91" s="17" t="s">
        <v>205</v>
      </c>
      <c r="B91" s="15">
        <v>2</v>
      </c>
      <c r="C91" s="15">
        <v>1</v>
      </c>
      <c r="D91" s="15"/>
      <c r="E91" s="15"/>
      <c r="F91" s="15"/>
    </row>
    <row r="92" spans="1:6" ht="17">
      <c r="A92" s="17" t="s">
        <v>206</v>
      </c>
      <c r="B92" s="15">
        <v>2</v>
      </c>
      <c r="C92" s="15">
        <v>1</v>
      </c>
      <c r="D92" s="15"/>
      <c r="E92" s="15"/>
      <c r="F92" s="15"/>
    </row>
    <row r="93" spans="1:6" ht="17">
      <c r="A93" s="17" t="s">
        <v>207</v>
      </c>
      <c r="B93" s="15">
        <v>2</v>
      </c>
      <c r="C93" s="15">
        <v>1</v>
      </c>
      <c r="D93" s="15"/>
      <c r="E93" s="15"/>
      <c r="F93" s="15"/>
    </row>
    <row r="94" spans="1:6" ht="17">
      <c r="A94" s="17" t="s">
        <v>208</v>
      </c>
      <c r="B94" s="15">
        <v>2</v>
      </c>
      <c r="C94" s="15">
        <v>1</v>
      </c>
      <c r="D94" s="15"/>
      <c r="E94" s="15"/>
      <c r="F94" s="15"/>
    </row>
    <row r="95" spans="1:6" ht="17">
      <c r="A95" s="17" t="s">
        <v>209</v>
      </c>
      <c r="B95" s="15">
        <v>2</v>
      </c>
      <c r="C95" s="15">
        <v>1</v>
      </c>
      <c r="D95" s="15"/>
      <c r="E95" s="15"/>
      <c r="F95" s="15"/>
    </row>
    <row r="96" spans="1:6" ht="17">
      <c r="A96" s="17" t="s">
        <v>210</v>
      </c>
      <c r="B96" s="15">
        <v>2</v>
      </c>
      <c r="C96" s="15">
        <v>1</v>
      </c>
      <c r="D96" s="15"/>
      <c r="E96" s="15"/>
      <c r="F96" s="15"/>
    </row>
    <row r="97" spans="1:6" ht="17">
      <c r="A97" s="17" t="s">
        <v>211</v>
      </c>
      <c r="B97" s="15">
        <v>2</v>
      </c>
      <c r="C97" s="15">
        <v>1</v>
      </c>
      <c r="D97" s="15"/>
      <c r="E97" s="15"/>
      <c r="F97" s="15"/>
    </row>
    <row r="98" spans="1:6" ht="17">
      <c r="A98" s="17" t="s">
        <v>212</v>
      </c>
      <c r="B98" s="15">
        <v>2</v>
      </c>
      <c r="C98" s="15">
        <v>1</v>
      </c>
      <c r="D98" s="15"/>
      <c r="E98" s="15"/>
      <c r="F98" s="15"/>
    </row>
    <row r="99" spans="1:6" ht="17">
      <c r="A99" s="17" t="s">
        <v>213</v>
      </c>
      <c r="B99" s="15">
        <v>2</v>
      </c>
      <c r="C99" s="15">
        <v>1</v>
      </c>
      <c r="D99" s="15"/>
      <c r="E99" s="15"/>
      <c r="F99" s="15"/>
    </row>
    <row r="100" spans="1:6" ht="17">
      <c r="A100" s="17" t="s">
        <v>214</v>
      </c>
      <c r="B100" s="15">
        <v>2</v>
      </c>
      <c r="C100" s="15">
        <v>1</v>
      </c>
      <c r="D100" s="15"/>
      <c r="E100" s="15"/>
      <c r="F100" s="15"/>
    </row>
    <row r="101" spans="1:6" ht="17">
      <c r="A101" s="17" t="s">
        <v>215</v>
      </c>
      <c r="B101" s="15">
        <v>2</v>
      </c>
      <c r="C101" s="15">
        <v>1</v>
      </c>
      <c r="D101" s="15"/>
      <c r="E101" s="15"/>
      <c r="F101" s="15"/>
    </row>
    <row r="102" spans="1:6" ht="17">
      <c r="A102" s="18" t="s">
        <v>216</v>
      </c>
      <c r="B102" s="15"/>
      <c r="C102" s="15"/>
      <c r="D102" s="15"/>
      <c r="E102" s="15"/>
      <c r="F102" s="15"/>
    </row>
    <row r="103" spans="1:6" ht="17">
      <c r="A103" s="17" t="s">
        <v>217</v>
      </c>
      <c r="B103" s="15">
        <v>2</v>
      </c>
      <c r="C103" s="15">
        <v>1</v>
      </c>
      <c r="D103" s="15"/>
      <c r="E103" s="15"/>
      <c r="F103" s="15"/>
    </row>
    <row r="104" spans="1:6" ht="17">
      <c r="A104" s="17" t="s">
        <v>218</v>
      </c>
      <c r="B104" s="15">
        <v>2</v>
      </c>
      <c r="C104" s="15">
        <v>1</v>
      </c>
      <c r="D104" s="15"/>
      <c r="E104" s="15"/>
      <c r="F104" s="15"/>
    </row>
    <row r="105" spans="1:6" ht="17">
      <c r="A105" s="17" t="s">
        <v>219</v>
      </c>
      <c r="B105" s="15">
        <v>2</v>
      </c>
      <c r="C105" s="15">
        <v>1</v>
      </c>
      <c r="D105" s="15"/>
      <c r="E105" s="15"/>
      <c r="F105" s="15"/>
    </row>
    <row r="106" spans="1:6" ht="17">
      <c r="A106" s="17" t="s">
        <v>220</v>
      </c>
      <c r="B106" s="15">
        <v>2</v>
      </c>
      <c r="C106" s="15">
        <v>1</v>
      </c>
      <c r="D106" s="15"/>
      <c r="E106" s="15"/>
      <c r="F106" s="15"/>
    </row>
    <row r="107" spans="1:6" ht="17">
      <c r="A107" s="17" t="s">
        <v>221</v>
      </c>
      <c r="B107" s="15">
        <v>2</v>
      </c>
      <c r="C107" s="15">
        <v>1</v>
      </c>
      <c r="D107" s="15"/>
      <c r="E107" s="15"/>
      <c r="F107" s="15"/>
    </row>
    <row r="108" spans="1:6" ht="17">
      <c r="A108" s="17" t="s">
        <v>222</v>
      </c>
      <c r="B108" s="15">
        <v>2</v>
      </c>
      <c r="C108" s="15">
        <v>1</v>
      </c>
      <c r="D108" s="15"/>
      <c r="E108" s="15"/>
      <c r="F108" s="15"/>
    </row>
    <row r="109" spans="1:6" ht="17">
      <c r="A109" s="18" t="s">
        <v>223</v>
      </c>
      <c r="B109" s="15"/>
      <c r="C109" s="15"/>
      <c r="D109" s="15"/>
      <c r="E109" s="15"/>
      <c r="F109" s="15"/>
    </row>
    <row r="110" spans="1:6" ht="17">
      <c r="A110" s="17" t="s">
        <v>224</v>
      </c>
      <c r="B110" s="15">
        <v>2</v>
      </c>
      <c r="C110" s="15">
        <v>1</v>
      </c>
      <c r="D110" s="15"/>
      <c r="E110" s="15"/>
      <c r="F110" s="15"/>
    </row>
    <row r="111" spans="1:6" ht="17">
      <c r="A111" s="17" t="s">
        <v>225</v>
      </c>
      <c r="B111" s="15">
        <v>2</v>
      </c>
      <c r="C111" s="15">
        <v>1</v>
      </c>
      <c r="D111" s="15"/>
      <c r="E111" s="15"/>
      <c r="F111" s="15"/>
    </row>
    <row r="112" spans="1:6" ht="17">
      <c r="A112" s="18" t="s">
        <v>232</v>
      </c>
      <c r="B112" s="15"/>
      <c r="C112" s="15"/>
      <c r="D112" s="15"/>
      <c r="E112" s="15"/>
      <c r="F112" s="15"/>
    </row>
    <row r="113" spans="1:6" ht="17">
      <c r="A113" s="18" t="s">
        <v>239</v>
      </c>
      <c r="B113" s="15"/>
      <c r="C113" s="15"/>
      <c r="D113" s="15"/>
      <c r="E113" s="15"/>
      <c r="F113" s="15"/>
    </row>
    <row r="114" spans="1:6" ht="17">
      <c r="A114" s="18" t="s">
        <v>246</v>
      </c>
      <c r="B114" s="15"/>
      <c r="C114" s="15"/>
      <c r="D114" s="15"/>
      <c r="E114" s="15"/>
      <c r="F114" s="15"/>
    </row>
    <row r="115" spans="1:6" ht="17">
      <c r="A115" s="18" t="s">
        <v>249</v>
      </c>
      <c r="B115" s="15"/>
      <c r="C115" s="15"/>
      <c r="D115" s="15"/>
      <c r="E115" s="15"/>
      <c r="F115" s="15"/>
    </row>
    <row r="116" spans="1:6" ht="17">
      <c r="A116" s="18" t="s">
        <v>250</v>
      </c>
      <c r="B116" s="15"/>
      <c r="C116" s="15"/>
      <c r="D116" s="15"/>
      <c r="E116" s="15"/>
      <c r="F116" s="15"/>
    </row>
    <row r="117" spans="1:6" ht="17">
      <c r="A117" s="18" t="s">
        <v>259</v>
      </c>
      <c r="B117" s="15"/>
      <c r="C117" s="15"/>
      <c r="D117" s="15"/>
      <c r="E117" s="15"/>
      <c r="F117" s="15"/>
    </row>
    <row r="118" spans="1:6" ht="17">
      <c r="A118" s="17" t="s">
        <v>260</v>
      </c>
      <c r="B118" s="15">
        <v>2</v>
      </c>
      <c r="C118" s="15"/>
      <c r="D118" s="15"/>
      <c r="E118" s="15">
        <v>1</v>
      </c>
      <c r="F118" s="15"/>
    </row>
    <row r="119" spans="1:6" ht="17">
      <c r="A119" s="17" t="s">
        <v>261</v>
      </c>
      <c r="B119" s="15">
        <v>2</v>
      </c>
      <c r="C119" s="15"/>
      <c r="D119" s="15"/>
      <c r="E119" s="15">
        <v>1</v>
      </c>
      <c r="F119" s="15"/>
    </row>
    <row r="120" spans="1:6" ht="17">
      <c r="A120" s="17" t="s">
        <v>262</v>
      </c>
      <c r="B120" s="15">
        <v>2</v>
      </c>
      <c r="C120" s="15"/>
      <c r="D120" s="15"/>
      <c r="E120" s="15">
        <v>1</v>
      </c>
      <c r="F120" s="15"/>
    </row>
    <row r="121" spans="1:6" ht="17">
      <c r="A121" s="17" t="s">
        <v>263</v>
      </c>
      <c r="B121" s="15">
        <v>2</v>
      </c>
      <c r="C121" s="15"/>
      <c r="D121" s="15"/>
      <c r="E121" s="15">
        <v>1</v>
      </c>
      <c r="F121" s="15"/>
    </row>
    <row r="122" spans="1:6" ht="17">
      <c r="A122" s="17" t="s">
        <v>264</v>
      </c>
      <c r="B122" s="15">
        <v>2</v>
      </c>
      <c r="C122" s="15"/>
      <c r="D122" s="15"/>
      <c r="E122" s="15">
        <v>1</v>
      </c>
      <c r="F122" s="15"/>
    </row>
    <row r="123" spans="1:6" ht="17">
      <c r="A123" s="17" t="s">
        <v>265</v>
      </c>
      <c r="B123" s="15">
        <v>2</v>
      </c>
      <c r="C123" s="15"/>
      <c r="D123" s="15"/>
      <c r="E123" s="15">
        <v>1</v>
      </c>
      <c r="F123" s="15"/>
    </row>
    <row r="124" spans="1:6" ht="17">
      <c r="A124" s="17" t="s">
        <v>266</v>
      </c>
      <c r="B124" s="15">
        <v>2</v>
      </c>
      <c r="C124" s="15"/>
      <c r="D124" s="15"/>
      <c r="E124" s="15">
        <v>1</v>
      </c>
      <c r="F124" s="15"/>
    </row>
    <row r="125" spans="1:6" ht="17">
      <c r="A125" s="17" t="s">
        <v>267</v>
      </c>
      <c r="B125" s="15">
        <v>2</v>
      </c>
      <c r="C125" s="15"/>
      <c r="D125" s="15"/>
      <c r="E125" s="15">
        <v>1</v>
      </c>
      <c r="F125" s="15"/>
    </row>
    <row r="126" spans="1:6" ht="17">
      <c r="A126" s="17" t="s">
        <v>268</v>
      </c>
      <c r="B126" s="15">
        <v>2</v>
      </c>
      <c r="C126" s="15"/>
      <c r="D126" s="15"/>
      <c r="E126" s="15">
        <v>1</v>
      </c>
      <c r="F126" s="15"/>
    </row>
    <row r="127" spans="1:6" ht="17">
      <c r="A127" s="17" t="s">
        <v>269</v>
      </c>
      <c r="B127" s="15">
        <v>3</v>
      </c>
      <c r="C127" s="15"/>
      <c r="D127" s="15"/>
      <c r="E127" s="15"/>
      <c r="F127" s="15">
        <v>1</v>
      </c>
    </row>
    <row r="128" spans="1:6" ht="17">
      <c r="A128" s="17" t="s">
        <v>270</v>
      </c>
      <c r="B128" s="15">
        <v>3</v>
      </c>
      <c r="C128" s="15"/>
      <c r="D128" s="15"/>
      <c r="E128" s="15"/>
      <c r="F128" s="15">
        <v>1</v>
      </c>
    </row>
    <row r="129" spans="1:6" ht="17">
      <c r="A129" s="17" t="s">
        <v>271</v>
      </c>
      <c r="B129" s="15">
        <v>2</v>
      </c>
      <c r="C129" s="15"/>
      <c r="D129" s="15"/>
      <c r="E129" s="15"/>
      <c r="F129" s="15">
        <v>1</v>
      </c>
    </row>
    <row r="130" spans="1:6" ht="17">
      <c r="A130" s="17" t="s">
        <v>272</v>
      </c>
      <c r="B130" s="15">
        <v>3</v>
      </c>
      <c r="C130" s="15"/>
      <c r="D130" s="15"/>
      <c r="E130" s="15"/>
      <c r="F130" s="15">
        <v>1</v>
      </c>
    </row>
    <row r="131" spans="1:6" ht="17">
      <c r="A131" s="17" t="s">
        <v>273</v>
      </c>
      <c r="B131" s="15">
        <v>2</v>
      </c>
      <c r="C131" s="15"/>
      <c r="D131" s="15"/>
      <c r="E131" s="15"/>
      <c r="F131" s="15">
        <v>1</v>
      </c>
    </row>
    <row r="132" spans="1:6" ht="17">
      <c r="A132" s="17" t="s">
        <v>274</v>
      </c>
      <c r="B132" s="15">
        <v>2</v>
      </c>
      <c r="C132" s="15"/>
      <c r="D132" s="15"/>
      <c r="E132" s="15"/>
      <c r="F132" s="15">
        <v>1</v>
      </c>
    </row>
    <row r="133" spans="1:6" ht="17">
      <c r="A133" s="17" t="s">
        <v>275</v>
      </c>
      <c r="B133" s="15">
        <v>3</v>
      </c>
      <c r="C133" s="15"/>
      <c r="D133" s="15"/>
      <c r="E133" s="15"/>
      <c r="F133" s="15">
        <v>1</v>
      </c>
    </row>
    <row r="134" spans="1:6" ht="17">
      <c r="A134" s="17" t="s">
        <v>276</v>
      </c>
      <c r="B134" s="15">
        <v>3</v>
      </c>
      <c r="C134" s="15"/>
      <c r="D134" s="15"/>
      <c r="E134" s="15"/>
      <c r="F134" s="15">
        <v>1</v>
      </c>
    </row>
    <row r="135" spans="1:6" ht="17">
      <c r="A135" s="17" t="s">
        <v>277</v>
      </c>
      <c r="B135" s="15">
        <v>3</v>
      </c>
      <c r="C135" s="15"/>
      <c r="D135" s="15"/>
      <c r="E135" s="15"/>
      <c r="F135" s="15">
        <v>1</v>
      </c>
    </row>
    <row r="136" spans="1:6" ht="17">
      <c r="A136" s="17" t="s">
        <v>278</v>
      </c>
      <c r="B136" s="15">
        <v>4</v>
      </c>
      <c r="C136" s="15"/>
      <c r="D136" s="15"/>
      <c r="E136" s="15"/>
      <c r="F136" s="15">
        <v>1</v>
      </c>
    </row>
    <row r="137" spans="1:6" ht="17">
      <c r="A137" s="17" t="s">
        <v>279</v>
      </c>
      <c r="B137" s="15">
        <v>2</v>
      </c>
      <c r="C137" s="15"/>
      <c r="D137" s="15"/>
      <c r="E137" s="15"/>
      <c r="F137" s="15">
        <v>1</v>
      </c>
    </row>
    <row r="138" spans="1:6" ht="17">
      <c r="A138" s="17" t="s">
        <v>280</v>
      </c>
      <c r="B138" s="15">
        <v>2</v>
      </c>
      <c r="C138" s="15"/>
      <c r="D138" s="15"/>
      <c r="E138" s="15"/>
      <c r="F138" s="15">
        <v>1</v>
      </c>
    </row>
    <row r="139" spans="1:6" ht="17">
      <c r="A139" s="17" t="s">
        <v>281</v>
      </c>
      <c r="B139" s="15">
        <v>2</v>
      </c>
      <c r="C139" s="15"/>
      <c r="D139" s="15"/>
      <c r="E139" s="15"/>
      <c r="F139" s="15">
        <v>1</v>
      </c>
    </row>
    <row r="140" spans="1:6" ht="17">
      <c r="A140" s="17" t="s">
        <v>282</v>
      </c>
      <c r="B140" s="15">
        <v>2</v>
      </c>
      <c r="C140" s="15"/>
      <c r="D140" s="15"/>
      <c r="E140" s="15"/>
      <c r="F140" s="15">
        <v>1</v>
      </c>
    </row>
    <row r="141" spans="1:6" ht="17">
      <c r="A141" s="17" t="s">
        <v>283</v>
      </c>
      <c r="B141" s="15">
        <v>2</v>
      </c>
      <c r="C141" s="15"/>
      <c r="D141" s="15"/>
      <c r="E141" s="15"/>
      <c r="F141" s="15">
        <v>1</v>
      </c>
    </row>
    <row r="142" spans="1:6" ht="17">
      <c r="A142" s="17" t="s">
        <v>284</v>
      </c>
      <c r="B142" s="15">
        <v>2</v>
      </c>
      <c r="C142" s="15"/>
      <c r="D142" s="15"/>
      <c r="E142" s="15"/>
      <c r="F142" s="15">
        <v>1</v>
      </c>
    </row>
    <row r="143" spans="1:6" ht="17">
      <c r="A143" s="17" t="s">
        <v>285</v>
      </c>
      <c r="B143" s="15">
        <v>4</v>
      </c>
      <c r="C143" s="15"/>
      <c r="D143" s="15"/>
      <c r="E143" s="15"/>
      <c r="F143" s="15">
        <v>1</v>
      </c>
    </row>
    <row r="144" spans="1:6" ht="17">
      <c r="A144" s="17" t="s">
        <v>286</v>
      </c>
      <c r="B144" s="15">
        <v>4</v>
      </c>
      <c r="C144" s="15"/>
      <c r="D144" s="15"/>
      <c r="E144" s="15"/>
      <c r="F144" s="15">
        <v>1</v>
      </c>
    </row>
    <row r="145" spans="1:6" ht="17">
      <c r="A145" s="17" t="s">
        <v>287</v>
      </c>
      <c r="B145" s="15">
        <v>2</v>
      </c>
      <c r="C145" s="15"/>
      <c r="D145" s="15"/>
      <c r="E145" s="15"/>
      <c r="F145" s="15">
        <v>1</v>
      </c>
    </row>
    <row r="146" spans="1:6" ht="17">
      <c r="A146" s="17" t="s">
        <v>288</v>
      </c>
      <c r="B146" s="15">
        <v>2</v>
      </c>
      <c r="C146" s="15"/>
      <c r="D146" s="15"/>
      <c r="E146" s="15"/>
      <c r="F146" s="15">
        <v>1</v>
      </c>
    </row>
    <row r="147" spans="1:6" ht="17">
      <c r="A147" s="17" t="s">
        <v>289</v>
      </c>
      <c r="B147" s="15">
        <v>2</v>
      </c>
      <c r="C147" s="15"/>
      <c r="D147" s="15"/>
      <c r="E147" s="15"/>
      <c r="F147" s="15">
        <v>1</v>
      </c>
    </row>
    <row r="148" spans="1:6" ht="17">
      <c r="A148" s="17" t="s">
        <v>290</v>
      </c>
      <c r="B148" s="15">
        <v>4</v>
      </c>
      <c r="C148" s="15"/>
      <c r="D148" s="15"/>
      <c r="E148" s="15"/>
      <c r="F148" s="15">
        <v>1</v>
      </c>
    </row>
    <row r="149" spans="1:6" ht="17">
      <c r="A149" s="17" t="s">
        <v>291</v>
      </c>
      <c r="B149" s="15">
        <v>2</v>
      </c>
      <c r="C149" s="15"/>
      <c r="D149" s="15"/>
      <c r="E149" s="15"/>
      <c r="F149" s="15">
        <v>1</v>
      </c>
    </row>
    <row r="150" spans="1:6" ht="17">
      <c r="A150" s="17" t="s">
        <v>292</v>
      </c>
      <c r="B150" s="15">
        <v>2</v>
      </c>
      <c r="C150" s="15"/>
      <c r="D150" s="15"/>
      <c r="E150" s="15"/>
      <c r="F150" s="15">
        <v>1</v>
      </c>
    </row>
    <row r="151" spans="1:6" ht="17">
      <c r="A151" s="17" t="s">
        <v>293</v>
      </c>
      <c r="B151" s="15">
        <v>2</v>
      </c>
      <c r="C151" s="15"/>
      <c r="D151" s="15"/>
      <c r="E151" s="15"/>
      <c r="F151" s="15">
        <v>1</v>
      </c>
    </row>
    <row r="152" spans="1:6">
      <c r="A152" s="14" t="s">
        <v>149</v>
      </c>
      <c r="B152" s="12"/>
      <c r="C152" s="12"/>
      <c r="D152" s="12"/>
      <c r="E152" s="12"/>
      <c r="F152" s="12"/>
    </row>
    <row r="153" spans="1:6">
      <c r="A153" s="13" t="s">
        <v>150</v>
      </c>
      <c r="B153" s="13">
        <v>2</v>
      </c>
      <c r="C153" s="12"/>
      <c r="D153" s="12"/>
      <c r="E153" s="13">
        <v>1</v>
      </c>
      <c r="F153" s="12"/>
    </row>
    <row r="154" spans="1:6">
      <c r="A154" s="13" t="s">
        <v>151</v>
      </c>
      <c r="B154" s="13">
        <v>2</v>
      </c>
      <c r="C154" s="12"/>
      <c r="D154" s="12"/>
      <c r="E154" s="13">
        <v>1</v>
      </c>
      <c r="F154" s="12"/>
    </row>
    <row r="155" spans="1:6">
      <c r="A155" s="13" t="s">
        <v>152</v>
      </c>
      <c r="B155" s="13">
        <v>2</v>
      </c>
      <c r="C155" s="12"/>
      <c r="D155" s="12"/>
      <c r="E155" s="13">
        <v>1</v>
      </c>
      <c r="F155" s="12"/>
    </row>
    <row r="156" spans="1:6">
      <c r="A156" s="13" t="s">
        <v>153</v>
      </c>
      <c r="B156" s="13">
        <v>2</v>
      </c>
      <c r="C156" s="12"/>
      <c r="D156" s="12"/>
      <c r="E156" s="13">
        <v>1</v>
      </c>
      <c r="F156" s="12"/>
    </row>
    <row r="157" spans="1:6">
      <c r="A157" s="13" t="s">
        <v>154</v>
      </c>
      <c r="B157" s="13">
        <v>2</v>
      </c>
      <c r="C157" s="12"/>
      <c r="D157" s="12"/>
      <c r="E157" s="13">
        <v>1</v>
      </c>
      <c r="F157" s="12"/>
    </row>
    <row r="158" spans="1:6">
      <c r="A158" s="13" t="s">
        <v>155</v>
      </c>
      <c r="B158" s="13">
        <v>2</v>
      </c>
      <c r="C158" s="12"/>
      <c r="D158" s="12"/>
      <c r="E158" s="13">
        <v>1</v>
      </c>
      <c r="F158" s="12"/>
    </row>
    <row r="159" spans="1:6">
      <c r="A159" s="13" t="s">
        <v>156</v>
      </c>
      <c r="B159" s="13">
        <v>3</v>
      </c>
      <c r="C159" s="12"/>
      <c r="D159" s="12"/>
      <c r="E159" s="13">
        <v>1</v>
      </c>
      <c r="F159" s="12"/>
    </row>
    <row r="160" spans="1:6">
      <c r="A160" s="13" t="s">
        <v>157</v>
      </c>
      <c r="B160" s="13">
        <v>2</v>
      </c>
      <c r="C160" s="12"/>
      <c r="D160" s="12"/>
      <c r="E160" s="12"/>
      <c r="F160" s="13">
        <v>1</v>
      </c>
    </row>
    <row r="161" spans="1:6">
      <c r="A161" s="13" t="s">
        <v>158</v>
      </c>
      <c r="B161" s="13">
        <v>2</v>
      </c>
      <c r="C161" s="12"/>
      <c r="D161" s="12"/>
      <c r="E161" s="12"/>
      <c r="F161" s="13">
        <v>1</v>
      </c>
    </row>
    <row r="162" spans="1:6">
      <c r="A162" s="13" t="s">
        <v>159</v>
      </c>
      <c r="B162" s="13">
        <v>2</v>
      </c>
      <c r="C162" s="12"/>
      <c r="D162" s="12"/>
      <c r="E162" s="12"/>
      <c r="F162" s="13">
        <v>1</v>
      </c>
    </row>
    <row r="163" spans="1:6">
      <c r="A163" s="13" t="s">
        <v>160</v>
      </c>
      <c r="B163" s="13">
        <v>2</v>
      </c>
      <c r="C163" s="12"/>
      <c r="D163" s="12"/>
      <c r="E163" s="12"/>
      <c r="F163" s="13">
        <v>1</v>
      </c>
    </row>
    <row r="164" spans="1:6">
      <c r="A164" s="13" t="s">
        <v>161</v>
      </c>
      <c r="B164" s="13">
        <v>2</v>
      </c>
      <c r="C164" s="12"/>
      <c r="D164" s="12"/>
      <c r="E164" s="12"/>
      <c r="F164" s="13">
        <v>1</v>
      </c>
    </row>
    <row r="165" spans="1:6">
      <c r="A165" s="13" t="s">
        <v>162</v>
      </c>
      <c r="B165" s="13">
        <v>2</v>
      </c>
      <c r="C165" s="12"/>
      <c r="D165" s="12"/>
      <c r="E165" s="12"/>
      <c r="F165" s="13">
        <v>1</v>
      </c>
    </row>
    <row r="166" spans="1:6">
      <c r="A166" s="13" t="s">
        <v>163</v>
      </c>
      <c r="B166" s="13">
        <v>2</v>
      </c>
      <c r="C166" s="12"/>
      <c r="D166" s="12"/>
      <c r="E166" s="12"/>
      <c r="F166" s="13">
        <v>1</v>
      </c>
    </row>
    <row r="167" spans="1:6">
      <c r="A167" s="13" t="s">
        <v>164</v>
      </c>
      <c r="B167" s="13">
        <v>3</v>
      </c>
      <c r="C167" s="12"/>
      <c r="D167" s="12"/>
      <c r="E167" s="12"/>
      <c r="F167" s="12"/>
    </row>
    <row r="168" spans="1:6">
      <c r="A168" s="13" t="s">
        <v>165</v>
      </c>
      <c r="B168" s="13">
        <v>3</v>
      </c>
      <c r="C168" s="12"/>
      <c r="D168" s="12"/>
      <c r="E168" s="12"/>
      <c r="F168" s="12"/>
    </row>
    <row r="169" spans="1:6">
      <c r="A169" s="13" t="s">
        <v>166</v>
      </c>
      <c r="B169" s="13">
        <v>2</v>
      </c>
      <c r="C169" s="12"/>
      <c r="D169" s="12"/>
      <c r="E169" s="12"/>
      <c r="F169" s="12"/>
    </row>
    <row r="170" spans="1:6">
      <c r="A170" s="13" t="s">
        <v>167</v>
      </c>
      <c r="B170" s="13">
        <v>2</v>
      </c>
      <c r="C170" s="12"/>
      <c r="D170" s="12"/>
      <c r="E170" s="12"/>
      <c r="F170" s="12"/>
    </row>
    <row r="171" spans="1:6">
      <c r="A171" s="13" t="s">
        <v>168</v>
      </c>
      <c r="B171" s="13">
        <v>2</v>
      </c>
      <c r="C171" s="12"/>
      <c r="D171" s="12"/>
      <c r="E171" s="12"/>
      <c r="F171" s="12"/>
    </row>
    <row r="172" spans="1:6">
      <c r="A172" s="13" t="s">
        <v>169</v>
      </c>
      <c r="B172" s="13">
        <v>2</v>
      </c>
      <c r="C172" s="12"/>
      <c r="D172" s="12"/>
      <c r="E172" s="12"/>
      <c r="F172" s="12"/>
    </row>
    <row r="173" spans="1:6">
      <c r="A173" s="13" t="s">
        <v>170</v>
      </c>
      <c r="B173" s="13">
        <v>2</v>
      </c>
      <c r="C173" s="12"/>
      <c r="D173" s="12"/>
      <c r="E173" s="12"/>
      <c r="F173" s="12"/>
    </row>
    <row r="174" spans="1:6">
      <c r="A174" s="13" t="s">
        <v>171</v>
      </c>
      <c r="B174" s="13">
        <v>2</v>
      </c>
      <c r="C174" s="12"/>
      <c r="D174" s="12"/>
      <c r="E174" s="12"/>
      <c r="F174" s="12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E56"/>
  <sheetViews>
    <sheetView workbookViewId="0">
      <selection activeCell="C39" sqref="C39"/>
    </sheetView>
  </sheetViews>
  <sheetFormatPr baseColWidth="10" defaultRowHeight="16"/>
  <cols>
    <col min="1" max="1" width="13.5" bestFit="1" customWidth="1"/>
    <col min="2" max="2" width="17" bestFit="1" customWidth="1"/>
    <col min="3" max="3" width="20.83203125" customWidth="1"/>
  </cols>
  <sheetData>
    <row r="1" spans="1:5" ht="17">
      <c r="A1" s="16" t="s">
        <v>294</v>
      </c>
      <c r="B1" s="16" t="s">
        <v>52</v>
      </c>
      <c r="C1" s="16" t="s">
        <v>110</v>
      </c>
      <c r="D1" s="16" t="s">
        <v>111</v>
      </c>
      <c r="E1" s="16" t="s">
        <v>112</v>
      </c>
    </row>
    <row r="2" spans="1:5" ht="17">
      <c r="A2" s="17" t="s">
        <v>34</v>
      </c>
      <c r="B2" s="21">
        <f>VLOOKUP(A2,Expression!$C$1:$D$462,2,FALSE)</f>
        <v>37.9099</v>
      </c>
      <c r="C2" s="15">
        <v>5</v>
      </c>
      <c r="D2" s="15"/>
      <c r="E2" s="15">
        <v>1</v>
      </c>
    </row>
    <row r="3" spans="1:5" ht="17">
      <c r="A3" s="17" t="s">
        <v>37</v>
      </c>
      <c r="B3" s="21">
        <f>VLOOKUP(A3,Expression!$C$1:$D$462,2,FALSE)</f>
        <v>70.494699999999995</v>
      </c>
      <c r="C3" s="15">
        <v>8</v>
      </c>
      <c r="D3" s="15"/>
      <c r="E3" s="15">
        <v>1</v>
      </c>
    </row>
    <row r="4" spans="1:5" ht="17">
      <c r="A4" s="17" t="s">
        <v>15</v>
      </c>
      <c r="B4" s="21">
        <f>VLOOKUP(A4,Expression!$C$1:$D$462,2,FALSE)</f>
        <v>59.914099999999998</v>
      </c>
      <c r="C4" s="15">
        <v>3</v>
      </c>
      <c r="D4" s="15"/>
      <c r="E4" s="15">
        <v>1</v>
      </c>
    </row>
    <row r="5" spans="1:5" ht="17">
      <c r="A5" s="17" t="s">
        <v>16</v>
      </c>
      <c r="B5" s="21">
        <f>VLOOKUP(A5,Expression!$C$1:$D$462,2,FALSE)</f>
        <v>74.613299999999995</v>
      </c>
      <c r="C5" s="15">
        <v>4</v>
      </c>
      <c r="D5" s="15"/>
      <c r="E5" s="15">
        <v>1</v>
      </c>
    </row>
    <row r="6" spans="1:5" ht="17">
      <c r="A6" s="17" t="s">
        <v>17</v>
      </c>
      <c r="B6" s="21">
        <f>VLOOKUP(A6,Expression!$C$1:$D$462,2,FALSE)</f>
        <v>39.688000000000002</v>
      </c>
      <c r="C6" s="15">
        <v>3</v>
      </c>
      <c r="D6" s="15"/>
      <c r="E6" s="15">
        <v>1</v>
      </c>
    </row>
    <row r="7" spans="1:5" ht="17">
      <c r="A7" s="17" t="s">
        <v>18</v>
      </c>
      <c r="B7" s="21">
        <f>VLOOKUP(A7,Expression!$C$1:$D$462,2,FALSE)</f>
        <v>49.747900000000001</v>
      </c>
      <c r="C7" s="15">
        <v>4</v>
      </c>
      <c r="D7" s="15"/>
      <c r="E7" s="15">
        <v>1</v>
      </c>
    </row>
    <row r="8" spans="1:5" ht="17">
      <c r="A8" s="17" t="s">
        <v>23</v>
      </c>
      <c r="B8" s="21">
        <f>VLOOKUP(A8,Expression!$C$1:$D$462,2,FALSE)</f>
        <v>177.065</v>
      </c>
      <c r="C8" s="15">
        <v>5</v>
      </c>
      <c r="D8" s="15"/>
      <c r="E8" s="15">
        <v>1</v>
      </c>
    </row>
    <row r="9" spans="1:5" ht="17">
      <c r="A9" s="17" t="s">
        <v>24</v>
      </c>
      <c r="B9" s="21">
        <f>VLOOKUP(A9,Expression!$C$1:$D$462,2,FALSE)</f>
        <v>79.352699999999999</v>
      </c>
      <c r="C9" s="15">
        <v>5</v>
      </c>
      <c r="D9" s="15"/>
      <c r="E9" s="15">
        <v>1</v>
      </c>
    </row>
    <row r="10" spans="1:5" ht="17">
      <c r="A10" s="17" t="s">
        <v>28</v>
      </c>
      <c r="B10" s="21">
        <f>VLOOKUP(A10,Expression!$C$1:$D$462,2,FALSE)</f>
        <v>79.2136</v>
      </c>
      <c r="C10" s="15">
        <v>4</v>
      </c>
      <c r="D10" s="15"/>
      <c r="E10" s="15">
        <v>1</v>
      </c>
    </row>
    <row r="11" spans="1:5" ht="17">
      <c r="A11" s="17" t="s">
        <v>36</v>
      </c>
      <c r="B11" s="21">
        <f>VLOOKUP(A11,Expression!$C$1:$D$462,2,FALSE)</f>
        <v>32.744700000000002</v>
      </c>
      <c r="C11" s="15">
        <v>5</v>
      </c>
      <c r="D11" s="15"/>
      <c r="E11" s="15">
        <v>1</v>
      </c>
    </row>
    <row r="12" spans="1:5" ht="17">
      <c r="A12" s="17" t="s">
        <v>38</v>
      </c>
      <c r="B12" s="21">
        <f>VLOOKUP(A12,Expression!$C$1:$D$462,2,FALSE)</f>
        <v>109.98560000000001</v>
      </c>
      <c r="C12" s="15">
        <v>2</v>
      </c>
      <c r="D12" s="15"/>
      <c r="E12" s="15">
        <v>1</v>
      </c>
    </row>
    <row r="13" spans="1:5" ht="17">
      <c r="A13" s="17" t="s">
        <v>19</v>
      </c>
      <c r="B13" s="21">
        <f>VLOOKUP(A13,Expression!$C$1:$D$462,2,FALSE)</f>
        <v>65.932000000000002</v>
      </c>
      <c r="C13" s="15">
        <v>6</v>
      </c>
      <c r="D13" s="15"/>
      <c r="E13" s="15">
        <v>1</v>
      </c>
    </row>
    <row r="14" spans="1:5" ht="17">
      <c r="A14" s="17" t="s">
        <v>22</v>
      </c>
      <c r="B14" s="21">
        <f>VLOOKUP(A14,Expression!$C$1:$D$462,2,FALSE)</f>
        <v>185.36500000000001</v>
      </c>
      <c r="C14" s="15">
        <v>5</v>
      </c>
      <c r="D14" s="15"/>
      <c r="E14" s="15">
        <v>1</v>
      </c>
    </row>
    <row r="15" spans="1:5" ht="17">
      <c r="A15" s="17" t="s">
        <v>25</v>
      </c>
      <c r="B15" s="21">
        <f>VLOOKUP(A15,Expression!$C$1:$D$462,2,FALSE)</f>
        <v>34.323700000000002</v>
      </c>
      <c r="C15" s="15">
        <v>3</v>
      </c>
      <c r="D15" s="15"/>
      <c r="E15" s="15">
        <v>1</v>
      </c>
    </row>
    <row r="16" spans="1:5" ht="17">
      <c r="A16" s="17" t="s">
        <v>27</v>
      </c>
      <c r="B16" s="21">
        <f>VLOOKUP(A16,Expression!$C$1:$D$462,2,FALSE)</f>
        <v>73.215900000000005</v>
      </c>
      <c r="C16" s="15">
        <v>6</v>
      </c>
      <c r="D16" s="15"/>
      <c r="E16" s="15">
        <v>1</v>
      </c>
    </row>
    <row r="17" spans="1:5" ht="17">
      <c r="A17" s="17" t="s">
        <v>29</v>
      </c>
      <c r="B17" s="21">
        <f>VLOOKUP(A17,Expression!$C$1:$D$462,2,FALSE)</f>
        <v>45.259599999999999</v>
      </c>
      <c r="C17" s="15">
        <v>2</v>
      </c>
      <c r="D17" s="15"/>
      <c r="E17" s="15">
        <v>1</v>
      </c>
    </row>
    <row r="18" spans="1:5" ht="17">
      <c r="A18" s="17" t="s">
        <v>30</v>
      </c>
      <c r="B18" s="21">
        <f>VLOOKUP(A18,Expression!$C$1:$D$462,2,FALSE)</f>
        <v>86.195300000000003</v>
      </c>
      <c r="C18" s="15">
        <v>4</v>
      </c>
      <c r="D18" s="15"/>
      <c r="E18" s="15">
        <v>1</v>
      </c>
    </row>
    <row r="19" spans="1:5" ht="17">
      <c r="A19" s="17" t="s">
        <v>32</v>
      </c>
      <c r="B19" s="21">
        <f>VLOOKUP(A19,Expression!$C$1:$D$462,2,FALSE)</f>
        <v>32.966000000000001</v>
      </c>
      <c r="C19" s="15">
        <v>7</v>
      </c>
      <c r="D19" s="15"/>
      <c r="E19" s="15">
        <v>1</v>
      </c>
    </row>
    <row r="20" spans="1:5" ht="17">
      <c r="A20" s="17" t="s">
        <v>39</v>
      </c>
      <c r="B20" s="21">
        <f>VLOOKUP(A20,Expression!$C$1:$D$462,2,FALSE)</f>
        <v>98.299800000000005</v>
      </c>
      <c r="C20" s="15">
        <v>2</v>
      </c>
      <c r="D20" s="15"/>
      <c r="E20" s="15">
        <v>1</v>
      </c>
    </row>
    <row r="21" spans="1:5" ht="17">
      <c r="A21" s="17" t="s">
        <v>14</v>
      </c>
      <c r="B21" s="21">
        <f>VLOOKUP(A21,Expression!$C$1:$D$462,2,FALSE)</f>
        <v>75.524100000000004</v>
      </c>
      <c r="C21" s="15">
        <v>10</v>
      </c>
      <c r="D21" s="15"/>
      <c r="E21" s="15">
        <v>1</v>
      </c>
    </row>
    <row r="22" spans="1:5" ht="17">
      <c r="A22" s="17" t="s">
        <v>31</v>
      </c>
      <c r="B22" s="21">
        <f>VLOOKUP(A22,Expression!$C$1:$D$462,2,FALSE)</f>
        <v>20.088000000000001</v>
      </c>
      <c r="C22" s="15">
        <v>12</v>
      </c>
      <c r="D22" s="15"/>
      <c r="E22" s="15">
        <v>1</v>
      </c>
    </row>
    <row r="23" spans="1:5" ht="17">
      <c r="A23" s="17" t="s">
        <v>33</v>
      </c>
      <c r="B23" s="21">
        <f>VLOOKUP(A23,Expression!$C$1:$D$462,2,FALSE)</f>
        <v>18.200299999999999</v>
      </c>
      <c r="C23" s="15">
        <v>4</v>
      </c>
      <c r="D23" s="15"/>
      <c r="E23" s="15">
        <v>1</v>
      </c>
    </row>
    <row r="24" spans="1:5" ht="17">
      <c r="A24" s="17" t="s">
        <v>20</v>
      </c>
      <c r="B24" s="21">
        <f>VLOOKUP(A24,Expression!$C$1:$D$462,2,FALSE)</f>
        <v>69.819299999999998</v>
      </c>
      <c r="C24" s="15">
        <v>15</v>
      </c>
      <c r="D24" s="15"/>
      <c r="E24" s="15">
        <v>1</v>
      </c>
    </row>
    <row r="25" spans="1:5" ht="17">
      <c r="A25" s="17" t="s">
        <v>35</v>
      </c>
      <c r="B25" s="21">
        <f>VLOOKUP(A25,Expression!$C$1:$D$462,2,FALSE)</f>
        <v>33.626800000000003</v>
      </c>
      <c r="C25" s="15">
        <v>14</v>
      </c>
      <c r="D25" s="15"/>
      <c r="E25" s="15">
        <v>1</v>
      </c>
    </row>
    <row r="26" spans="1:5" ht="17">
      <c r="A26" s="17" t="s">
        <v>21</v>
      </c>
      <c r="B26" s="21">
        <f>VLOOKUP(A26,Expression!$C$1:$D$462,2,FALSE)</f>
        <v>77.971800000000002</v>
      </c>
      <c r="C26" s="15">
        <v>8</v>
      </c>
      <c r="D26" s="15"/>
      <c r="E26" s="15">
        <v>1</v>
      </c>
    </row>
    <row r="27" spans="1:5" ht="17">
      <c r="A27" s="17" t="s">
        <v>26</v>
      </c>
      <c r="B27" s="21">
        <f>VLOOKUP(A27,Expression!$C$1:$D$462,2,FALSE)</f>
        <v>71.940799999999996</v>
      </c>
      <c r="C27" s="15">
        <v>14</v>
      </c>
      <c r="D27" s="15"/>
      <c r="E27" s="15">
        <v>1</v>
      </c>
    </row>
    <row r="28" spans="1:5" ht="17">
      <c r="A28" s="17" t="s">
        <v>230</v>
      </c>
      <c r="B28" s="21">
        <f>VLOOKUP(A28,Expression!$C$1:$D$462,2,FALSE)</f>
        <v>15.9094</v>
      </c>
      <c r="C28" s="15">
        <v>3</v>
      </c>
      <c r="D28" s="15"/>
      <c r="E28" s="15">
        <v>1</v>
      </c>
    </row>
    <row r="29" spans="1:5" ht="17">
      <c r="A29" s="17" t="s">
        <v>247</v>
      </c>
      <c r="B29" s="21">
        <f>VLOOKUP(A29,Expression!$C$1:$D$462,2,FALSE)</f>
        <v>49.630800000000001</v>
      </c>
      <c r="C29" s="15">
        <v>4</v>
      </c>
      <c r="D29" s="15"/>
      <c r="E29" s="15">
        <v>1</v>
      </c>
    </row>
    <row r="30" spans="1:5" ht="17">
      <c r="A30" s="17" t="s">
        <v>248</v>
      </c>
      <c r="B30" s="21">
        <f>VLOOKUP(A30,Expression!$C$1:$D$462,2,FALSE)</f>
        <v>45.046700000000001</v>
      </c>
      <c r="C30" s="15">
        <v>4</v>
      </c>
      <c r="D30" s="15"/>
      <c r="E30" s="15">
        <v>1</v>
      </c>
    </row>
    <row r="31" spans="1:5" ht="17">
      <c r="A31" s="17" t="s">
        <v>258</v>
      </c>
      <c r="B31" s="21">
        <f>VLOOKUP(A31,Expression!$C$1:$D$462,2,FALSE)</f>
        <v>59.510100000000001</v>
      </c>
      <c r="C31" s="15">
        <v>4</v>
      </c>
      <c r="D31" s="15"/>
      <c r="E31" s="15">
        <v>1</v>
      </c>
    </row>
    <row r="32" spans="1:5" ht="17">
      <c r="A32" s="17" t="s">
        <v>226</v>
      </c>
      <c r="B32" s="21">
        <f>VLOOKUP(A32,Expression!$C$1:$D$462,2,FALSE)</f>
        <v>40.241900000000001</v>
      </c>
      <c r="C32" s="15">
        <v>20</v>
      </c>
      <c r="D32" s="15"/>
      <c r="E32" s="15">
        <v>0</v>
      </c>
    </row>
    <row r="33" spans="1:5" ht="17">
      <c r="A33" s="17" t="s">
        <v>227</v>
      </c>
      <c r="B33" s="21">
        <f>VLOOKUP(A33,Expression!$C$1:$D$462,2,FALSE)</f>
        <v>49.792400000000001</v>
      </c>
      <c r="C33" s="15">
        <v>22</v>
      </c>
      <c r="D33" s="15"/>
      <c r="E33" s="15">
        <v>0</v>
      </c>
    </row>
    <row r="34" spans="1:5" ht="17">
      <c r="A34" s="17" t="s">
        <v>228</v>
      </c>
      <c r="B34" s="21">
        <f>VLOOKUP(A34,Expression!$C$1:$D$462,2,FALSE)</f>
        <v>41.977400000000003</v>
      </c>
      <c r="C34" s="15">
        <v>14</v>
      </c>
      <c r="D34" s="15"/>
      <c r="E34" s="15">
        <v>0</v>
      </c>
    </row>
    <row r="35" spans="1:5" ht="17">
      <c r="A35" s="17" t="s">
        <v>229</v>
      </c>
      <c r="B35" s="21">
        <f>VLOOKUP(A35,Expression!$C$1:$D$462,2,FALSE)</f>
        <v>50.444299999999998</v>
      </c>
      <c r="C35" s="15">
        <v>15</v>
      </c>
      <c r="D35" s="15"/>
      <c r="E35" s="15">
        <v>0</v>
      </c>
    </row>
    <row r="36" spans="1:5" ht="17">
      <c r="A36" s="17" t="s">
        <v>231</v>
      </c>
      <c r="B36" s="21">
        <f>VLOOKUP(A36,Expression!$C$1:$D$462,2,FALSE)</f>
        <v>41.886699999999998</v>
      </c>
      <c r="C36" s="15">
        <v>22</v>
      </c>
      <c r="D36" s="15"/>
      <c r="E36" s="15">
        <v>0</v>
      </c>
    </row>
    <row r="37" spans="1:5" ht="17">
      <c r="A37" s="17" t="s">
        <v>233</v>
      </c>
      <c r="B37" s="21">
        <f>VLOOKUP(A37,Expression!$C$1:$D$462,2,FALSE)</f>
        <v>77.415400000000005</v>
      </c>
      <c r="C37" s="15">
        <v>22</v>
      </c>
      <c r="D37" s="15"/>
      <c r="E37" s="15">
        <v>0</v>
      </c>
    </row>
    <row r="38" spans="1:5" ht="17">
      <c r="A38" s="17" t="s">
        <v>234</v>
      </c>
      <c r="B38" s="21">
        <f>VLOOKUP(A38,Expression!$C$1:$D$462,2,FALSE)</f>
        <v>74.972399999999993</v>
      </c>
      <c r="C38" s="15">
        <v>17</v>
      </c>
      <c r="D38" s="15"/>
      <c r="E38" s="15">
        <v>0</v>
      </c>
    </row>
    <row r="39" spans="1:5" ht="17">
      <c r="A39" s="17" t="s">
        <v>235</v>
      </c>
      <c r="B39" s="21">
        <f>VLOOKUP(A39,Expression!$C$1:$D$462,2,FALSE)</f>
        <v>57.543700000000001</v>
      </c>
      <c r="C39" s="15">
        <v>12</v>
      </c>
      <c r="D39" s="15"/>
      <c r="E39" s="15">
        <v>0</v>
      </c>
    </row>
    <row r="40" spans="1:5" ht="17">
      <c r="A40" s="17" t="s">
        <v>236</v>
      </c>
      <c r="B40" s="21">
        <f>VLOOKUP(A40,Expression!$C$1:$D$462,2,FALSE)</f>
        <v>70.523600000000002</v>
      </c>
      <c r="C40" s="15">
        <v>17</v>
      </c>
      <c r="D40" s="15"/>
      <c r="E40" s="15">
        <v>0</v>
      </c>
    </row>
    <row r="41" spans="1:5" ht="17">
      <c r="A41" s="17" t="s">
        <v>237</v>
      </c>
      <c r="B41" s="21">
        <f>VLOOKUP(A41,Expression!$C$1:$D$462,2,FALSE)</f>
        <v>52.794199999999996</v>
      </c>
      <c r="C41" s="15">
        <v>9</v>
      </c>
      <c r="D41" s="15"/>
      <c r="E41" s="15">
        <v>0</v>
      </c>
    </row>
    <row r="42" spans="1:5" ht="17">
      <c r="A42" s="17" t="s">
        <v>359</v>
      </c>
      <c r="B42" s="21">
        <f>VLOOKUP(A42,Expression!$C$1:$D$462,2,FALSE)</f>
        <v>78.052199999999999</v>
      </c>
      <c r="C42" s="15">
        <v>17</v>
      </c>
      <c r="D42" s="15"/>
      <c r="E42" s="15">
        <v>0</v>
      </c>
    </row>
    <row r="43" spans="1:5" ht="17">
      <c r="A43" s="17" t="s">
        <v>240</v>
      </c>
      <c r="B43" s="21">
        <f>VLOOKUP(A43,Expression!$C$1:$D$462,2,FALSE)</f>
        <v>70.064400000000006</v>
      </c>
      <c r="C43" s="15">
        <v>22</v>
      </c>
      <c r="D43" s="15"/>
      <c r="E43" s="15">
        <v>0</v>
      </c>
    </row>
    <row r="44" spans="1:5" ht="17">
      <c r="A44" s="17" t="s">
        <v>360</v>
      </c>
      <c r="B44" s="21">
        <f>VLOOKUP(A44,Expression!$C$1:$D$462,2,FALSE)</f>
        <v>20.588999999999999</v>
      </c>
      <c r="C44" s="15">
        <v>4</v>
      </c>
      <c r="D44" s="15"/>
      <c r="E44" s="15">
        <v>0</v>
      </c>
    </row>
    <row r="45" spans="1:5" ht="17">
      <c r="A45" s="17" t="s">
        <v>242</v>
      </c>
      <c r="B45" s="21">
        <f>VLOOKUP(A45,Expression!$C$1:$D$462,2,FALSE)</f>
        <v>78.844200000000001</v>
      </c>
      <c r="C45" s="15">
        <v>16</v>
      </c>
      <c r="D45" s="15"/>
      <c r="E45" s="15">
        <v>0</v>
      </c>
    </row>
    <row r="46" spans="1:5" ht="17">
      <c r="A46" s="17" t="s">
        <v>243</v>
      </c>
      <c r="B46" s="21">
        <f>VLOOKUP(A46,Expression!$C$1:$D$462,2,FALSE)</f>
        <v>56.426900000000003</v>
      </c>
      <c r="C46" s="15">
        <v>7</v>
      </c>
      <c r="D46" s="15"/>
      <c r="E46" s="15">
        <v>0</v>
      </c>
    </row>
    <row r="47" spans="1:5" ht="17">
      <c r="A47" s="17" t="s">
        <v>244</v>
      </c>
      <c r="B47" s="21">
        <f>VLOOKUP(A47,Expression!$C$1:$D$462,2,FALSE)</f>
        <v>39.023099999999999</v>
      </c>
      <c r="C47" s="15">
        <v>7</v>
      </c>
      <c r="D47" s="15"/>
      <c r="E47" s="15">
        <v>0</v>
      </c>
    </row>
    <row r="48" spans="1:5" ht="17">
      <c r="A48" s="17" t="s">
        <v>245</v>
      </c>
      <c r="B48" s="21">
        <f>VLOOKUP(A48,Expression!$C$1:$D$462,2,FALSE)</f>
        <v>55.668100000000003</v>
      </c>
      <c r="C48" s="15">
        <v>7</v>
      </c>
      <c r="D48" s="15"/>
      <c r="E48" s="15">
        <v>0</v>
      </c>
    </row>
    <row r="49" spans="1:5" ht="17">
      <c r="A49" s="17" t="s">
        <v>251</v>
      </c>
      <c r="B49" s="21">
        <f>VLOOKUP(A49,Expression!$C$1:$D$462,2,FALSE)</f>
        <v>203.3922</v>
      </c>
      <c r="C49" s="15">
        <v>12</v>
      </c>
      <c r="D49" s="15"/>
      <c r="E49" s="15">
        <v>0</v>
      </c>
    </row>
    <row r="50" spans="1:5" ht="17">
      <c r="A50" s="17" t="s">
        <v>252</v>
      </c>
      <c r="B50" s="21">
        <f>VLOOKUP(A50,Expression!$C$1:$D$462,2,FALSE)</f>
        <v>234.26130000000001</v>
      </c>
      <c r="C50" s="15">
        <v>11</v>
      </c>
      <c r="D50" s="15"/>
      <c r="E50" s="15">
        <v>0</v>
      </c>
    </row>
    <row r="51" spans="1:5" ht="17">
      <c r="A51" s="17" t="s">
        <v>253</v>
      </c>
      <c r="B51" s="21">
        <f>VLOOKUP(A51,Expression!$C$1:$D$462,2,FALSE)</f>
        <v>199.01130000000001</v>
      </c>
      <c r="C51" s="15">
        <v>8</v>
      </c>
      <c r="D51" s="15"/>
      <c r="E51" s="15">
        <v>0</v>
      </c>
    </row>
    <row r="52" spans="1:5" ht="17">
      <c r="A52" s="17" t="s">
        <v>254</v>
      </c>
      <c r="B52" s="21">
        <f>VLOOKUP(A52,Expression!$C$1:$D$462,2,FALSE)</f>
        <v>96.848399999999998</v>
      </c>
      <c r="C52" s="15">
        <v>6</v>
      </c>
      <c r="D52" s="15"/>
      <c r="E52" s="15">
        <v>0</v>
      </c>
    </row>
    <row r="53" spans="1:5" ht="17">
      <c r="A53" s="17" t="s">
        <v>255</v>
      </c>
      <c r="B53" s="21">
        <f>VLOOKUP(A53,Expression!$C$1:$D$462,2,FALSE)</f>
        <v>180.40299999999999</v>
      </c>
      <c r="C53" s="15">
        <v>11</v>
      </c>
      <c r="D53" s="15"/>
      <c r="E53" s="15">
        <v>0</v>
      </c>
    </row>
    <row r="54" spans="1:5" ht="17">
      <c r="A54" s="17" t="s">
        <v>256</v>
      </c>
      <c r="B54" s="21">
        <f>VLOOKUP(A54,Expression!$C$1:$D$462,2,FALSE)</f>
        <v>175.8484</v>
      </c>
      <c r="C54" s="15">
        <v>7</v>
      </c>
      <c r="D54" s="15"/>
      <c r="E54" s="15">
        <v>0</v>
      </c>
    </row>
    <row r="55" spans="1:5" ht="17">
      <c r="A55" s="17" t="s">
        <v>257</v>
      </c>
      <c r="B55" s="21">
        <f>VLOOKUP(A55,Expression!$C$1:$D$462,2,FALSE)</f>
        <v>162.54750000000001</v>
      </c>
      <c r="C55" s="15">
        <v>20</v>
      </c>
      <c r="D55" s="15"/>
      <c r="E55" s="15">
        <v>0</v>
      </c>
    </row>
    <row r="56" spans="1:5" ht="19">
      <c r="A56" s="8" t="s">
        <v>40</v>
      </c>
      <c r="B56" s="21">
        <f>VLOOKUP(A56,Expression!$C$1:$D$462,2,FALSE)</f>
        <v>21.203199999999999</v>
      </c>
      <c r="C56" s="15">
        <v>7</v>
      </c>
      <c r="E56" s="15">
        <v>1</v>
      </c>
    </row>
  </sheetData>
  <autoFilter ref="A1:E1" xr:uid="{4B684DB2-783D-BC46-84A3-53A116E48E9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sqref="A1:D462"/>
    </sheetView>
  </sheetViews>
  <sheetFormatPr baseColWidth="10" defaultRowHeight="16"/>
  <cols>
    <col min="2" max="2" width="10" customWidth="1"/>
  </cols>
  <sheetData>
    <row r="1" spans="1:17">
      <c r="A1" t="s">
        <v>295</v>
      </c>
      <c r="B1" t="s">
        <v>296</v>
      </c>
      <c r="C1" t="s">
        <v>299</v>
      </c>
      <c r="D1" t="s">
        <v>297</v>
      </c>
    </row>
    <row r="2" spans="1:17">
      <c r="A2" s="19" t="s">
        <v>298</v>
      </c>
      <c r="B2" s="19">
        <v>260</v>
      </c>
      <c r="C2" s="19" t="str">
        <f>_xlfn.CONCAT(A2,"-m",B2)</f>
        <v>CD5-m260</v>
      </c>
      <c r="D2" s="3">
        <v>20.088000000000001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19" t="s">
        <v>298</v>
      </c>
      <c r="B3">
        <v>261</v>
      </c>
      <c r="C3" s="19" t="str">
        <f t="shared" ref="C3:C53" si="0">_xlfn.CONCAT(A3,"-m",B3)</f>
        <v>CD5-m261</v>
      </c>
      <c r="D3" s="3">
        <v>40.241900000000001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>
      <c r="A4" s="19" t="s">
        <v>298</v>
      </c>
      <c r="B4" s="19">
        <v>263</v>
      </c>
      <c r="C4" s="19" t="str">
        <f t="shared" si="0"/>
        <v>CD5-m263</v>
      </c>
      <c r="D4" s="3">
        <v>32.966000000000001</v>
      </c>
    </row>
    <row r="5" spans="1:17">
      <c r="A5" s="19" t="s">
        <v>298</v>
      </c>
      <c r="B5" s="19">
        <v>264</v>
      </c>
      <c r="C5" s="19" t="str">
        <f t="shared" si="0"/>
        <v>CD5-m264</v>
      </c>
      <c r="D5" s="3">
        <v>18.200299999999999</v>
      </c>
    </row>
    <row r="6" spans="1:17">
      <c r="A6" s="19" t="s">
        <v>298</v>
      </c>
      <c r="B6" s="19">
        <v>265</v>
      </c>
      <c r="C6" s="19" t="str">
        <f t="shared" si="0"/>
        <v>CD5-m265</v>
      </c>
      <c r="D6" s="3">
        <v>37.9099</v>
      </c>
    </row>
    <row r="7" spans="1:17">
      <c r="A7" s="19" t="s">
        <v>298</v>
      </c>
      <c r="B7" s="19">
        <v>266</v>
      </c>
      <c r="C7" s="19" t="str">
        <f t="shared" si="0"/>
        <v>CD5-m266</v>
      </c>
      <c r="D7" s="3">
        <v>49.792400000000001</v>
      </c>
    </row>
    <row r="8" spans="1:17">
      <c r="A8" s="19" t="s">
        <v>298</v>
      </c>
      <c r="B8" s="19">
        <v>267</v>
      </c>
      <c r="C8" s="19" t="str">
        <f t="shared" si="0"/>
        <v>CD5-m267</v>
      </c>
      <c r="D8" s="3">
        <v>41.977400000000003</v>
      </c>
    </row>
    <row r="9" spans="1:17">
      <c r="A9" s="19" t="s">
        <v>298</v>
      </c>
      <c r="B9" s="19">
        <v>269</v>
      </c>
      <c r="C9" s="19" t="str">
        <f t="shared" si="0"/>
        <v>CD5-m269</v>
      </c>
      <c r="D9" s="3">
        <v>33.626800000000003</v>
      </c>
    </row>
    <row r="10" spans="1:17">
      <c r="A10" s="19" t="s">
        <v>298</v>
      </c>
      <c r="B10" s="19">
        <v>270</v>
      </c>
      <c r="C10" s="19" t="str">
        <f t="shared" si="0"/>
        <v>CD5-m270</v>
      </c>
      <c r="D10" s="3">
        <v>50.444299999999998</v>
      </c>
    </row>
    <row r="11" spans="1:17">
      <c r="A11" s="19" t="s">
        <v>298</v>
      </c>
      <c r="B11" s="19">
        <v>271</v>
      </c>
      <c r="C11" s="19" t="str">
        <f t="shared" si="0"/>
        <v>CD5-m271</v>
      </c>
      <c r="D11" s="3">
        <v>15.9094</v>
      </c>
    </row>
    <row r="12" spans="1:17">
      <c r="A12" s="19" t="s">
        <v>298</v>
      </c>
      <c r="B12" s="19">
        <v>272</v>
      </c>
      <c r="C12" s="19" t="str">
        <f t="shared" si="0"/>
        <v>CD5-m272</v>
      </c>
      <c r="D12" s="3">
        <v>32.744700000000002</v>
      </c>
    </row>
    <row r="13" spans="1:17">
      <c r="A13" s="19" t="s">
        <v>298</v>
      </c>
      <c r="B13" s="19">
        <v>273</v>
      </c>
      <c r="C13" s="19" t="str">
        <f t="shared" si="0"/>
        <v>CD5-m273</v>
      </c>
      <c r="D13" s="3">
        <v>70.494699999999995</v>
      </c>
    </row>
    <row r="14" spans="1:17">
      <c r="A14" s="19" t="s">
        <v>298</v>
      </c>
      <c r="B14" s="19">
        <v>281</v>
      </c>
      <c r="C14" s="19" t="str">
        <f t="shared" si="0"/>
        <v>CD5-m281</v>
      </c>
      <c r="D14" s="3">
        <v>109.98560000000001</v>
      </c>
    </row>
    <row r="15" spans="1:17">
      <c r="A15" s="19" t="s">
        <v>298</v>
      </c>
      <c r="B15" s="19">
        <v>282</v>
      </c>
      <c r="C15" s="19" t="str">
        <f t="shared" si="0"/>
        <v>CD5-m282</v>
      </c>
      <c r="D15" s="3">
        <v>41.886699999999998</v>
      </c>
    </row>
    <row r="16" spans="1:17">
      <c r="A16" s="19" t="s">
        <v>298</v>
      </c>
      <c r="B16" s="19">
        <v>284</v>
      </c>
      <c r="C16" s="19" t="str">
        <f t="shared" si="0"/>
        <v>CD5-m284</v>
      </c>
      <c r="D16" s="3">
        <v>77.415400000000005</v>
      </c>
    </row>
    <row r="17" spans="1:4">
      <c r="A17" s="19" t="s">
        <v>298</v>
      </c>
      <c r="B17" s="19">
        <v>285</v>
      </c>
      <c r="C17" s="19" t="str">
        <f t="shared" si="0"/>
        <v>CD5-m285</v>
      </c>
      <c r="D17" s="3">
        <v>98.299800000000005</v>
      </c>
    </row>
    <row r="18" spans="1:4">
      <c r="A18" s="19" t="s">
        <v>300</v>
      </c>
      <c r="B18" s="19">
        <v>861</v>
      </c>
      <c r="C18" s="19" t="str">
        <f t="shared" si="0"/>
        <v>CD10-m861</v>
      </c>
      <c r="D18" s="3">
        <v>166.37209999999999</v>
      </c>
    </row>
    <row r="19" spans="1:4">
      <c r="A19" s="19" t="s">
        <v>300</v>
      </c>
      <c r="B19" s="19">
        <v>863</v>
      </c>
      <c r="C19" s="19" t="str">
        <f t="shared" si="0"/>
        <v>CD10-m863</v>
      </c>
      <c r="D19" s="3">
        <v>129.60149999999999</v>
      </c>
    </row>
    <row r="20" spans="1:4">
      <c r="A20" s="19" t="s">
        <v>300</v>
      </c>
      <c r="B20" s="19">
        <v>864</v>
      </c>
      <c r="C20" s="19" t="str">
        <f t="shared" si="0"/>
        <v>CD10-m864</v>
      </c>
      <c r="D20" s="3">
        <v>140.24780000000001</v>
      </c>
    </row>
    <row r="21" spans="1:4">
      <c r="A21" s="19" t="s">
        <v>300</v>
      </c>
      <c r="B21" s="19">
        <v>865</v>
      </c>
      <c r="C21" s="19" t="str">
        <f t="shared" si="0"/>
        <v>CD10-m865</v>
      </c>
      <c r="D21" s="3">
        <v>137.71109999999999</v>
      </c>
    </row>
    <row r="22" spans="1:4">
      <c r="A22" s="19" t="s">
        <v>300</v>
      </c>
      <c r="B22" s="19">
        <v>866</v>
      </c>
      <c r="C22" s="19" t="str">
        <f t="shared" si="0"/>
        <v>CD10-m866</v>
      </c>
      <c r="D22" s="3">
        <v>185.0607</v>
      </c>
    </row>
    <row r="23" spans="1:4">
      <c r="A23" s="19" t="s">
        <v>300</v>
      </c>
      <c r="B23" s="19">
        <v>867</v>
      </c>
      <c r="C23" s="19" t="str">
        <f t="shared" si="0"/>
        <v>CD10-m867</v>
      </c>
      <c r="D23" s="3">
        <v>165.23429999999999</v>
      </c>
    </row>
    <row r="24" spans="1:4">
      <c r="A24" s="19" t="s">
        <v>300</v>
      </c>
      <c r="B24" s="19">
        <v>868</v>
      </c>
      <c r="C24" s="19" t="str">
        <f t="shared" si="0"/>
        <v>CD10-m868</v>
      </c>
      <c r="D24" s="3">
        <v>152.9838</v>
      </c>
    </row>
    <row r="25" spans="1:4">
      <c r="A25" s="19" t="s">
        <v>300</v>
      </c>
      <c r="B25" s="19">
        <v>869</v>
      </c>
      <c r="C25" s="19" t="str">
        <f t="shared" si="0"/>
        <v>CD10-m869</v>
      </c>
      <c r="D25" s="3">
        <v>168.02199999999999</v>
      </c>
    </row>
    <row r="26" spans="1:4">
      <c r="A26" s="19" t="s">
        <v>300</v>
      </c>
      <c r="B26" s="19">
        <v>870</v>
      </c>
      <c r="C26" s="19" t="str">
        <f t="shared" si="0"/>
        <v>CD10-m870</v>
      </c>
      <c r="D26" s="3">
        <v>112.4598</v>
      </c>
    </row>
    <row r="27" spans="1:4">
      <c r="A27" s="19" t="s">
        <v>300</v>
      </c>
      <c r="B27" s="19">
        <v>881</v>
      </c>
      <c r="C27" s="19" t="str">
        <f t="shared" si="0"/>
        <v>CD10-m881</v>
      </c>
      <c r="D27" s="3">
        <v>74.972399999999993</v>
      </c>
    </row>
    <row r="28" spans="1:4">
      <c r="A28" s="19" t="s">
        <v>300</v>
      </c>
      <c r="B28" s="19">
        <v>882</v>
      </c>
      <c r="C28" s="19" t="str">
        <f t="shared" si="0"/>
        <v>CD10-m882</v>
      </c>
      <c r="D28" s="3">
        <v>57.543700000000001</v>
      </c>
    </row>
    <row r="29" spans="1:4">
      <c r="A29" s="19" t="s">
        <v>300</v>
      </c>
      <c r="B29" s="19">
        <v>883</v>
      </c>
      <c r="C29" s="19" t="str">
        <f t="shared" si="0"/>
        <v>CD10-m883</v>
      </c>
      <c r="D29" s="3">
        <v>70.523600000000002</v>
      </c>
    </row>
    <row r="30" spans="1:4">
      <c r="A30" s="19" t="s">
        <v>300</v>
      </c>
      <c r="B30" s="19">
        <v>884</v>
      </c>
      <c r="C30" s="19" t="str">
        <f t="shared" si="0"/>
        <v>CD10-m884</v>
      </c>
      <c r="D30" s="3">
        <v>52.794199999999996</v>
      </c>
    </row>
    <row r="31" spans="1:4">
      <c r="A31" s="19" t="s">
        <v>300</v>
      </c>
      <c r="B31" s="19">
        <v>885</v>
      </c>
      <c r="C31" s="19" t="str">
        <f t="shared" si="0"/>
        <v>CD10-m885</v>
      </c>
      <c r="D31" s="3">
        <v>78.052199999999999</v>
      </c>
    </row>
    <row r="32" spans="1:4">
      <c r="A32" s="19" t="s">
        <v>300</v>
      </c>
      <c r="B32" s="19">
        <v>877</v>
      </c>
      <c r="C32" s="19" t="str">
        <f t="shared" si="0"/>
        <v>CD10-m877</v>
      </c>
      <c r="D32" s="3">
        <v>70.064400000000006</v>
      </c>
    </row>
    <row r="33" spans="1:4">
      <c r="A33" s="19" t="s">
        <v>300</v>
      </c>
      <c r="B33" s="19">
        <v>878</v>
      </c>
      <c r="C33" s="19" t="str">
        <f t="shared" si="0"/>
        <v>CD10-m878</v>
      </c>
      <c r="D33" s="3">
        <v>20.588999999999999</v>
      </c>
    </row>
    <row r="34" spans="1:4">
      <c r="A34" s="19" t="s">
        <v>300</v>
      </c>
      <c r="B34" s="19">
        <v>879</v>
      </c>
      <c r="C34" s="19" t="str">
        <f t="shared" si="0"/>
        <v>CD10-m879</v>
      </c>
      <c r="D34" s="3">
        <v>78.844200000000001</v>
      </c>
    </row>
    <row r="35" spans="1:4">
      <c r="A35" s="19" t="s">
        <v>300</v>
      </c>
      <c r="B35" s="19">
        <v>880</v>
      </c>
      <c r="C35" s="19" t="str">
        <f t="shared" si="0"/>
        <v>CD10-m880</v>
      </c>
      <c r="D35" s="3">
        <v>75.524100000000004</v>
      </c>
    </row>
    <row r="36" spans="1:4">
      <c r="A36" s="19" t="s">
        <v>300</v>
      </c>
      <c r="B36" s="20">
        <v>871</v>
      </c>
      <c r="C36" s="19" t="str">
        <f t="shared" si="0"/>
        <v>CD10-m871</v>
      </c>
      <c r="D36" s="3">
        <v>1.9292</v>
      </c>
    </row>
    <row r="37" spans="1:4">
      <c r="A37" s="19" t="s">
        <v>300</v>
      </c>
      <c r="B37" s="20">
        <v>872</v>
      </c>
      <c r="C37" s="19" t="str">
        <f t="shared" si="0"/>
        <v>CD10-m872</v>
      </c>
      <c r="D37" s="3">
        <v>2.3834</v>
      </c>
    </row>
    <row r="38" spans="1:4">
      <c r="A38" s="19" t="s">
        <v>300</v>
      </c>
      <c r="B38" s="20">
        <v>873</v>
      </c>
      <c r="C38" s="19" t="str">
        <f t="shared" si="0"/>
        <v>CD10-m873</v>
      </c>
      <c r="D38" s="3">
        <v>2.8527999999999998</v>
      </c>
    </row>
    <row r="39" spans="1:4">
      <c r="A39" s="19" t="s">
        <v>300</v>
      </c>
      <c r="B39" s="20">
        <v>874</v>
      </c>
      <c r="C39" s="19" t="str">
        <f t="shared" si="0"/>
        <v>CD10-m874</v>
      </c>
      <c r="D39" s="3">
        <v>2.9828000000000001</v>
      </c>
    </row>
    <row r="40" spans="1:4">
      <c r="A40" s="19" t="s">
        <v>300</v>
      </c>
      <c r="B40" s="20">
        <v>875</v>
      </c>
      <c r="C40" s="19" t="str">
        <f t="shared" si="0"/>
        <v>CD10-m875</v>
      </c>
      <c r="D40" s="3">
        <v>1.0758000000000001</v>
      </c>
    </row>
    <row r="41" spans="1:4">
      <c r="A41" s="19" t="s">
        <v>300</v>
      </c>
      <c r="B41" s="20">
        <v>886</v>
      </c>
      <c r="C41" s="19" t="str">
        <f t="shared" si="0"/>
        <v>CD10-m886</v>
      </c>
      <c r="D41" s="3">
        <v>2.2530000000000001</v>
      </c>
    </row>
    <row r="42" spans="1:4">
      <c r="A42" s="19" t="s">
        <v>300</v>
      </c>
      <c r="B42" s="20">
        <v>887</v>
      </c>
      <c r="C42" s="19" t="str">
        <f t="shared" si="0"/>
        <v>CD10-m887</v>
      </c>
      <c r="D42" s="3">
        <v>2.6555</v>
      </c>
    </row>
    <row r="43" spans="1:4">
      <c r="A43" s="19" t="s">
        <v>300</v>
      </c>
      <c r="B43" s="20">
        <v>888</v>
      </c>
      <c r="C43" s="19" t="str">
        <f t="shared" si="0"/>
        <v>CD10-m888</v>
      </c>
      <c r="D43" s="3">
        <v>3.9266999999999999</v>
      </c>
    </row>
    <row r="44" spans="1:4">
      <c r="A44" s="19" t="s">
        <v>300</v>
      </c>
      <c r="B44" s="20">
        <v>890</v>
      </c>
      <c r="C44" s="19" t="str">
        <f t="shared" si="0"/>
        <v>CD10-m890</v>
      </c>
      <c r="D44" s="3">
        <v>4.4405000000000001</v>
      </c>
    </row>
    <row r="45" spans="1:4">
      <c r="A45" s="19" t="s">
        <v>300</v>
      </c>
      <c r="B45" s="20">
        <v>851</v>
      </c>
      <c r="C45" s="19" t="str">
        <f t="shared" si="0"/>
        <v>CD10-m851</v>
      </c>
      <c r="D45" s="3">
        <v>23.400099999999998</v>
      </c>
    </row>
    <row r="46" spans="1:4">
      <c r="A46" s="19" t="s">
        <v>300</v>
      </c>
      <c r="B46" s="20">
        <v>852</v>
      </c>
      <c r="C46" s="19" t="str">
        <f t="shared" si="0"/>
        <v>CD10-m852</v>
      </c>
      <c r="D46" s="3">
        <v>16.548300000000001</v>
      </c>
    </row>
    <row r="47" spans="1:4">
      <c r="A47" s="19" t="s">
        <v>300</v>
      </c>
      <c r="B47" s="20">
        <v>853</v>
      </c>
      <c r="C47" s="19" t="str">
        <f t="shared" si="0"/>
        <v>CD10-m853</v>
      </c>
      <c r="D47" s="3">
        <v>31.447099999999999</v>
      </c>
    </row>
    <row r="48" spans="1:4">
      <c r="A48" s="19" t="s">
        <v>300</v>
      </c>
      <c r="B48" s="20">
        <v>854</v>
      </c>
      <c r="C48" s="19" t="str">
        <f t="shared" si="0"/>
        <v>CD10-m854</v>
      </c>
      <c r="D48" s="3">
        <v>31.681899999999999</v>
      </c>
    </row>
    <row r="49" spans="1:32">
      <c r="A49" s="19" t="s">
        <v>300</v>
      </c>
      <c r="B49" s="20">
        <v>855</v>
      </c>
      <c r="C49" s="19" t="str">
        <f t="shared" si="0"/>
        <v>CD10-m855</v>
      </c>
      <c r="D49" s="3">
        <v>35.497599999999998</v>
      </c>
    </row>
    <row r="50" spans="1:32">
      <c r="A50" s="19" t="s">
        <v>300</v>
      </c>
      <c r="B50" s="20">
        <v>896</v>
      </c>
      <c r="C50" s="19" t="str">
        <f t="shared" si="0"/>
        <v>CD10-m896</v>
      </c>
      <c r="D50" s="3">
        <v>25.6005</v>
      </c>
    </row>
    <row r="51" spans="1:32">
      <c r="A51" s="19" t="s">
        <v>300</v>
      </c>
      <c r="B51" s="20">
        <v>898</v>
      </c>
      <c r="C51" s="19" t="str">
        <f t="shared" si="0"/>
        <v>CD10-m898</v>
      </c>
      <c r="D51" s="3">
        <v>9.8724000000000007</v>
      </c>
    </row>
    <row r="52" spans="1:32">
      <c r="A52" s="19" t="s">
        <v>300</v>
      </c>
      <c r="B52" s="20">
        <v>899</v>
      </c>
      <c r="C52" s="19" t="str">
        <f t="shared" si="0"/>
        <v>CD10-m899</v>
      </c>
      <c r="D52" s="3">
        <v>36.939100000000003</v>
      </c>
    </row>
    <row r="53" spans="1:32">
      <c r="A53" s="19" t="s">
        <v>300</v>
      </c>
      <c r="B53" s="20">
        <v>900</v>
      </c>
      <c r="C53" s="19" t="str">
        <f t="shared" si="0"/>
        <v>CD10-m900</v>
      </c>
      <c r="D53" s="3">
        <v>42.351599999999998</v>
      </c>
    </row>
    <row r="54" spans="1:32">
      <c r="A54" s="19" t="s">
        <v>301</v>
      </c>
      <c r="B54" s="19" t="s">
        <v>138</v>
      </c>
      <c r="C54" s="19" t="str">
        <f>_xlfn.CONCAT(A54,"-",B54)</f>
        <v>CD20-m004</v>
      </c>
      <c r="D54" s="3">
        <v>15.3163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spans="1:32">
      <c r="A55" s="19" t="s">
        <v>301</v>
      </c>
      <c r="B55" s="19" t="s">
        <v>139</v>
      </c>
      <c r="C55" s="19" t="str">
        <f t="shared" ref="C55:C118" si="1">_xlfn.CONCAT(A55,"-",B55)</f>
        <v>CD20-m005</v>
      </c>
      <c r="D55" s="3">
        <v>13.9864</v>
      </c>
    </row>
    <row r="56" spans="1:32">
      <c r="A56" s="19" t="s">
        <v>301</v>
      </c>
      <c r="B56" s="19" t="s">
        <v>140</v>
      </c>
      <c r="C56" s="19" t="str">
        <f t="shared" si="1"/>
        <v>CD20-m006</v>
      </c>
      <c r="D56" s="3">
        <v>15.93</v>
      </c>
    </row>
    <row r="57" spans="1:32">
      <c r="A57" s="19" t="s">
        <v>301</v>
      </c>
      <c r="B57" s="19" t="s">
        <v>141</v>
      </c>
      <c r="C57" s="19" t="str">
        <f t="shared" si="1"/>
        <v>CD20-m007</v>
      </c>
      <c r="D57" s="3">
        <v>11.8393</v>
      </c>
    </row>
    <row r="58" spans="1:32">
      <c r="A58" s="19" t="s">
        <v>301</v>
      </c>
      <c r="B58" s="19" t="s">
        <v>142</v>
      </c>
      <c r="C58" s="19" t="str">
        <f t="shared" si="1"/>
        <v>CD20-m008</v>
      </c>
      <c r="D58" s="3">
        <v>14.6341</v>
      </c>
    </row>
    <row r="59" spans="1:32">
      <c r="A59" s="19" t="s">
        <v>301</v>
      </c>
      <c r="B59" s="19" t="s">
        <v>143</v>
      </c>
      <c r="C59" s="19" t="str">
        <f t="shared" si="1"/>
        <v>CD20-m009</v>
      </c>
      <c r="D59" s="3">
        <v>2.3771</v>
      </c>
    </row>
    <row r="60" spans="1:32">
      <c r="A60" s="19" t="s">
        <v>301</v>
      </c>
      <c r="B60" s="19" t="s">
        <v>133</v>
      </c>
      <c r="C60" s="19" t="str">
        <f t="shared" si="1"/>
        <v>CD20-m010</v>
      </c>
      <c r="D60" s="3">
        <v>11.821300000000001</v>
      </c>
    </row>
    <row r="61" spans="1:32">
      <c r="A61" s="19" t="s">
        <v>301</v>
      </c>
      <c r="B61" s="19" t="s">
        <v>134</v>
      </c>
      <c r="C61" s="19" t="str">
        <f t="shared" si="1"/>
        <v>CD20-m011</v>
      </c>
      <c r="D61" s="3">
        <v>17.4849</v>
      </c>
    </row>
    <row r="62" spans="1:32">
      <c r="A62" s="19" t="s">
        <v>301</v>
      </c>
      <c r="B62" s="19" t="s">
        <v>119</v>
      </c>
      <c r="C62" s="19" t="str">
        <f t="shared" si="1"/>
        <v>CD20-m012</v>
      </c>
      <c r="D62" s="3">
        <v>16.798500000000001</v>
      </c>
    </row>
    <row r="63" spans="1:32">
      <c r="A63" s="19" t="s">
        <v>301</v>
      </c>
      <c r="B63" s="19" t="s">
        <v>120</v>
      </c>
      <c r="C63" s="19" t="str">
        <f t="shared" si="1"/>
        <v>CD20-m013</v>
      </c>
      <c r="D63" s="3">
        <v>14.5655</v>
      </c>
    </row>
    <row r="64" spans="1:32">
      <c r="A64" s="19" t="s">
        <v>301</v>
      </c>
      <c r="B64" s="19" t="s">
        <v>144</v>
      </c>
      <c r="C64" s="19" t="str">
        <f t="shared" si="1"/>
        <v>CD20-m029</v>
      </c>
      <c r="D64" s="3">
        <v>4.3733000000000004</v>
      </c>
    </row>
    <row r="65" spans="1:4">
      <c r="A65" s="19" t="s">
        <v>301</v>
      </c>
      <c r="B65" s="19" t="s">
        <v>145</v>
      </c>
      <c r="C65" s="19" t="str">
        <f t="shared" si="1"/>
        <v>CD20-m030</v>
      </c>
      <c r="D65" s="3">
        <v>17.680499999999999</v>
      </c>
    </row>
    <row r="66" spans="1:4">
      <c r="A66" s="19" t="s">
        <v>301</v>
      </c>
      <c r="B66" s="19" t="s">
        <v>146</v>
      </c>
      <c r="C66" s="19" t="str">
        <f t="shared" si="1"/>
        <v>CD20-m031</v>
      </c>
      <c r="D66" s="3">
        <v>19.396899999999999</v>
      </c>
    </row>
    <row r="67" spans="1:4">
      <c r="A67" s="19" t="s">
        <v>301</v>
      </c>
      <c r="B67" s="19" t="s">
        <v>147</v>
      </c>
      <c r="C67" s="19" t="str">
        <f t="shared" si="1"/>
        <v>CD20-m032</v>
      </c>
      <c r="D67" s="3">
        <v>12.42</v>
      </c>
    </row>
    <row r="68" spans="1:4">
      <c r="A68" s="19" t="s">
        <v>301</v>
      </c>
      <c r="B68" s="19" t="s">
        <v>148</v>
      </c>
      <c r="C68" s="19" t="str">
        <f t="shared" si="1"/>
        <v>CD20-m033</v>
      </c>
      <c r="D68" s="3">
        <v>20.805199999999999</v>
      </c>
    </row>
    <row r="69" spans="1:4">
      <c r="A69" s="19" t="s">
        <v>301</v>
      </c>
      <c r="B69" s="19" t="s">
        <v>124</v>
      </c>
      <c r="C69" s="19" t="str">
        <f t="shared" si="1"/>
        <v>CD20-m014</v>
      </c>
      <c r="D69" s="3">
        <v>56.426900000000003</v>
      </c>
    </row>
    <row r="70" spans="1:4">
      <c r="A70" s="19" t="s">
        <v>301</v>
      </c>
      <c r="B70" s="19" t="s">
        <v>125</v>
      </c>
      <c r="C70" s="19" t="str">
        <f t="shared" si="1"/>
        <v>CD20-m016</v>
      </c>
      <c r="D70" s="3">
        <v>39.023099999999999</v>
      </c>
    </row>
    <row r="71" spans="1:4">
      <c r="A71" s="19" t="s">
        <v>301</v>
      </c>
      <c r="B71" s="19" t="s">
        <v>126</v>
      </c>
      <c r="C71" s="19" t="str">
        <f t="shared" si="1"/>
        <v>CD20-m018</v>
      </c>
      <c r="D71" s="3">
        <v>55.668100000000003</v>
      </c>
    </row>
    <row r="72" spans="1:4">
      <c r="A72" s="19" t="s">
        <v>301</v>
      </c>
      <c r="B72" s="19" t="s">
        <v>127</v>
      </c>
      <c r="C72" s="19" t="str">
        <f t="shared" si="1"/>
        <v>CD20-m020</v>
      </c>
      <c r="D72" s="3">
        <v>59.914099999999998</v>
      </c>
    </row>
    <row r="73" spans="1:4">
      <c r="A73" s="19" t="s">
        <v>301</v>
      </c>
      <c r="B73" s="19" t="s">
        <v>128</v>
      </c>
      <c r="C73" s="19" t="str">
        <f t="shared" si="1"/>
        <v>CD20-m021</v>
      </c>
      <c r="D73" s="3">
        <v>74.613299999999995</v>
      </c>
    </row>
    <row r="74" spans="1:4">
      <c r="A74" s="19" t="s">
        <v>301</v>
      </c>
      <c r="B74" s="19" t="s">
        <v>121</v>
      </c>
      <c r="C74" s="19" t="str">
        <f t="shared" si="1"/>
        <v>CD20-m022</v>
      </c>
      <c r="D74" s="3">
        <v>39.688000000000002</v>
      </c>
    </row>
    <row r="75" spans="1:4">
      <c r="A75" s="19" t="s">
        <v>301</v>
      </c>
      <c r="B75" s="19" t="s">
        <v>122</v>
      </c>
      <c r="C75" s="19" t="str">
        <f t="shared" si="1"/>
        <v>CD20-m023</v>
      </c>
      <c r="D75" s="3">
        <v>49.747900000000001</v>
      </c>
    </row>
    <row r="76" spans="1:4">
      <c r="A76" s="19" t="s">
        <v>301</v>
      </c>
      <c r="B76" s="19" t="s">
        <v>123</v>
      </c>
      <c r="C76" s="19" t="str">
        <f t="shared" si="1"/>
        <v>CD20-m026</v>
      </c>
      <c r="D76" s="3">
        <v>49.630800000000001</v>
      </c>
    </row>
    <row r="77" spans="1:4">
      <c r="A77" s="19" t="s">
        <v>301</v>
      </c>
      <c r="B77" s="19" t="s">
        <v>129</v>
      </c>
      <c r="C77" s="19" t="str">
        <f t="shared" si="1"/>
        <v>CD20-m027</v>
      </c>
      <c r="D77" s="3">
        <v>45.046700000000001</v>
      </c>
    </row>
    <row r="78" spans="1:4">
      <c r="A78" s="19" t="s">
        <v>301</v>
      </c>
      <c r="B78" s="19" t="s">
        <v>130</v>
      </c>
      <c r="C78" s="19" t="str">
        <f t="shared" si="1"/>
        <v>CD20-m028</v>
      </c>
      <c r="D78" s="3">
        <v>65.932000000000002</v>
      </c>
    </row>
    <row r="79" spans="1:4">
      <c r="A79" s="19" t="s">
        <v>301</v>
      </c>
      <c r="B79" s="19" t="s">
        <v>131</v>
      </c>
      <c r="C79" s="19" t="str">
        <f t="shared" si="1"/>
        <v>CD20-m034</v>
      </c>
      <c r="D79" s="3">
        <v>69.819299999999998</v>
      </c>
    </row>
    <row r="80" spans="1:4">
      <c r="A80" s="19" t="s">
        <v>301</v>
      </c>
      <c r="B80" s="19" t="s">
        <v>302</v>
      </c>
      <c r="C80" s="19" t="str">
        <f t="shared" si="1"/>
        <v>CD20-m036</v>
      </c>
      <c r="D80" s="3">
        <v>8.2527000000000008</v>
      </c>
    </row>
    <row r="81" spans="1:23">
      <c r="A81" s="19" t="s">
        <v>301</v>
      </c>
      <c r="B81" s="19" t="s">
        <v>132</v>
      </c>
      <c r="C81" s="19" t="str">
        <f>_xlfn.CONCAT(A81,"-",B81)</f>
        <v>CD20-m038</v>
      </c>
      <c r="D81" s="3">
        <v>77.971800000000002</v>
      </c>
    </row>
    <row r="82" spans="1:23">
      <c r="A82" s="19" t="s">
        <v>303</v>
      </c>
      <c r="B82" s="19" t="s">
        <v>115</v>
      </c>
      <c r="C82" s="19" t="str">
        <f t="shared" si="1"/>
        <v>CD21-m998</v>
      </c>
      <c r="D82" s="3">
        <v>182.155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>
      <c r="A83" s="19" t="s">
        <v>303</v>
      </c>
      <c r="B83" s="19" t="s">
        <v>116</v>
      </c>
      <c r="C83" s="19" t="str">
        <f t="shared" si="1"/>
        <v>CD21-m999</v>
      </c>
      <c r="D83" s="3">
        <v>204.03909999999999</v>
      </c>
    </row>
    <row r="84" spans="1:23">
      <c r="A84" s="19" t="s">
        <v>303</v>
      </c>
      <c r="B84" s="19" t="s">
        <v>117</v>
      </c>
      <c r="C84" s="19" t="str">
        <f t="shared" si="1"/>
        <v>CD21-m002</v>
      </c>
      <c r="D84" s="3">
        <v>152.66999999999999</v>
      </c>
    </row>
    <row r="85" spans="1:23">
      <c r="A85" s="19" t="s">
        <v>303</v>
      </c>
      <c r="B85" s="19" t="s">
        <v>118</v>
      </c>
      <c r="C85" s="19" t="str">
        <f t="shared" si="1"/>
        <v>CD21-m003</v>
      </c>
      <c r="D85" s="3">
        <v>159.57749999999999</v>
      </c>
    </row>
    <row r="86" spans="1:23">
      <c r="A86" s="19" t="s">
        <v>303</v>
      </c>
      <c r="B86" s="19" t="s">
        <v>138</v>
      </c>
      <c r="C86" s="19" t="str">
        <f t="shared" si="1"/>
        <v>CD21-m004</v>
      </c>
      <c r="D86" s="3">
        <v>106.9328</v>
      </c>
    </row>
    <row r="87" spans="1:23">
      <c r="A87" s="19" t="s">
        <v>303</v>
      </c>
      <c r="B87" s="19" t="s">
        <v>140</v>
      </c>
      <c r="C87" s="19" t="str">
        <f t="shared" si="1"/>
        <v>CD21-m006</v>
      </c>
      <c r="D87" s="3">
        <v>193.23</v>
      </c>
    </row>
    <row r="88" spans="1:23">
      <c r="A88" s="19" t="s">
        <v>303</v>
      </c>
      <c r="B88" s="19" t="s">
        <v>141</v>
      </c>
      <c r="C88" s="19" t="str">
        <f t="shared" si="1"/>
        <v>CD21-m007</v>
      </c>
      <c r="D88" s="3">
        <v>149.745</v>
      </c>
    </row>
    <row r="89" spans="1:23">
      <c r="A89" s="19" t="s">
        <v>303</v>
      </c>
      <c r="B89" s="19" t="s">
        <v>142</v>
      </c>
      <c r="C89" s="19" t="str">
        <f t="shared" si="1"/>
        <v>CD21-m008</v>
      </c>
      <c r="D89" s="3">
        <v>157.4675</v>
      </c>
    </row>
    <row r="90" spans="1:23">
      <c r="A90" s="19" t="s">
        <v>303</v>
      </c>
      <c r="B90" s="19" t="s">
        <v>143</v>
      </c>
      <c r="C90" s="19" t="str">
        <f t="shared" si="1"/>
        <v>CD21-m009</v>
      </c>
      <c r="D90" s="3">
        <v>189.24</v>
      </c>
    </row>
    <row r="91" spans="1:23">
      <c r="A91" s="19" t="s">
        <v>303</v>
      </c>
      <c r="B91" s="19" t="s">
        <v>133</v>
      </c>
      <c r="C91" s="19" t="str">
        <f t="shared" si="1"/>
        <v>CD21-m010</v>
      </c>
      <c r="D91" s="3">
        <v>185.36500000000001</v>
      </c>
    </row>
    <row r="92" spans="1:23">
      <c r="A92" s="19" t="s">
        <v>303</v>
      </c>
      <c r="B92" s="19" t="s">
        <v>134</v>
      </c>
      <c r="C92" s="19" t="str">
        <f t="shared" si="1"/>
        <v>CD21-m011</v>
      </c>
      <c r="D92" s="3">
        <v>203.3922</v>
      </c>
    </row>
    <row r="93" spans="1:23">
      <c r="A93" s="19" t="s">
        <v>303</v>
      </c>
      <c r="B93" s="19" t="s">
        <v>124</v>
      </c>
      <c r="C93" s="19" t="str">
        <f t="shared" si="1"/>
        <v>CD21-m014</v>
      </c>
      <c r="D93" s="3">
        <v>234.26130000000001</v>
      </c>
    </row>
    <row r="94" spans="1:23">
      <c r="A94" s="19" t="s">
        <v>303</v>
      </c>
      <c r="B94" s="19" t="s">
        <v>135</v>
      </c>
      <c r="C94" s="19" t="str">
        <f t="shared" si="1"/>
        <v>CD21-m015</v>
      </c>
      <c r="D94" s="3">
        <v>199.01130000000001</v>
      </c>
    </row>
    <row r="95" spans="1:23">
      <c r="A95" s="19" t="s">
        <v>303</v>
      </c>
      <c r="B95" s="19" t="s">
        <v>125</v>
      </c>
      <c r="C95" s="19" t="str">
        <f t="shared" si="1"/>
        <v>CD21-m016</v>
      </c>
      <c r="D95" s="3">
        <v>96.848399999999998</v>
      </c>
    </row>
    <row r="96" spans="1:23">
      <c r="A96" s="19" t="s">
        <v>303</v>
      </c>
      <c r="B96" s="19" t="s">
        <v>136</v>
      </c>
      <c r="C96" s="19" t="str">
        <f t="shared" si="1"/>
        <v>CD21-m017</v>
      </c>
      <c r="D96" s="3">
        <v>177.065</v>
      </c>
    </row>
    <row r="97" spans="1:77">
      <c r="A97" s="19" t="s">
        <v>303</v>
      </c>
      <c r="B97" s="19" t="s">
        <v>126</v>
      </c>
      <c r="C97" s="19" t="str">
        <f t="shared" si="1"/>
        <v>CD21-m018</v>
      </c>
      <c r="D97" s="3">
        <v>180.40299999999999</v>
      </c>
    </row>
    <row r="98" spans="1:77">
      <c r="A98" s="19" t="s">
        <v>303</v>
      </c>
      <c r="B98" s="19" t="s">
        <v>137</v>
      </c>
      <c r="C98" s="19" t="str">
        <f t="shared" si="1"/>
        <v>CD21-m019</v>
      </c>
      <c r="D98" s="3">
        <v>175.8484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</row>
    <row r="99" spans="1:77">
      <c r="A99" s="19" t="s">
        <v>303</v>
      </c>
      <c r="B99" s="19" t="s">
        <v>127</v>
      </c>
      <c r="C99" s="19" t="str">
        <f t="shared" si="1"/>
        <v>CD21-m020</v>
      </c>
      <c r="D99" s="3">
        <v>162.54750000000001</v>
      </c>
    </row>
    <row r="100" spans="1:77">
      <c r="A100" s="19" t="s">
        <v>354</v>
      </c>
      <c r="B100" s="19" t="s">
        <v>304</v>
      </c>
      <c r="C100" s="19" t="str">
        <f t="shared" si="1"/>
        <v>CD27-m739</v>
      </c>
      <c r="D100" s="3">
        <v>12.9986</v>
      </c>
    </row>
    <row r="101" spans="1:77">
      <c r="A101" s="19" t="s">
        <v>354</v>
      </c>
      <c r="B101" s="19" t="s">
        <v>305</v>
      </c>
      <c r="C101" s="19" t="str">
        <f t="shared" si="1"/>
        <v>CD27-m740</v>
      </c>
      <c r="D101" s="3">
        <v>17.235399999999998</v>
      </c>
    </row>
    <row r="102" spans="1:77">
      <c r="A102" s="19" t="s">
        <v>354</v>
      </c>
      <c r="B102" s="19" t="s">
        <v>306</v>
      </c>
      <c r="C102" s="19" t="str">
        <f t="shared" si="1"/>
        <v>CD27-m741</v>
      </c>
      <c r="D102" s="3">
        <v>29.838200000000001</v>
      </c>
    </row>
    <row r="103" spans="1:77">
      <c r="A103" s="19" t="s">
        <v>354</v>
      </c>
      <c r="B103" s="19" t="s">
        <v>307</v>
      </c>
      <c r="C103" s="19" t="str">
        <f t="shared" si="1"/>
        <v>CD27-m742</v>
      </c>
      <c r="D103" s="3">
        <v>38.612099999999998</v>
      </c>
    </row>
    <row r="104" spans="1:77">
      <c r="A104" s="19" t="s">
        <v>354</v>
      </c>
      <c r="B104" s="19" t="s">
        <v>308</v>
      </c>
      <c r="C104" s="19" t="str">
        <f t="shared" si="1"/>
        <v>CD27-m743</v>
      </c>
      <c r="D104" s="3">
        <v>60.939399999999999</v>
      </c>
    </row>
    <row r="105" spans="1:77">
      <c r="A105" s="19" t="s">
        <v>354</v>
      </c>
      <c r="B105" s="19" t="s">
        <v>309</v>
      </c>
      <c r="C105" s="19" t="str">
        <f t="shared" si="1"/>
        <v>CD27-m744</v>
      </c>
      <c r="D105" s="3">
        <v>21.8675</v>
      </c>
    </row>
    <row r="106" spans="1:77">
      <c r="A106" s="19" t="s">
        <v>354</v>
      </c>
      <c r="B106" s="19" t="s">
        <v>310</v>
      </c>
      <c r="C106" s="19" t="str">
        <f t="shared" si="1"/>
        <v>CD27-m746</v>
      </c>
      <c r="D106" s="3">
        <v>24.811499999999999</v>
      </c>
    </row>
    <row r="107" spans="1:77">
      <c r="A107" s="19" t="s">
        <v>354</v>
      </c>
      <c r="B107" s="19" t="s">
        <v>311</v>
      </c>
      <c r="C107" s="19" t="str">
        <f t="shared" si="1"/>
        <v>CD27-m747</v>
      </c>
      <c r="D107" s="3">
        <v>19.161000000000001</v>
      </c>
    </row>
    <row r="108" spans="1:77">
      <c r="A108" s="19" t="s">
        <v>354</v>
      </c>
      <c r="B108" s="19" t="s">
        <v>164</v>
      </c>
      <c r="C108" s="19" t="str">
        <f t="shared" si="1"/>
        <v>CD27-m773</v>
      </c>
      <c r="D108" s="3">
        <v>45.872700000000002</v>
      </c>
    </row>
    <row r="109" spans="1:77">
      <c r="A109" s="19" t="s">
        <v>354</v>
      </c>
      <c r="B109" s="19" t="s">
        <v>165</v>
      </c>
      <c r="C109" s="19" t="str">
        <f t="shared" si="1"/>
        <v>CD27-m774</v>
      </c>
      <c r="D109" s="3">
        <v>52.709200000000003</v>
      </c>
    </row>
    <row r="110" spans="1:77">
      <c r="A110" s="19" t="s">
        <v>354</v>
      </c>
      <c r="B110" s="19" t="s">
        <v>166</v>
      </c>
      <c r="C110" s="19" t="str">
        <f t="shared" si="1"/>
        <v>CD27-m776</v>
      </c>
      <c r="D110" s="3">
        <v>35.468600000000002</v>
      </c>
    </row>
    <row r="111" spans="1:77">
      <c r="A111" s="19" t="s">
        <v>354</v>
      </c>
      <c r="B111" s="19" t="s">
        <v>167</v>
      </c>
      <c r="C111" s="19" t="str">
        <f t="shared" si="1"/>
        <v>CD27-m777</v>
      </c>
      <c r="D111" s="3">
        <v>29.818100000000001</v>
      </c>
    </row>
    <row r="112" spans="1:77">
      <c r="A112" s="19" t="s">
        <v>354</v>
      </c>
      <c r="B112" s="19" t="s">
        <v>168</v>
      </c>
      <c r="C112" s="19" t="str">
        <f t="shared" si="1"/>
        <v>CD27-m778</v>
      </c>
      <c r="D112" s="3">
        <v>232.88679999999999</v>
      </c>
    </row>
    <row r="113" spans="1:4">
      <c r="A113" s="19" t="s">
        <v>354</v>
      </c>
      <c r="B113" s="19" t="s">
        <v>169</v>
      </c>
      <c r="C113" s="19" t="str">
        <f t="shared" si="1"/>
        <v>CD27-m779</v>
      </c>
      <c r="D113" s="3">
        <v>3.3914</v>
      </c>
    </row>
    <row r="114" spans="1:4">
      <c r="A114" s="19" t="s">
        <v>354</v>
      </c>
      <c r="B114" s="19" t="s">
        <v>170</v>
      </c>
      <c r="C114" s="19" t="str">
        <f t="shared" si="1"/>
        <v>CD27-m780</v>
      </c>
      <c r="D114" s="3">
        <v>50.991500000000002</v>
      </c>
    </row>
    <row r="115" spans="1:4">
      <c r="A115" s="19" t="s">
        <v>354</v>
      </c>
      <c r="B115" s="19" t="s">
        <v>171</v>
      </c>
      <c r="C115" s="19" t="str">
        <f t="shared" si="1"/>
        <v>CD27-m781</v>
      </c>
      <c r="D115" s="3">
        <v>38.762599999999999</v>
      </c>
    </row>
    <row r="116" spans="1:4">
      <c r="A116" s="19" t="s">
        <v>354</v>
      </c>
      <c r="B116" s="19" t="s">
        <v>312</v>
      </c>
      <c r="C116" s="19" t="str">
        <f t="shared" si="1"/>
        <v>CD27-m764</v>
      </c>
      <c r="D116" s="3">
        <v>1.8391</v>
      </c>
    </row>
    <row r="117" spans="1:4">
      <c r="A117" s="19" t="s">
        <v>354</v>
      </c>
      <c r="B117" s="19" t="s">
        <v>313</v>
      </c>
      <c r="C117" s="19" t="str">
        <f t="shared" si="1"/>
        <v>CD27-m765</v>
      </c>
      <c r="D117" s="3">
        <v>5.9958999999999998</v>
      </c>
    </row>
    <row r="118" spans="1:4">
      <c r="A118" s="19" t="s">
        <v>354</v>
      </c>
      <c r="B118" s="19" t="s">
        <v>314</v>
      </c>
      <c r="C118" s="19" t="str">
        <f t="shared" si="1"/>
        <v>CD27-m766</v>
      </c>
      <c r="D118" s="3">
        <v>4.9699</v>
      </c>
    </row>
    <row r="119" spans="1:4">
      <c r="A119" s="19" t="s">
        <v>354</v>
      </c>
      <c r="B119" s="19" t="s">
        <v>315</v>
      </c>
      <c r="C119" s="19" t="str">
        <f t="shared" ref="C119:C171" si="2">_xlfn.CONCAT(A119,"-",B119)</f>
        <v>CD27-m767</v>
      </c>
      <c r="D119" s="3">
        <v>6.9737</v>
      </c>
    </row>
    <row r="120" spans="1:4">
      <c r="A120" s="19" t="s">
        <v>354</v>
      </c>
      <c r="B120" s="19" t="s">
        <v>316</v>
      </c>
      <c r="C120" s="19" t="str">
        <f t="shared" si="2"/>
        <v>CD27-m768</v>
      </c>
      <c r="D120" s="3">
        <v>2.9918</v>
      </c>
    </row>
    <row r="121" spans="1:4">
      <c r="A121" s="19" t="s">
        <v>354</v>
      </c>
      <c r="B121" s="19" t="s">
        <v>317</v>
      </c>
      <c r="C121" s="19" t="str">
        <f t="shared" si="2"/>
        <v>CD27-m769</v>
      </c>
      <c r="D121" s="3">
        <v>3.5960000000000001</v>
      </c>
    </row>
    <row r="122" spans="1:4">
      <c r="A122" s="19" t="s">
        <v>354</v>
      </c>
      <c r="B122" s="19" t="s">
        <v>318</v>
      </c>
      <c r="C122" s="19" t="str">
        <f t="shared" si="2"/>
        <v>CD27-m770</v>
      </c>
      <c r="D122" s="3">
        <v>7.5647000000000002</v>
      </c>
    </row>
    <row r="123" spans="1:4">
      <c r="A123" s="19" t="s">
        <v>354</v>
      </c>
      <c r="B123" s="19" t="s">
        <v>319</v>
      </c>
      <c r="C123" s="19" t="str">
        <f t="shared" si="2"/>
        <v>CD27-m772</v>
      </c>
      <c r="D123" s="3">
        <v>4.1256000000000004</v>
      </c>
    </row>
    <row r="124" spans="1:4">
      <c r="A124" s="19" t="s">
        <v>354</v>
      </c>
      <c r="B124" s="19" t="s">
        <v>157</v>
      </c>
      <c r="C124" s="19" t="str">
        <f t="shared" si="2"/>
        <v>CD27-m806</v>
      </c>
      <c r="D124" s="3">
        <v>6.0637999999999996</v>
      </c>
    </row>
    <row r="125" spans="1:4">
      <c r="A125" s="19" t="s">
        <v>354</v>
      </c>
      <c r="B125" s="19" t="s">
        <v>158</v>
      </c>
      <c r="C125" s="19" t="str">
        <f t="shared" si="2"/>
        <v>CD27-m807</v>
      </c>
      <c r="D125" s="3">
        <v>5.7481999999999998</v>
      </c>
    </row>
    <row r="126" spans="1:4">
      <c r="A126" s="19" t="s">
        <v>354</v>
      </c>
      <c r="B126" s="19" t="s">
        <v>159</v>
      </c>
      <c r="C126" s="19" t="str">
        <f t="shared" si="2"/>
        <v>CD27-m808</v>
      </c>
      <c r="D126" s="3">
        <v>1.732</v>
      </c>
    </row>
    <row r="127" spans="1:4">
      <c r="A127" s="19" t="s">
        <v>354</v>
      </c>
      <c r="B127" s="19" t="s">
        <v>160</v>
      </c>
      <c r="C127" s="19" t="str">
        <f t="shared" si="2"/>
        <v>CD27-m809</v>
      </c>
      <c r="D127" s="3">
        <v>1.6536</v>
      </c>
    </row>
    <row r="128" spans="1:4">
      <c r="A128" s="19" t="s">
        <v>354</v>
      </c>
      <c r="B128" s="19" t="s">
        <v>161</v>
      </c>
      <c r="C128" s="19" t="str">
        <f t="shared" si="2"/>
        <v>CD27-m810</v>
      </c>
      <c r="D128" s="3">
        <v>2.4628000000000001</v>
      </c>
    </row>
    <row r="129" spans="1:4">
      <c r="A129" s="19" t="s">
        <v>354</v>
      </c>
      <c r="B129" s="19" t="s">
        <v>320</v>
      </c>
      <c r="C129" s="19" t="str">
        <f t="shared" si="2"/>
        <v>CD27-m791</v>
      </c>
      <c r="D129" s="3">
        <v>1.5661</v>
      </c>
    </row>
    <row r="130" spans="1:4">
      <c r="A130" s="19" t="s">
        <v>354</v>
      </c>
      <c r="B130" s="19" t="s">
        <v>162</v>
      </c>
      <c r="C130" s="19" t="str">
        <f t="shared" si="2"/>
        <v>CD27-m756</v>
      </c>
      <c r="D130" s="3">
        <v>4.7881999999999998</v>
      </c>
    </row>
    <row r="131" spans="1:4">
      <c r="A131" s="19" t="s">
        <v>354</v>
      </c>
      <c r="B131" s="19" t="s">
        <v>163</v>
      </c>
      <c r="C131" s="19" t="str">
        <f t="shared" si="2"/>
        <v>CD27-m757</v>
      </c>
      <c r="D131" s="3">
        <v>5.3445</v>
      </c>
    </row>
    <row r="132" spans="1:4">
      <c r="A132" s="19" t="s">
        <v>354</v>
      </c>
      <c r="B132" s="19" t="s">
        <v>345</v>
      </c>
      <c r="C132" s="19" t="str">
        <f t="shared" si="2"/>
        <v>CD27-m748</v>
      </c>
      <c r="D132" s="3">
        <v>48.497799999999998</v>
      </c>
    </row>
    <row r="133" spans="1:4">
      <c r="A133" s="19" t="s">
        <v>354</v>
      </c>
      <c r="B133" s="19" t="s">
        <v>346</v>
      </c>
      <c r="C133" s="19" t="str">
        <f t="shared" si="2"/>
        <v>CD27-m749</v>
      </c>
      <c r="D133" s="3">
        <v>45.756100000000004</v>
      </c>
    </row>
    <row r="134" spans="1:4">
      <c r="A134" s="19" t="s">
        <v>354</v>
      </c>
      <c r="B134" s="19" t="s">
        <v>347</v>
      </c>
      <c r="C134" s="19" t="str">
        <f t="shared" si="2"/>
        <v>CD27-m750</v>
      </c>
      <c r="D134" s="3">
        <v>66.026200000000003</v>
      </c>
    </row>
    <row r="135" spans="1:4">
      <c r="A135" s="19" t="s">
        <v>354</v>
      </c>
      <c r="B135" s="19" t="s">
        <v>348</v>
      </c>
      <c r="C135" s="19" t="str">
        <f t="shared" si="2"/>
        <v>CD27-m751</v>
      </c>
      <c r="D135" s="3">
        <v>99.652100000000004</v>
      </c>
    </row>
    <row r="136" spans="1:4">
      <c r="A136" s="19" t="s">
        <v>354</v>
      </c>
      <c r="B136" s="19" t="s">
        <v>349</v>
      </c>
      <c r="C136" s="19" t="str">
        <f t="shared" si="2"/>
        <v>CD27-m752</v>
      </c>
      <c r="D136" s="3">
        <v>53.896099999999997</v>
      </c>
    </row>
    <row r="137" spans="1:4">
      <c r="A137" s="19" t="s">
        <v>354</v>
      </c>
      <c r="B137" s="19" t="s">
        <v>350</v>
      </c>
      <c r="C137" s="19" t="str">
        <f t="shared" si="2"/>
        <v>CD27-m753</v>
      </c>
      <c r="D137" s="3">
        <v>64.975700000000003</v>
      </c>
    </row>
    <row r="138" spans="1:4">
      <c r="A138" s="19" t="s">
        <v>354</v>
      </c>
      <c r="B138" s="19" t="s">
        <v>351</v>
      </c>
      <c r="C138" s="19" t="str">
        <f t="shared" si="2"/>
        <v>CD27-m754</v>
      </c>
      <c r="D138" s="3">
        <v>70.853499999999997</v>
      </c>
    </row>
    <row r="139" spans="1:4">
      <c r="A139" s="19" t="s">
        <v>354</v>
      </c>
      <c r="B139" s="19" t="s">
        <v>352</v>
      </c>
      <c r="C139" s="19" t="str">
        <f t="shared" si="2"/>
        <v>CD27-m755</v>
      </c>
      <c r="D139" s="3">
        <v>51.021599999999999</v>
      </c>
    </row>
    <row r="140" spans="1:4">
      <c r="A140" s="19" t="s">
        <v>354</v>
      </c>
      <c r="B140" s="19" t="s">
        <v>353</v>
      </c>
      <c r="C140" s="19" t="str">
        <f t="shared" si="2"/>
        <v>CD27-m782</v>
      </c>
      <c r="D140" s="3">
        <v>2.5830000000000002</v>
      </c>
    </row>
    <row r="141" spans="1:4">
      <c r="A141" s="19" t="s">
        <v>354</v>
      </c>
      <c r="B141" s="19" t="s">
        <v>150</v>
      </c>
      <c r="C141" s="19" t="str">
        <f t="shared" si="2"/>
        <v>CD27-m783</v>
      </c>
      <c r="D141" s="3">
        <v>3.4735</v>
      </c>
    </row>
    <row r="142" spans="1:4">
      <c r="A142" s="19" t="s">
        <v>354</v>
      </c>
      <c r="B142" s="19" t="s">
        <v>151</v>
      </c>
      <c r="C142" s="19" t="str">
        <f t="shared" si="2"/>
        <v>CD27-m784</v>
      </c>
      <c r="D142" s="3">
        <v>2.9980000000000002</v>
      </c>
    </row>
    <row r="143" spans="1:4">
      <c r="A143" s="19" t="s">
        <v>354</v>
      </c>
      <c r="B143" s="19" t="s">
        <v>152</v>
      </c>
      <c r="C143" s="19" t="str">
        <f t="shared" si="2"/>
        <v>CD27-m785</v>
      </c>
      <c r="D143" s="3">
        <v>5.5284000000000004</v>
      </c>
    </row>
    <row r="144" spans="1:4">
      <c r="A144" s="19" t="s">
        <v>354</v>
      </c>
      <c r="B144" s="19" t="s">
        <v>153</v>
      </c>
      <c r="C144" s="19" t="str">
        <f t="shared" si="2"/>
        <v>CD27-m786</v>
      </c>
      <c r="D144" s="3">
        <v>5.8067000000000002</v>
      </c>
    </row>
    <row r="145" spans="1:4">
      <c r="A145" s="19" t="s">
        <v>354</v>
      </c>
      <c r="B145" s="19" t="s">
        <v>154</v>
      </c>
      <c r="C145" s="19" t="str">
        <f t="shared" si="2"/>
        <v>CD27-m787</v>
      </c>
      <c r="D145" s="3">
        <v>2.9266999999999999</v>
      </c>
    </row>
    <row r="146" spans="1:4">
      <c r="A146" s="19" t="s">
        <v>354</v>
      </c>
      <c r="B146" s="19" t="s">
        <v>155</v>
      </c>
      <c r="C146" s="19" t="str">
        <f t="shared" si="2"/>
        <v>CD27-m788</v>
      </c>
      <c r="D146" s="3">
        <v>10.6381</v>
      </c>
    </row>
    <row r="147" spans="1:4">
      <c r="A147" s="19" t="s">
        <v>354</v>
      </c>
      <c r="B147" s="19" t="s">
        <v>156</v>
      </c>
      <c r="C147" s="19" t="str">
        <f t="shared" si="2"/>
        <v>CD27-m789</v>
      </c>
      <c r="D147" s="3">
        <v>8.5025999999999993</v>
      </c>
    </row>
    <row r="148" spans="1:4">
      <c r="A148" s="19" t="s">
        <v>354</v>
      </c>
      <c r="B148" s="19" t="s">
        <v>321</v>
      </c>
      <c r="C148" s="19" t="str">
        <f t="shared" si="2"/>
        <v>CD27-m731</v>
      </c>
      <c r="D148" s="3">
        <v>31.424099999999999</v>
      </c>
    </row>
    <row r="149" spans="1:4">
      <c r="A149" s="19" t="s">
        <v>354</v>
      </c>
      <c r="B149" s="19" t="s">
        <v>322</v>
      </c>
      <c r="C149" s="19" t="str">
        <f t="shared" si="2"/>
        <v>CD27-m732</v>
      </c>
      <c r="D149" s="3">
        <v>115.057</v>
      </c>
    </row>
    <row r="150" spans="1:4">
      <c r="A150" s="19" t="s">
        <v>354</v>
      </c>
      <c r="B150" s="19" t="s">
        <v>323</v>
      </c>
      <c r="C150" s="19" t="str">
        <f t="shared" si="2"/>
        <v>CD27-m733</v>
      </c>
      <c r="D150" s="3">
        <v>66.845200000000006</v>
      </c>
    </row>
    <row r="151" spans="1:4">
      <c r="A151" s="19" t="s">
        <v>354</v>
      </c>
      <c r="B151" s="19" t="s">
        <v>324</v>
      </c>
      <c r="C151" s="19" t="str">
        <f t="shared" si="2"/>
        <v>CD27-m734</v>
      </c>
      <c r="D151" s="3">
        <v>79.411500000000004</v>
      </c>
    </row>
    <row r="152" spans="1:4">
      <c r="A152" s="19" t="s">
        <v>354</v>
      </c>
      <c r="B152" s="19" t="s">
        <v>325</v>
      </c>
      <c r="C152" s="19" t="str">
        <f t="shared" si="2"/>
        <v>CD27-m735</v>
      </c>
      <c r="D152" s="3">
        <v>41.034999999999997</v>
      </c>
    </row>
    <row r="153" spans="1:4">
      <c r="A153" s="19" t="s">
        <v>354</v>
      </c>
      <c r="B153" s="19" t="s">
        <v>326</v>
      </c>
      <c r="C153" s="19" t="str">
        <f t="shared" si="2"/>
        <v>CD27-m736</v>
      </c>
      <c r="D153" s="3">
        <v>164.42230000000001</v>
      </c>
    </row>
    <row r="154" spans="1:4">
      <c r="A154" s="19" t="s">
        <v>354</v>
      </c>
      <c r="B154" s="19" t="s">
        <v>327</v>
      </c>
      <c r="C154" s="19" t="str">
        <f t="shared" si="2"/>
        <v>CD27-m737</v>
      </c>
      <c r="D154" s="3">
        <v>108.41119999999999</v>
      </c>
    </row>
    <row r="155" spans="1:4">
      <c r="A155" s="19" t="s">
        <v>354</v>
      </c>
      <c r="B155" s="19" t="s">
        <v>328</v>
      </c>
      <c r="C155" s="19" t="str">
        <f t="shared" si="2"/>
        <v>CD27-m738</v>
      </c>
      <c r="D155" s="3">
        <v>85.667500000000004</v>
      </c>
    </row>
    <row r="156" spans="1:4">
      <c r="A156" s="19" t="s">
        <v>354</v>
      </c>
      <c r="B156" s="19" t="s">
        <v>329</v>
      </c>
      <c r="C156" s="19" t="str">
        <f t="shared" si="2"/>
        <v>CD27-m758</v>
      </c>
      <c r="D156" s="3">
        <v>1.5E-3</v>
      </c>
    </row>
    <row r="157" spans="1:4">
      <c r="A157" s="19" t="s">
        <v>354</v>
      </c>
      <c r="B157" s="19" t="s">
        <v>330</v>
      </c>
      <c r="C157" s="19" t="str">
        <f t="shared" si="2"/>
        <v>CD27-m759</v>
      </c>
      <c r="D157" s="3">
        <v>1.1999999999999999E-3</v>
      </c>
    </row>
    <row r="158" spans="1:4">
      <c r="A158" s="19" t="s">
        <v>354</v>
      </c>
      <c r="B158" s="19" t="s">
        <v>331</v>
      </c>
      <c r="C158" s="19" t="str">
        <f t="shared" si="2"/>
        <v>CD27-m760</v>
      </c>
      <c r="D158" s="3">
        <v>6.9999999999999999E-4</v>
      </c>
    </row>
    <row r="159" spans="1:4">
      <c r="A159" s="19" t="s">
        <v>354</v>
      </c>
      <c r="B159" s="19" t="s">
        <v>332</v>
      </c>
      <c r="C159" s="19" t="str">
        <f t="shared" si="2"/>
        <v>CD27-m761</v>
      </c>
      <c r="D159" s="3">
        <v>6.9999999999999999E-4</v>
      </c>
    </row>
    <row r="160" spans="1:4">
      <c r="A160" s="19" t="s">
        <v>354</v>
      </c>
      <c r="B160" s="19" t="s">
        <v>333</v>
      </c>
      <c r="C160" s="19" t="str">
        <f t="shared" si="2"/>
        <v>CD27-m762</v>
      </c>
      <c r="D160" s="3">
        <v>6.9999999999999999E-4</v>
      </c>
    </row>
    <row r="161" spans="1:86">
      <c r="A161" s="19" t="s">
        <v>354</v>
      </c>
      <c r="B161" s="19" t="s">
        <v>334</v>
      </c>
      <c r="C161" s="19" t="str">
        <f t="shared" si="2"/>
        <v>CD27-m763</v>
      </c>
      <c r="D161" s="3">
        <v>1.1000000000000001E-3</v>
      </c>
    </row>
    <row r="162" spans="1:86">
      <c r="A162" s="19" t="s">
        <v>354</v>
      </c>
      <c r="B162" s="19" t="s">
        <v>335</v>
      </c>
      <c r="C162" s="19" t="str">
        <f t="shared" si="2"/>
        <v>CD27-m804</v>
      </c>
      <c r="D162" s="3">
        <v>1.1999999999999999E-3</v>
      </c>
    </row>
    <row r="163" spans="1:86">
      <c r="A163" s="19" t="s">
        <v>354</v>
      </c>
      <c r="B163" s="19" t="s">
        <v>336</v>
      </c>
      <c r="C163" s="19" t="str">
        <f>_xlfn.CONCAT(A163,"-",B163)</f>
        <v>CD27-m805</v>
      </c>
      <c r="D163" s="3">
        <v>8.0000000000000004E-4</v>
      </c>
    </row>
    <row r="164" spans="1:86">
      <c r="A164" s="19" t="s">
        <v>354</v>
      </c>
      <c r="B164" s="19" t="s">
        <v>337</v>
      </c>
      <c r="C164" s="19" t="str">
        <f t="shared" si="2"/>
        <v>CD27-m796</v>
      </c>
      <c r="D164" s="3">
        <v>0.65369999999999995</v>
      </c>
    </row>
    <row r="165" spans="1:86">
      <c r="A165" s="19" t="s">
        <v>354</v>
      </c>
      <c r="B165" s="19" t="s">
        <v>338</v>
      </c>
      <c r="C165" s="19" t="str">
        <f t="shared" si="2"/>
        <v>CD27-m797</v>
      </c>
      <c r="D165" s="3">
        <v>0.27539999999999998</v>
      </c>
    </row>
    <row r="166" spans="1:86">
      <c r="A166" s="19" t="s">
        <v>354</v>
      </c>
      <c r="B166" s="19" t="s">
        <v>339</v>
      </c>
      <c r="C166" s="19" t="str">
        <f t="shared" si="2"/>
        <v>CD27-m798</v>
      </c>
      <c r="D166" s="3">
        <v>0.24660000000000001</v>
      </c>
    </row>
    <row r="167" spans="1:86">
      <c r="A167" s="19" t="s">
        <v>354</v>
      </c>
      <c r="B167" s="19" t="s">
        <v>340</v>
      </c>
      <c r="C167" s="19" t="str">
        <f t="shared" si="2"/>
        <v>CD27-m799</v>
      </c>
      <c r="D167" s="3">
        <v>0.65049999999999997</v>
      </c>
    </row>
    <row r="168" spans="1:86">
      <c r="A168" s="19" t="s">
        <v>354</v>
      </c>
      <c r="B168" s="19" t="s">
        <v>341</v>
      </c>
      <c r="C168" s="19" t="str">
        <f t="shared" si="2"/>
        <v>CD27-m800</v>
      </c>
      <c r="D168" s="3">
        <v>0.63890000000000002</v>
      </c>
    </row>
    <row r="169" spans="1:86">
      <c r="A169" s="19" t="s">
        <v>354</v>
      </c>
      <c r="B169" s="19" t="s">
        <v>342</v>
      </c>
      <c r="C169" s="19" t="str">
        <f t="shared" si="2"/>
        <v>CD27-m801</v>
      </c>
      <c r="D169" s="3">
        <v>0.74429999999999996</v>
      </c>
    </row>
    <row r="170" spans="1:86">
      <c r="A170" s="19" t="s">
        <v>354</v>
      </c>
      <c r="B170" s="19" t="s">
        <v>343</v>
      </c>
      <c r="C170" s="19" t="str">
        <f t="shared" si="2"/>
        <v>CD27-m802</v>
      </c>
      <c r="D170" s="3">
        <v>0.78090000000000004</v>
      </c>
    </row>
    <row r="171" spans="1:86">
      <c r="A171" s="19" t="s">
        <v>354</v>
      </c>
      <c r="B171" s="19" t="s">
        <v>344</v>
      </c>
      <c r="C171" s="19" t="str">
        <f t="shared" si="2"/>
        <v>CD27-m803</v>
      </c>
      <c r="D171" s="3">
        <v>0.57869999999999999</v>
      </c>
    </row>
    <row r="172" spans="1:86">
      <c r="A172" s="19" t="s">
        <v>355</v>
      </c>
      <c r="B172" s="19">
        <v>158</v>
      </c>
      <c r="C172" s="19" t="str">
        <f t="shared" ref="C172:C235" si="3">_xlfn.CONCAT(A172,"-m",B172)</f>
        <v>CD30-m158</v>
      </c>
      <c r="D172" s="3">
        <v>586.30970000000002</v>
      </c>
    </row>
    <row r="173" spans="1:86">
      <c r="A173" s="19" t="s">
        <v>355</v>
      </c>
      <c r="B173" s="19">
        <v>159</v>
      </c>
      <c r="C173" s="19" t="str">
        <f t="shared" si="3"/>
        <v>CD30-m159</v>
      </c>
      <c r="D173" s="3">
        <v>315.02030000000002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</row>
    <row r="174" spans="1:86">
      <c r="A174" s="19" t="s">
        <v>355</v>
      </c>
      <c r="B174" s="19">
        <v>160</v>
      </c>
      <c r="C174" s="19" t="str">
        <f t="shared" si="3"/>
        <v>CD30-m160</v>
      </c>
      <c r="D174" s="3">
        <v>347.1628</v>
      </c>
    </row>
    <row r="175" spans="1:86">
      <c r="A175" s="19" t="s">
        <v>355</v>
      </c>
      <c r="B175" s="19">
        <v>161</v>
      </c>
      <c r="C175" s="19" t="str">
        <f t="shared" si="3"/>
        <v>CD30-m161</v>
      </c>
      <c r="D175" s="3">
        <v>274.6268</v>
      </c>
    </row>
    <row r="176" spans="1:86">
      <c r="A176" s="19" t="s">
        <v>355</v>
      </c>
      <c r="B176" s="19">
        <v>162</v>
      </c>
      <c r="C176" s="19" t="str">
        <f t="shared" si="3"/>
        <v>CD30-m162</v>
      </c>
      <c r="D176" s="3">
        <v>794.05240000000003</v>
      </c>
    </row>
    <row r="177" spans="1:4">
      <c r="A177" s="19" t="s">
        <v>355</v>
      </c>
      <c r="B177" s="19">
        <v>164</v>
      </c>
      <c r="C177" s="19" t="str">
        <f t="shared" si="3"/>
        <v>CD30-m164</v>
      </c>
      <c r="D177" s="3">
        <v>244.8502</v>
      </c>
    </row>
    <row r="178" spans="1:4">
      <c r="A178" s="19" t="s">
        <v>355</v>
      </c>
      <c r="B178" s="19">
        <v>165</v>
      </c>
      <c r="C178" s="19" t="str">
        <f t="shared" si="3"/>
        <v>CD30-m165</v>
      </c>
      <c r="D178" s="3">
        <v>337.2518</v>
      </c>
    </row>
    <row r="179" spans="1:4">
      <c r="A179" s="19" t="s">
        <v>355</v>
      </c>
      <c r="B179" s="19">
        <v>166</v>
      </c>
      <c r="C179" s="19" t="str">
        <f t="shared" si="3"/>
        <v>CD30-m166</v>
      </c>
      <c r="D179" s="3">
        <v>490.1936</v>
      </c>
    </row>
    <row r="180" spans="1:4">
      <c r="A180" s="19" t="s">
        <v>355</v>
      </c>
      <c r="B180" s="19">
        <v>167</v>
      </c>
      <c r="C180" s="19" t="str">
        <f t="shared" si="3"/>
        <v>CD30-m167</v>
      </c>
      <c r="D180" s="3">
        <v>338.10590000000002</v>
      </c>
    </row>
    <row r="181" spans="1:4">
      <c r="A181" s="19" t="s">
        <v>355</v>
      </c>
      <c r="B181" s="19">
        <v>168</v>
      </c>
      <c r="C181" s="19" t="str">
        <f t="shared" si="3"/>
        <v>CD30-m168</v>
      </c>
      <c r="D181" s="3">
        <v>550.21270000000004</v>
      </c>
    </row>
    <row r="182" spans="1:4">
      <c r="A182" s="19" t="s">
        <v>355</v>
      </c>
      <c r="B182" s="19">
        <v>169</v>
      </c>
      <c r="C182" s="19" t="str">
        <f t="shared" si="3"/>
        <v>CD30-m169</v>
      </c>
      <c r="D182" s="3">
        <v>262.5437</v>
      </c>
    </row>
    <row r="183" spans="1:4">
      <c r="A183" s="19" t="s">
        <v>355</v>
      </c>
      <c r="B183" s="19">
        <v>170</v>
      </c>
      <c r="C183" s="19" t="str">
        <f t="shared" si="3"/>
        <v>CD30-m170</v>
      </c>
      <c r="D183" s="3">
        <v>341.94869999999997</v>
      </c>
    </row>
    <row r="184" spans="1:4">
      <c r="A184" s="19" t="s">
        <v>355</v>
      </c>
      <c r="B184" s="19">
        <v>171</v>
      </c>
      <c r="C184" s="19" t="str">
        <f t="shared" si="3"/>
        <v>CD30-m171</v>
      </c>
      <c r="D184" s="3">
        <v>774.48609999999996</v>
      </c>
    </row>
    <row r="185" spans="1:4">
      <c r="A185" s="19" t="s">
        <v>355</v>
      </c>
      <c r="B185" s="19">
        <v>172</v>
      </c>
      <c r="C185" s="19" t="str">
        <f t="shared" si="3"/>
        <v>CD30-m172</v>
      </c>
      <c r="D185" s="3">
        <v>725.54579999999999</v>
      </c>
    </row>
    <row r="186" spans="1:4">
      <c r="A186" s="19" t="s">
        <v>355</v>
      </c>
      <c r="B186" s="19">
        <v>173</v>
      </c>
      <c r="C186" s="19" t="str">
        <f t="shared" si="3"/>
        <v>CD30-m173</v>
      </c>
      <c r="D186" s="3">
        <v>897.23159999999996</v>
      </c>
    </row>
    <row r="187" spans="1:4">
      <c r="A187" s="19" t="s">
        <v>355</v>
      </c>
      <c r="B187" s="19">
        <v>175</v>
      </c>
      <c r="C187" s="19" t="str">
        <f t="shared" si="3"/>
        <v>CD30-m175</v>
      </c>
      <c r="D187" s="3">
        <v>147.19929999999999</v>
      </c>
    </row>
    <row r="188" spans="1:4">
      <c r="A188" s="19" t="s">
        <v>355</v>
      </c>
      <c r="B188" s="19">
        <v>176</v>
      </c>
      <c r="C188" s="19" t="str">
        <f t="shared" si="3"/>
        <v>CD30-m176</v>
      </c>
      <c r="D188" s="3">
        <v>327.46379999999999</v>
      </c>
    </row>
    <row r="189" spans="1:4">
      <c r="A189" s="19" t="s">
        <v>355</v>
      </c>
      <c r="B189" s="19">
        <v>177</v>
      </c>
      <c r="C189" s="19" t="str">
        <f t="shared" si="3"/>
        <v>CD30-m177</v>
      </c>
      <c r="D189" s="3">
        <v>543.02650000000006</v>
      </c>
    </row>
    <row r="190" spans="1:4">
      <c r="A190" s="19" t="s">
        <v>355</v>
      </c>
      <c r="B190" s="19">
        <v>178</v>
      </c>
      <c r="C190" s="19" t="str">
        <f t="shared" si="3"/>
        <v>CD30-m178</v>
      </c>
      <c r="D190" s="3">
        <v>225.8492</v>
      </c>
    </row>
    <row r="191" spans="1:4">
      <c r="A191" s="19" t="s">
        <v>355</v>
      </c>
      <c r="B191" s="19">
        <v>179</v>
      </c>
      <c r="C191" s="19" t="str">
        <f t="shared" si="3"/>
        <v>CD30-m179</v>
      </c>
      <c r="D191" s="3">
        <v>289.0564</v>
      </c>
    </row>
    <row r="192" spans="1:4">
      <c r="A192" s="19" t="s">
        <v>355</v>
      </c>
      <c r="B192" s="19">
        <v>180</v>
      </c>
      <c r="C192" s="19" t="str">
        <f t="shared" si="3"/>
        <v>CD30-m180</v>
      </c>
      <c r="D192" s="3">
        <v>156.01439999999999</v>
      </c>
    </row>
    <row r="193" spans="1:4">
      <c r="A193" s="19" t="s">
        <v>355</v>
      </c>
      <c r="B193" s="19">
        <v>181</v>
      </c>
      <c r="C193" s="19" t="str">
        <f t="shared" si="3"/>
        <v>CD30-m181</v>
      </c>
      <c r="D193" s="3">
        <v>239.7413</v>
      </c>
    </row>
    <row r="194" spans="1:4">
      <c r="A194" s="19" t="s">
        <v>355</v>
      </c>
      <c r="B194" s="19">
        <v>182</v>
      </c>
      <c r="C194" s="19" t="str">
        <f t="shared" si="3"/>
        <v>CD30-m182</v>
      </c>
      <c r="D194" s="3">
        <v>402.9237</v>
      </c>
    </row>
    <row r="195" spans="1:4">
      <c r="A195" s="19" t="s">
        <v>355</v>
      </c>
      <c r="B195" s="19">
        <v>183</v>
      </c>
      <c r="C195" s="19" t="str">
        <f t="shared" si="3"/>
        <v>CD30-m183</v>
      </c>
      <c r="D195" s="3">
        <v>264.4228</v>
      </c>
    </row>
    <row r="196" spans="1:4">
      <c r="A196" s="19" t="s">
        <v>355</v>
      </c>
      <c r="B196" s="19">
        <v>184</v>
      </c>
      <c r="C196" s="19" t="str">
        <f t="shared" si="3"/>
        <v>CD30-m184</v>
      </c>
      <c r="D196" s="3">
        <v>183.3614</v>
      </c>
    </row>
    <row r="197" spans="1:4">
      <c r="A197" s="19" t="s">
        <v>355</v>
      </c>
      <c r="B197" s="19">
        <v>185</v>
      </c>
      <c r="C197" s="19" t="str">
        <f t="shared" si="3"/>
        <v>CD30-m185</v>
      </c>
      <c r="D197" s="3">
        <v>236.3434</v>
      </c>
    </row>
    <row r="198" spans="1:4">
      <c r="A198" s="19" t="s">
        <v>355</v>
      </c>
      <c r="B198" s="19">
        <v>187</v>
      </c>
      <c r="C198" s="19" t="str">
        <f t="shared" si="3"/>
        <v>CD30-m187</v>
      </c>
      <c r="D198" s="3">
        <v>305.32709999999997</v>
      </c>
    </row>
    <row r="199" spans="1:4">
      <c r="A199" s="19" t="s">
        <v>355</v>
      </c>
      <c r="B199" s="19">
        <v>188</v>
      </c>
      <c r="C199" s="19" t="str">
        <f t="shared" si="3"/>
        <v>CD30-m188</v>
      </c>
      <c r="D199" s="3">
        <v>5.9999999999999995E-4</v>
      </c>
    </row>
    <row r="200" spans="1:4">
      <c r="A200" s="19" t="s">
        <v>355</v>
      </c>
      <c r="B200" s="19">
        <v>189</v>
      </c>
      <c r="C200" s="19" t="str">
        <f t="shared" si="3"/>
        <v>CD30-m189</v>
      </c>
      <c r="D200" s="3">
        <v>5.9999999999999995E-4</v>
      </c>
    </row>
    <row r="201" spans="1:4">
      <c r="A201" s="19" t="s">
        <v>355</v>
      </c>
      <c r="B201" s="19">
        <v>191</v>
      </c>
      <c r="C201" s="19" t="str">
        <f t="shared" si="3"/>
        <v>CD30-m191</v>
      </c>
      <c r="D201" s="3">
        <v>5.9999999999999995E-4</v>
      </c>
    </row>
    <row r="202" spans="1:4">
      <c r="A202" s="19" t="s">
        <v>355</v>
      </c>
      <c r="B202" s="19">
        <v>192</v>
      </c>
      <c r="C202" s="19" t="str">
        <f t="shared" si="3"/>
        <v>CD30-m192</v>
      </c>
      <c r="D202" s="3">
        <v>5.9999999999999995E-4</v>
      </c>
    </row>
    <row r="203" spans="1:4">
      <c r="A203" s="19" t="s">
        <v>355</v>
      </c>
      <c r="B203" s="19">
        <v>198</v>
      </c>
      <c r="C203" s="19" t="str">
        <f t="shared" si="3"/>
        <v>CD30-m198</v>
      </c>
      <c r="D203" s="3">
        <v>5.9999999999999995E-4</v>
      </c>
    </row>
    <row r="204" spans="1:4">
      <c r="A204" s="19" t="s">
        <v>355</v>
      </c>
      <c r="B204" s="19">
        <v>200</v>
      </c>
      <c r="C204" s="19" t="str">
        <f t="shared" si="3"/>
        <v>CD30-m200</v>
      </c>
      <c r="D204" s="3">
        <v>5.9999999999999995E-4</v>
      </c>
    </row>
    <row r="205" spans="1:4">
      <c r="A205" s="19" t="s">
        <v>355</v>
      </c>
      <c r="B205" s="19">
        <v>201</v>
      </c>
      <c r="C205" s="19" t="str">
        <f t="shared" si="3"/>
        <v>CD30-m201</v>
      </c>
      <c r="D205" s="3">
        <v>5.9999999999999995E-4</v>
      </c>
    </row>
    <row r="206" spans="1:4">
      <c r="A206" s="19" t="s">
        <v>355</v>
      </c>
      <c r="B206" s="19">
        <v>202</v>
      </c>
      <c r="C206" s="19" t="str">
        <f t="shared" si="3"/>
        <v>CD30-m202</v>
      </c>
      <c r="D206" s="3">
        <v>5.9999999999999995E-4</v>
      </c>
    </row>
    <row r="207" spans="1:4">
      <c r="A207" s="19" t="s">
        <v>355</v>
      </c>
      <c r="B207" s="19">
        <v>248</v>
      </c>
      <c r="C207" s="19" t="str">
        <f t="shared" si="3"/>
        <v>CD30-m248</v>
      </c>
      <c r="D207" s="3">
        <v>5.9999999999999995E-4</v>
      </c>
    </row>
    <row r="208" spans="1:4">
      <c r="A208" s="19" t="s">
        <v>355</v>
      </c>
      <c r="B208" s="19">
        <v>208</v>
      </c>
      <c r="C208" s="19" t="str">
        <f t="shared" si="3"/>
        <v>CD30-m208</v>
      </c>
      <c r="D208" s="3">
        <v>5.9999999999999995E-4</v>
      </c>
    </row>
    <row r="209" spans="1:4">
      <c r="A209" s="19" t="s">
        <v>355</v>
      </c>
      <c r="B209" s="19">
        <v>209</v>
      </c>
      <c r="C209" s="19" t="str">
        <f t="shared" si="3"/>
        <v>CD30-m209</v>
      </c>
      <c r="D209" s="3">
        <v>0.1258</v>
      </c>
    </row>
    <row r="210" spans="1:4">
      <c r="A210" s="19" t="s">
        <v>355</v>
      </c>
      <c r="B210" s="19">
        <v>210</v>
      </c>
      <c r="C210" s="19" t="str">
        <f t="shared" si="3"/>
        <v>CD30-m210</v>
      </c>
      <c r="D210" s="3">
        <v>5.9999999999999995E-4</v>
      </c>
    </row>
    <row r="211" spans="1:4">
      <c r="A211" s="19" t="s">
        <v>355</v>
      </c>
      <c r="B211" s="19">
        <v>211</v>
      </c>
      <c r="C211" s="19" t="str">
        <f t="shared" si="3"/>
        <v>CD30-m211</v>
      </c>
      <c r="D211" s="3">
        <v>0.1918</v>
      </c>
    </row>
    <row r="212" spans="1:4">
      <c r="A212" s="19" t="s">
        <v>355</v>
      </c>
      <c r="B212" s="19">
        <v>212</v>
      </c>
      <c r="C212" s="19" t="str">
        <f t="shared" si="3"/>
        <v>CD30-m212</v>
      </c>
      <c r="D212" s="3">
        <v>5.9999999999999995E-4</v>
      </c>
    </row>
    <row r="213" spans="1:4">
      <c r="A213" s="19" t="s">
        <v>355</v>
      </c>
      <c r="B213" s="19">
        <v>213</v>
      </c>
      <c r="C213" s="19" t="str">
        <f t="shared" si="3"/>
        <v>CD30-m213</v>
      </c>
      <c r="D213" s="3">
        <v>683.24900000000002</v>
      </c>
    </row>
    <row r="214" spans="1:4">
      <c r="A214" s="19" t="s">
        <v>355</v>
      </c>
      <c r="B214" s="19">
        <v>215</v>
      </c>
      <c r="C214" s="19" t="str">
        <f t="shared" si="3"/>
        <v>CD30-m215</v>
      </c>
      <c r="D214" s="3">
        <v>461.9239</v>
      </c>
    </row>
    <row r="215" spans="1:4">
      <c r="A215" s="19" t="s">
        <v>355</v>
      </c>
      <c r="B215" s="19">
        <v>216</v>
      </c>
      <c r="C215" s="19" t="str">
        <f t="shared" si="3"/>
        <v>CD30-m216</v>
      </c>
      <c r="D215" s="3">
        <v>580.46420000000001</v>
      </c>
    </row>
    <row r="216" spans="1:4">
      <c r="A216" s="19" t="s">
        <v>355</v>
      </c>
      <c r="B216" s="19">
        <v>217</v>
      </c>
      <c r="C216" s="19" t="str">
        <f t="shared" si="3"/>
        <v>CD30-m217</v>
      </c>
      <c r="D216" s="3">
        <v>617.44939999999997</v>
      </c>
    </row>
    <row r="217" spans="1:4">
      <c r="A217" s="19" t="s">
        <v>355</v>
      </c>
      <c r="B217" s="19">
        <v>218</v>
      </c>
      <c r="C217" s="19" t="str">
        <f t="shared" si="3"/>
        <v>CD30-m218</v>
      </c>
      <c r="D217" s="3">
        <v>497.5693</v>
      </c>
    </row>
    <row r="218" spans="1:4">
      <c r="A218" s="19" t="s">
        <v>355</v>
      </c>
      <c r="B218" s="19">
        <v>219</v>
      </c>
      <c r="C218" s="19" t="str">
        <f t="shared" si="3"/>
        <v>CD30-m219</v>
      </c>
      <c r="D218" s="3">
        <v>470.80239999999998</v>
      </c>
    </row>
    <row r="219" spans="1:4">
      <c r="A219" s="19" t="s">
        <v>355</v>
      </c>
      <c r="B219" s="19">
        <v>220</v>
      </c>
      <c r="C219" s="19" t="str">
        <f t="shared" si="3"/>
        <v>CD30-m220</v>
      </c>
      <c r="D219" s="3">
        <v>528.7346</v>
      </c>
    </row>
    <row r="220" spans="1:4">
      <c r="A220" s="19" t="s">
        <v>355</v>
      </c>
      <c r="B220" s="19">
        <v>221</v>
      </c>
      <c r="C220" s="19" t="str">
        <f t="shared" si="3"/>
        <v>CD30-m221</v>
      </c>
      <c r="D220" s="3">
        <v>798.88959999999997</v>
      </c>
    </row>
    <row r="221" spans="1:4">
      <c r="A221" s="19" t="s">
        <v>355</v>
      </c>
      <c r="B221" s="19">
        <v>222</v>
      </c>
      <c r="C221" s="19" t="str">
        <f t="shared" si="3"/>
        <v>CD30-m222</v>
      </c>
      <c r="D221" s="3">
        <v>168.0641</v>
      </c>
    </row>
    <row r="222" spans="1:4">
      <c r="A222" s="19" t="s">
        <v>355</v>
      </c>
      <c r="B222" s="19">
        <v>223</v>
      </c>
      <c r="C222" s="19" t="str">
        <f t="shared" si="3"/>
        <v>CD30-m223</v>
      </c>
      <c r="D222" s="3">
        <v>404.34039999999999</v>
      </c>
    </row>
    <row r="223" spans="1:4">
      <c r="A223" s="19" t="s">
        <v>355</v>
      </c>
      <c r="B223" s="19">
        <v>224</v>
      </c>
      <c r="C223" s="19" t="str">
        <f t="shared" si="3"/>
        <v>CD30-m224</v>
      </c>
      <c r="D223" s="3">
        <v>371.32139999999998</v>
      </c>
    </row>
    <row r="224" spans="1:4">
      <c r="A224" s="19" t="s">
        <v>355</v>
      </c>
      <c r="B224" s="19">
        <v>226</v>
      </c>
      <c r="C224" s="19" t="str">
        <f t="shared" si="3"/>
        <v>CD30-m226</v>
      </c>
      <c r="D224" s="3">
        <v>527.88400000000001</v>
      </c>
    </row>
    <row r="225" spans="1:4">
      <c r="A225" s="19" t="s">
        <v>355</v>
      </c>
      <c r="B225" s="19">
        <v>227</v>
      </c>
      <c r="C225" s="19" t="str">
        <f t="shared" si="3"/>
        <v>CD30-m227</v>
      </c>
      <c r="D225" s="3">
        <v>473.60910000000001</v>
      </c>
    </row>
    <row r="226" spans="1:4">
      <c r="A226" s="19" t="s">
        <v>355</v>
      </c>
      <c r="B226" s="19">
        <v>252</v>
      </c>
      <c r="C226" s="19" t="str">
        <f t="shared" si="3"/>
        <v>CD30-m252</v>
      </c>
      <c r="D226" s="3">
        <v>474.07420000000002</v>
      </c>
    </row>
    <row r="227" spans="1:4">
      <c r="A227" s="19" t="s">
        <v>355</v>
      </c>
      <c r="B227" s="19">
        <v>233</v>
      </c>
      <c r="C227" s="19" t="str">
        <f t="shared" si="3"/>
        <v>CD30-m233</v>
      </c>
      <c r="D227" s="3">
        <v>5.9999999999999995E-4</v>
      </c>
    </row>
    <row r="228" spans="1:4">
      <c r="A228" s="19" t="s">
        <v>355</v>
      </c>
      <c r="B228" s="19">
        <v>234</v>
      </c>
      <c r="C228" s="19" t="str">
        <f t="shared" si="3"/>
        <v>CD30-m234</v>
      </c>
      <c r="D228" s="3">
        <v>7.0000000000000001E-3</v>
      </c>
    </row>
    <row r="229" spans="1:4">
      <c r="A229" s="19" t="s">
        <v>355</v>
      </c>
      <c r="B229" s="19">
        <v>235</v>
      </c>
      <c r="C229" s="19" t="str">
        <f t="shared" si="3"/>
        <v>CD30-m235</v>
      </c>
      <c r="D229" s="3">
        <v>5.9999999999999995E-4</v>
      </c>
    </row>
    <row r="230" spans="1:4">
      <c r="A230" s="19" t="s">
        <v>355</v>
      </c>
      <c r="B230" s="19">
        <v>236</v>
      </c>
      <c r="C230" s="19" t="str">
        <f t="shared" si="3"/>
        <v>CD30-m236</v>
      </c>
      <c r="D230" s="3">
        <v>5.9999999999999995E-4</v>
      </c>
    </row>
    <row r="231" spans="1:4">
      <c r="A231" s="19" t="s">
        <v>355</v>
      </c>
      <c r="B231" s="19">
        <v>237</v>
      </c>
      <c r="C231" s="19" t="str">
        <f t="shared" si="3"/>
        <v>CD30-m237</v>
      </c>
      <c r="D231" s="3">
        <v>5.9999999999999995E-4</v>
      </c>
    </row>
    <row r="232" spans="1:4">
      <c r="A232" s="19" t="s">
        <v>355</v>
      </c>
      <c r="B232" s="19">
        <v>238</v>
      </c>
      <c r="C232" s="19" t="str">
        <f t="shared" si="3"/>
        <v>CD30-m238</v>
      </c>
      <c r="D232" s="3">
        <v>5.9999999999999995E-4</v>
      </c>
    </row>
    <row r="233" spans="1:4">
      <c r="A233" s="19" t="s">
        <v>355</v>
      </c>
      <c r="B233" s="19">
        <v>239</v>
      </c>
      <c r="C233" s="19" t="str">
        <f t="shared" si="3"/>
        <v>CD30-m239</v>
      </c>
      <c r="D233" s="3">
        <v>5.9999999999999995E-4</v>
      </c>
    </row>
    <row r="234" spans="1:4">
      <c r="A234" s="19" t="s">
        <v>355</v>
      </c>
      <c r="B234" s="19">
        <v>242</v>
      </c>
      <c r="C234" s="19" t="str">
        <f t="shared" si="3"/>
        <v>CD30-m242</v>
      </c>
      <c r="D234" s="3">
        <v>1.06E-2</v>
      </c>
    </row>
    <row r="235" spans="1:4">
      <c r="A235" s="19" t="s">
        <v>355</v>
      </c>
      <c r="B235" s="19">
        <v>243</v>
      </c>
      <c r="C235" s="19" t="str">
        <f t="shared" si="3"/>
        <v>CD30-m243</v>
      </c>
      <c r="D235" s="3">
        <v>5.9999999999999995E-4</v>
      </c>
    </row>
    <row r="236" spans="1:4">
      <c r="A236" s="19" t="s">
        <v>355</v>
      </c>
      <c r="B236" s="19">
        <v>244</v>
      </c>
      <c r="C236" s="19" t="str">
        <f t="shared" ref="C236:C299" si="4">_xlfn.CONCAT(A236,"-m",B236)</f>
        <v>CD30-m244</v>
      </c>
      <c r="D236" s="3">
        <v>5.9999999999999995E-4</v>
      </c>
    </row>
    <row r="237" spans="1:4">
      <c r="A237" s="19" t="s">
        <v>355</v>
      </c>
      <c r="B237" s="19">
        <v>245</v>
      </c>
      <c r="C237" s="19" t="str">
        <f t="shared" si="4"/>
        <v>CD30-m245</v>
      </c>
      <c r="D237" s="3">
        <v>5.9999999999999995E-4</v>
      </c>
    </row>
    <row r="238" spans="1:4">
      <c r="A238" s="19" t="s">
        <v>355</v>
      </c>
      <c r="B238" s="19">
        <v>246</v>
      </c>
      <c r="C238" s="19" t="str">
        <f t="shared" si="4"/>
        <v>CD30-m246</v>
      </c>
      <c r="D238" s="3">
        <v>5.9999999999999995E-4</v>
      </c>
    </row>
    <row r="239" spans="1:4">
      <c r="A239" s="19" t="s">
        <v>355</v>
      </c>
      <c r="B239" s="19">
        <v>247</v>
      </c>
      <c r="C239" s="19" t="str">
        <f t="shared" si="4"/>
        <v>CD30-m247</v>
      </c>
      <c r="D239" s="3">
        <v>5.9999999999999995E-4</v>
      </c>
    </row>
    <row r="240" spans="1:4">
      <c r="A240" s="19" t="s">
        <v>355</v>
      </c>
      <c r="B240" s="19">
        <v>193</v>
      </c>
      <c r="C240" s="19" t="str">
        <f t="shared" si="4"/>
        <v>CD30-m193</v>
      </c>
      <c r="D240" s="3">
        <v>181.98429999999999</v>
      </c>
    </row>
    <row r="241" spans="1:63">
      <c r="A241" s="19" t="s">
        <v>355</v>
      </c>
      <c r="B241" s="19">
        <v>195</v>
      </c>
      <c r="C241" s="19" t="str">
        <f t="shared" si="4"/>
        <v>CD30-m195</v>
      </c>
      <c r="D241" s="3">
        <v>235.21420000000001</v>
      </c>
    </row>
    <row r="242" spans="1:63">
      <c r="A242" s="19" t="s">
        <v>355</v>
      </c>
      <c r="B242" s="19">
        <v>196</v>
      </c>
      <c r="C242" s="19" t="str">
        <f t="shared" si="4"/>
        <v>CD30-m196</v>
      </c>
      <c r="D242" s="3">
        <v>347.66399999999999</v>
      </c>
    </row>
    <row r="243" spans="1:63">
      <c r="A243" s="19" t="s">
        <v>355</v>
      </c>
      <c r="B243" s="19">
        <v>197</v>
      </c>
      <c r="C243" s="19" t="str">
        <f t="shared" si="4"/>
        <v>CD30-m197</v>
      </c>
      <c r="D243" s="3">
        <v>347.61880000000002</v>
      </c>
    </row>
    <row r="244" spans="1:63">
      <c r="A244" s="19" t="s">
        <v>355</v>
      </c>
      <c r="B244" s="19">
        <v>203</v>
      </c>
      <c r="C244" s="19" t="str">
        <f t="shared" si="4"/>
        <v>CD30-m203</v>
      </c>
      <c r="D244" s="3">
        <v>253.77510000000001</v>
      </c>
    </row>
    <row r="245" spans="1:63">
      <c r="A245" s="19" t="s">
        <v>355</v>
      </c>
      <c r="B245" s="19">
        <v>204</v>
      </c>
      <c r="C245" s="19" t="str">
        <f t="shared" si="4"/>
        <v>CD30-m204</v>
      </c>
      <c r="D245" s="3">
        <v>488.88589999999999</v>
      </c>
    </row>
    <row r="246" spans="1:63">
      <c r="A246" s="19" t="s">
        <v>355</v>
      </c>
      <c r="B246" s="19">
        <v>205</v>
      </c>
      <c r="C246" s="19" t="str">
        <f t="shared" si="4"/>
        <v>CD30-m205</v>
      </c>
      <c r="D246" s="3">
        <v>297.62110000000001</v>
      </c>
    </row>
    <row r="247" spans="1:63">
      <c r="A247" s="19" t="s">
        <v>355</v>
      </c>
      <c r="B247" s="19">
        <v>206</v>
      </c>
      <c r="C247" s="19" t="str">
        <f t="shared" si="4"/>
        <v>CD30-m206</v>
      </c>
      <c r="D247" s="3">
        <v>296.12400000000002</v>
      </c>
    </row>
    <row r="248" spans="1:63">
      <c r="A248" s="19" t="s">
        <v>355</v>
      </c>
      <c r="B248" s="19">
        <v>207</v>
      </c>
      <c r="C248" s="19" t="str">
        <f t="shared" si="4"/>
        <v>CD30-m207</v>
      </c>
      <c r="D248" s="3">
        <v>520.05820000000006</v>
      </c>
    </row>
    <row r="249" spans="1:63">
      <c r="A249" s="19" t="s">
        <v>355</v>
      </c>
      <c r="B249" s="19">
        <v>228</v>
      </c>
      <c r="C249" s="19" t="str">
        <f t="shared" si="4"/>
        <v>CD30-m228</v>
      </c>
      <c r="D249" s="3">
        <v>209.6798</v>
      </c>
    </row>
    <row r="250" spans="1:63">
      <c r="A250" s="19" t="s">
        <v>355</v>
      </c>
      <c r="B250" s="19">
        <v>229</v>
      </c>
      <c r="C250" s="19" t="str">
        <f t="shared" si="4"/>
        <v>CD30-m229</v>
      </c>
      <c r="D250" s="3">
        <v>397.8603</v>
      </c>
    </row>
    <row r="251" spans="1:63">
      <c r="A251" s="19" t="s">
        <v>355</v>
      </c>
      <c r="B251" s="19">
        <v>230</v>
      </c>
      <c r="C251" s="19" t="str">
        <f t="shared" si="4"/>
        <v>CD30-m230</v>
      </c>
      <c r="D251" s="3">
        <v>307.74650000000003</v>
      </c>
    </row>
    <row r="252" spans="1:63">
      <c r="A252" s="19" t="s">
        <v>355</v>
      </c>
      <c r="B252" s="19">
        <v>231</v>
      </c>
      <c r="C252" s="19" t="str">
        <f t="shared" si="4"/>
        <v>CD30-m231</v>
      </c>
      <c r="D252" s="3">
        <v>396.31380000000001</v>
      </c>
    </row>
    <row r="253" spans="1:63">
      <c r="A253" s="19" t="s">
        <v>355</v>
      </c>
      <c r="B253" s="19">
        <v>232</v>
      </c>
      <c r="C253" s="19" t="str">
        <f t="shared" si="4"/>
        <v>CD30-m232</v>
      </c>
      <c r="D253" s="3">
        <v>372.30329999999998</v>
      </c>
    </row>
    <row r="254" spans="1:63">
      <c r="A254" s="19" t="s">
        <v>356</v>
      </c>
      <c r="B254" s="19">
        <v>324</v>
      </c>
      <c r="C254" s="19" t="str">
        <f t="shared" si="4"/>
        <v>CD46-m324</v>
      </c>
      <c r="D254" s="3">
        <v>6.7999999999999996E-3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</row>
    <row r="255" spans="1:63">
      <c r="A255" s="19" t="s">
        <v>356</v>
      </c>
      <c r="B255" s="19">
        <v>327</v>
      </c>
      <c r="C255" s="19" t="str">
        <f t="shared" si="4"/>
        <v>CD46-m327</v>
      </c>
      <c r="D255" s="3">
        <v>6.7999999999999996E-3</v>
      </c>
    </row>
    <row r="256" spans="1:63">
      <c r="A256" s="19" t="s">
        <v>356</v>
      </c>
      <c r="B256" s="19">
        <v>328</v>
      </c>
      <c r="C256" s="19" t="str">
        <f t="shared" si="4"/>
        <v>CD46-m328</v>
      </c>
      <c r="D256" s="3">
        <v>6.7999999999999996E-3</v>
      </c>
    </row>
    <row r="257" spans="1:4">
      <c r="A257" s="19" t="s">
        <v>356</v>
      </c>
      <c r="B257" s="19">
        <v>330</v>
      </c>
      <c r="C257" s="19" t="str">
        <f t="shared" si="4"/>
        <v>CD46-m330</v>
      </c>
      <c r="D257" s="3">
        <v>1.5599999999999999E-2</v>
      </c>
    </row>
    <row r="258" spans="1:4">
      <c r="A258" s="19" t="s">
        <v>356</v>
      </c>
      <c r="B258" s="19">
        <v>331</v>
      </c>
      <c r="C258" s="19" t="str">
        <f t="shared" si="4"/>
        <v>CD46-m331</v>
      </c>
      <c r="D258" s="3">
        <v>79.352699999999999</v>
      </c>
    </row>
    <row r="259" spans="1:4">
      <c r="A259" s="19" t="s">
        <v>356</v>
      </c>
      <c r="B259" s="19">
        <v>332</v>
      </c>
      <c r="C259" s="19" t="str">
        <f t="shared" si="4"/>
        <v>CD46-m332</v>
      </c>
      <c r="D259" s="3">
        <v>34.323700000000002</v>
      </c>
    </row>
    <row r="260" spans="1:4">
      <c r="A260" s="19" t="s">
        <v>356</v>
      </c>
      <c r="B260" s="19">
        <v>333</v>
      </c>
      <c r="C260" s="19" t="str">
        <f t="shared" si="4"/>
        <v>CD46-m333</v>
      </c>
      <c r="D260" s="3">
        <v>71.940799999999996</v>
      </c>
    </row>
    <row r="261" spans="1:4">
      <c r="A261" s="19" t="s">
        <v>356</v>
      </c>
      <c r="B261" s="19">
        <v>334</v>
      </c>
      <c r="C261" s="19" t="str">
        <f t="shared" si="4"/>
        <v>CD46-m334</v>
      </c>
      <c r="D261" s="3">
        <v>73.215900000000005</v>
      </c>
    </row>
    <row r="262" spans="1:4">
      <c r="A262" s="19" t="s">
        <v>356</v>
      </c>
      <c r="B262" s="19">
        <v>336</v>
      </c>
      <c r="C262" s="19" t="str">
        <f t="shared" si="4"/>
        <v>CD46-m336</v>
      </c>
      <c r="D262" s="3">
        <v>79.2136</v>
      </c>
    </row>
    <row r="263" spans="1:4">
      <c r="A263" s="19" t="s">
        <v>356</v>
      </c>
      <c r="B263" s="19">
        <v>337</v>
      </c>
      <c r="C263" s="19" t="str">
        <f t="shared" si="4"/>
        <v>CD46-m337</v>
      </c>
      <c r="D263" s="3">
        <v>59.510100000000001</v>
      </c>
    </row>
    <row r="264" spans="1:4">
      <c r="A264" s="19" t="s">
        <v>356</v>
      </c>
      <c r="B264" s="19">
        <v>338</v>
      </c>
      <c r="C264" s="19" t="str">
        <f t="shared" si="4"/>
        <v>CD46-m338</v>
      </c>
      <c r="D264" s="3">
        <v>13.974</v>
      </c>
    </row>
    <row r="265" spans="1:4">
      <c r="A265" s="19" t="s">
        <v>356</v>
      </c>
      <c r="B265" s="19">
        <v>339</v>
      </c>
      <c r="C265" s="19" t="str">
        <f t="shared" si="4"/>
        <v>CD46-m339</v>
      </c>
      <c r="D265" s="3">
        <v>45.259599999999999</v>
      </c>
    </row>
    <row r="266" spans="1:4">
      <c r="A266" s="19" t="s">
        <v>356</v>
      </c>
      <c r="B266" s="19">
        <v>340</v>
      </c>
      <c r="C266" s="19" t="str">
        <f t="shared" si="4"/>
        <v>CD46-m340</v>
      </c>
      <c r="D266" s="3">
        <v>86.195300000000003</v>
      </c>
    </row>
    <row r="267" spans="1:4">
      <c r="A267" s="19" t="s">
        <v>356</v>
      </c>
      <c r="B267" s="19">
        <v>341</v>
      </c>
      <c r="C267" s="19" t="str">
        <f t="shared" si="4"/>
        <v>CD46-m341</v>
      </c>
      <c r="D267" s="3">
        <v>6.7999999999999996E-3</v>
      </c>
    </row>
    <row r="268" spans="1:4">
      <c r="A268" s="19" t="s">
        <v>356</v>
      </c>
      <c r="B268" s="19">
        <v>342</v>
      </c>
      <c r="C268" s="19" t="str">
        <f t="shared" si="4"/>
        <v>CD46-m342</v>
      </c>
      <c r="D268" s="3">
        <v>6.7999999999999996E-3</v>
      </c>
    </row>
    <row r="269" spans="1:4">
      <c r="A269" s="19" t="s">
        <v>356</v>
      </c>
      <c r="B269" s="19">
        <v>343</v>
      </c>
      <c r="C269" s="19" t="str">
        <f t="shared" si="4"/>
        <v>CD46-m343</v>
      </c>
      <c r="D269" s="3">
        <v>1.46E-2</v>
      </c>
    </row>
    <row r="270" spans="1:4">
      <c r="A270" s="19" t="s">
        <v>356</v>
      </c>
      <c r="B270" s="19">
        <v>344</v>
      </c>
      <c r="C270" s="19" t="str">
        <f t="shared" si="4"/>
        <v>CD46-m344</v>
      </c>
      <c r="D270" s="3">
        <v>6.7999999999999996E-3</v>
      </c>
    </row>
    <row r="271" spans="1:4">
      <c r="A271" s="19" t="s">
        <v>356</v>
      </c>
      <c r="B271" s="19">
        <v>345</v>
      </c>
      <c r="C271" s="19" t="str">
        <f t="shared" si="4"/>
        <v>CD46-m345</v>
      </c>
      <c r="D271" s="3">
        <v>3.0061</v>
      </c>
    </row>
    <row r="272" spans="1:4">
      <c r="A272" s="19" t="s">
        <v>356</v>
      </c>
      <c r="B272" s="19">
        <v>347</v>
      </c>
      <c r="C272" s="19" t="str">
        <f t="shared" si="4"/>
        <v>CD46-m347</v>
      </c>
      <c r="D272" s="3">
        <v>64.444299999999998</v>
      </c>
    </row>
    <row r="273" spans="1:4">
      <c r="A273" s="19" t="s">
        <v>356</v>
      </c>
      <c r="B273" s="19">
        <v>348</v>
      </c>
      <c r="C273" s="19" t="str">
        <f t="shared" si="4"/>
        <v>CD46-m348</v>
      </c>
      <c r="D273" s="3">
        <v>33.495699999999999</v>
      </c>
    </row>
    <row r="274" spans="1:4">
      <c r="A274" s="19" t="s">
        <v>356</v>
      </c>
      <c r="B274" s="19">
        <v>349</v>
      </c>
      <c r="C274" s="19" t="str">
        <f t="shared" si="4"/>
        <v>CD46-m349</v>
      </c>
      <c r="D274" s="3">
        <v>58.387500000000003</v>
      </c>
    </row>
    <row r="275" spans="1:4">
      <c r="A275" s="19" t="s">
        <v>356</v>
      </c>
      <c r="B275" s="19">
        <v>350</v>
      </c>
      <c r="C275" s="19" t="str">
        <f t="shared" si="4"/>
        <v>CD46-m350</v>
      </c>
      <c r="D275" s="3">
        <v>30.2867</v>
      </c>
    </row>
    <row r="276" spans="1:4">
      <c r="A276" s="19" t="s">
        <v>356</v>
      </c>
      <c r="B276" s="19">
        <v>353</v>
      </c>
      <c r="C276" s="19" t="str">
        <f t="shared" si="4"/>
        <v>CD46-m353</v>
      </c>
      <c r="D276" s="3">
        <v>52.506</v>
      </c>
    </row>
    <row r="277" spans="1:4">
      <c r="A277" s="19" t="s">
        <v>356</v>
      </c>
      <c r="B277" s="19">
        <v>354</v>
      </c>
      <c r="C277" s="19" t="str">
        <f t="shared" si="4"/>
        <v>CD46-m354</v>
      </c>
      <c r="D277" s="3">
        <v>27.495000000000001</v>
      </c>
    </row>
    <row r="278" spans="1:4">
      <c r="A278" s="19" t="s">
        <v>356</v>
      </c>
      <c r="B278" s="19">
        <v>355</v>
      </c>
      <c r="C278" s="19" t="str">
        <f t="shared" si="4"/>
        <v>CD46-m355</v>
      </c>
      <c r="D278" s="3">
        <v>39.857300000000002</v>
      </c>
    </row>
    <row r="279" spans="1:4">
      <c r="A279" s="19" t="s">
        <v>356</v>
      </c>
      <c r="B279" s="19">
        <v>356</v>
      </c>
      <c r="C279" s="19" t="str">
        <f t="shared" si="4"/>
        <v>CD46-m356</v>
      </c>
      <c r="D279" s="3">
        <v>102.99939999999999</v>
      </c>
    </row>
    <row r="280" spans="1:4">
      <c r="A280" s="19" t="s">
        <v>356</v>
      </c>
      <c r="B280" s="19">
        <v>357</v>
      </c>
      <c r="C280" s="19" t="str">
        <f t="shared" si="4"/>
        <v>CD46-m357</v>
      </c>
      <c r="D280" s="3">
        <v>0.13650000000000001</v>
      </c>
    </row>
    <row r="281" spans="1:4">
      <c r="A281" s="19" t="s">
        <v>356</v>
      </c>
      <c r="B281" s="19">
        <v>358</v>
      </c>
      <c r="C281" s="19" t="str">
        <f t="shared" si="4"/>
        <v>CD46-m358</v>
      </c>
      <c r="D281" s="3">
        <v>6.7999999999999996E-3</v>
      </c>
    </row>
    <row r="282" spans="1:4">
      <c r="A282" s="19" t="s">
        <v>356</v>
      </c>
      <c r="B282" s="19">
        <v>359</v>
      </c>
      <c r="C282" s="19" t="str">
        <f t="shared" si="4"/>
        <v>CD46-m359</v>
      </c>
      <c r="D282" s="3">
        <v>1.8100000000000002E-2</v>
      </c>
    </row>
    <row r="283" spans="1:4">
      <c r="A283" s="19" t="s">
        <v>356</v>
      </c>
      <c r="B283" s="19">
        <v>361</v>
      </c>
      <c r="C283" s="19" t="str">
        <f t="shared" si="4"/>
        <v>CD46-m361</v>
      </c>
      <c r="D283" s="3">
        <v>6.7999999999999996E-3</v>
      </c>
    </row>
    <row r="284" spans="1:4">
      <c r="A284" s="19" t="s">
        <v>356</v>
      </c>
      <c r="B284" s="19">
        <v>362</v>
      </c>
      <c r="C284" s="19" t="str">
        <f t="shared" si="4"/>
        <v>CD46-m362</v>
      </c>
      <c r="D284" s="3">
        <v>146.03970000000001</v>
      </c>
    </row>
    <row r="285" spans="1:4">
      <c r="A285" s="19" t="s">
        <v>356</v>
      </c>
      <c r="B285" s="19">
        <v>363</v>
      </c>
      <c r="C285" s="19" t="str">
        <f t="shared" si="4"/>
        <v>CD46-m363</v>
      </c>
      <c r="D285" s="3">
        <v>32.348999999999997</v>
      </c>
    </row>
    <row r="286" spans="1:4">
      <c r="A286" s="19" t="s">
        <v>356</v>
      </c>
      <c r="B286" s="19">
        <v>364</v>
      </c>
      <c r="C286" s="19" t="str">
        <f t="shared" si="4"/>
        <v>CD46-m364</v>
      </c>
      <c r="D286" s="3">
        <v>61.776600000000002</v>
      </c>
    </row>
    <row r="287" spans="1:4">
      <c r="A287" s="19" t="s">
        <v>356</v>
      </c>
      <c r="B287" s="19">
        <v>365</v>
      </c>
      <c r="C287" s="19" t="str">
        <f t="shared" si="4"/>
        <v>CD46-m365</v>
      </c>
      <c r="D287" s="3">
        <v>47.994700000000002</v>
      </c>
    </row>
    <row r="288" spans="1:4">
      <c r="A288" s="19" t="s">
        <v>356</v>
      </c>
      <c r="B288" s="19">
        <v>367</v>
      </c>
      <c r="C288" s="19" t="str">
        <f t="shared" si="4"/>
        <v>CD46-m367</v>
      </c>
      <c r="D288" s="3">
        <v>82.684399999999997</v>
      </c>
    </row>
    <row r="289" spans="1:4">
      <c r="A289" s="19" t="s">
        <v>356</v>
      </c>
      <c r="B289" s="19">
        <v>369</v>
      </c>
      <c r="C289" s="19" t="str">
        <f t="shared" si="4"/>
        <v>CD46-m369</v>
      </c>
      <c r="D289" s="3">
        <v>102.6913</v>
      </c>
    </row>
    <row r="290" spans="1:4">
      <c r="A290" s="19" t="s">
        <v>356</v>
      </c>
      <c r="B290" s="19">
        <v>370</v>
      </c>
      <c r="C290" s="19" t="str">
        <f t="shared" si="4"/>
        <v>CD46-m370</v>
      </c>
      <c r="D290" s="3">
        <v>58.5779</v>
      </c>
    </row>
    <row r="291" spans="1:4">
      <c r="A291" s="19" t="s">
        <v>356</v>
      </c>
      <c r="B291" s="19">
        <v>372</v>
      </c>
      <c r="C291" s="19" t="str">
        <f t="shared" si="4"/>
        <v>CD46-m372</v>
      </c>
      <c r="D291" s="3">
        <v>18.250599999999999</v>
      </c>
    </row>
    <row r="292" spans="1:4">
      <c r="A292" s="19" t="s">
        <v>356</v>
      </c>
      <c r="B292" s="19">
        <v>373</v>
      </c>
      <c r="C292" s="19" t="str">
        <f t="shared" si="4"/>
        <v>CD46-m373</v>
      </c>
      <c r="D292" s="3">
        <v>110.548</v>
      </c>
    </row>
    <row r="293" spans="1:4">
      <c r="A293" s="19" t="s">
        <v>356</v>
      </c>
      <c r="B293" s="19">
        <v>374</v>
      </c>
      <c r="C293" s="19" t="str">
        <f t="shared" si="4"/>
        <v>CD46-m374</v>
      </c>
      <c r="D293" s="3">
        <v>22.676100000000002</v>
      </c>
    </row>
    <row r="294" spans="1:4">
      <c r="A294" s="19" t="s">
        <v>356</v>
      </c>
      <c r="B294" s="19">
        <v>375</v>
      </c>
      <c r="C294" s="19" t="str">
        <f t="shared" si="4"/>
        <v>CD46-m375</v>
      </c>
      <c r="D294" s="3">
        <v>57.98</v>
      </c>
    </row>
    <row r="295" spans="1:4">
      <c r="A295" s="19" t="s">
        <v>356</v>
      </c>
      <c r="B295" s="19">
        <v>376</v>
      </c>
      <c r="C295" s="19" t="str">
        <f t="shared" si="4"/>
        <v>CD46-m376</v>
      </c>
      <c r="D295" s="3">
        <v>36.976300000000002</v>
      </c>
    </row>
    <row r="296" spans="1:4">
      <c r="A296" s="19" t="s">
        <v>356</v>
      </c>
      <c r="B296" s="19">
        <v>377</v>
      </c>
      <c r="C296" s="19" t="str">
        <f t="shared" si="4"/>
        <v>CD46-m377</v>
      </c>
      <c r="D296" s="3">
        <v>14.627700000000001</v>
      </c>
    </row>
    <row r="297" spans="1:4">
      <c r="A297" s="19" t="s">
        <v>356</v>
      </c>
      <c r="B297" s="19">
        <v>378</v>
      </c>
      <c r="C297" s="19" t="str">
        <f t="shared" si="4"/>
        <v>CD46-m378</v>
      </c>
      <c r="D297" s="3">
        <v>39.246899999999997</v>
      </c>
    </row>
    <row r="298" spans="1:4">
      <c r="A298" s="19" t="s">
        <v>356</v>
      </c>
      <c r="B298" s="19">
        <v>380</v>
      </c>
      <c r="C298" s="19" t="str">
        <f t="shared" si="4"/>
        <v>CD46-m380</v>
      </c>
      <c r="D298" s="3">
        <v>39.430300000000003</v>
      </c>
    </row>
    <row r="299" spans="1:4">
      <c r="A299" s="19" t="s">
        <v>356</v>
      </c>
      <c r="B299" s="19">
        <v>381</v>
      </c>
      <c r="C299" s="19" t="str">
        <f t="shared" si="4"/>
        <v>CD46-m381</v>
      </c>
      <c r="D299" s="3">
        <v>30.273800000000001</v>
      </c>
    </row>
    <row r="300" spans="1:4">
      <c r="A300" s="19" t="s">
        <v>356</v>
      </c>
      <c r="B300" s="19">
        <v>385</v>
      </c>
      <c r="C300" s="19" t="str">
        <f t="shared" ref="C300:C363" si="5">_xlfn.CONCAT(A300,"-m",B300)</f>
        <v>CD46-m385</v>
      </c>
      <c r="D300" s="3">
        <v>6.7999999999999996E-3</v>
      </c>
    </row>
    <row r="301" spans="1:4">
      <c r="A301" s="19" t="s">
        <v>356</v>
      </c>
      <c r="B301" s="19">
        <v>386</v>
      </c>
      <c r="C301" s="19" t="str">
        <f t="shared" si="5"/>
        <v>CD46-m386</v>
      </c>
      <c r="D301" s="3">
        <v>6.7999999999999996E-3</v>
      </c>
    </row>
    <row r="302" spans="1:4">
      <c r="A302" s="19" t="s">
        <v>356</v>
      </c>
      <c r="B302" s="19">
        <v>387</v>
      </c>
      <c r="C302" s="19" t="str">
        <f t="shared" si="5"/>
        <v>CD46-m387</v>
      </c>
      <c r="D302" s="3">
        <v>6.7999999999999996E-3</v>
      </c>
    </row>
    <row r="303" spans="1:4">
      <c r="A303" s="19" t="s">
        <v>356</v>
      </c>
      <c r="B303" s="19">
        <v>389</v>
      </c>
      <c r="C303" s="19" t="str">
        <f t="shared" si="5"/>
        <v>CD46-m389</v>
      </c>
      <c r="D303" s="3">
        <v>6.7999999999999996E-3</v>
      </c>
    </row>
    <row r="304" spans="1:4">
      <c r="A304" s="19" t="s">
        <v>356</v>
      </c>
      <c r="B304" s="19">
        <v>393</v>
      </c>
      <c r="C304" s="19" t="str">
        <f t="shared" si="5"/>
        <v>CD46-m393</v>
      </c>
      <c r="D304" s="3">
        <v>6.7999999999999996E-3</v>
      </c>
    </row>
    <row r="305" spans="1:78">
      <c r="A305" s="19" t="s">
        <v>356</v>
      </c>
      <c r="B305" s="19">
        <v>394</v>
      </c>
      <c r="C305" s="19" t="str">
        <f t="shared" si="5"/>
        <v>CD46-m394</v>
      </c>
      <c r="D305" s="3">
        <v>100.61239999999999</v>
      </c>
    </row>
    <row r="306" spans="1:78">
      <c r="A306" s="19" t="s">
        <v>356</v>
      </c>
      <c r="B306" s="19">
        <v>396</v>
      </c>
      <c r="C306" s="19" t="str">
        <f t="shared" si="5"/>
        <v>CD46-m396</v>
      </c>
      <c r="D306" s="3">
        <v>3.6126</v>
      </c>
    </row>
    <row r="307" spans="1:78">
      <c r="A307" s="19" t="s">
        <v>356</v>
      </c>
      <c r="B307" s="19">
        <v>397</v>
      </c>
      <c r="C307" s="19" t="str">
        <f t="shared" si="5"/>
        <v>CD46-m397</v>
      </c>
      <c r="D307" s="3">
        <v>10.085800000000001</v>
      </c>
    </row>
    <row r="308" spans="1:78">
      <c r="A308" s="19" t="s">
        <v>356</v>
      </c>
      <c r="B308" s="19">
        <v>399</v>
      </c>
      <c r="C308" s="19" t="str">
        <f t="shared" si="5"/>
        <v>CD46-m399</v>
      </c>
      <c r="D308" s="3">
        <v>15.190099999999999</v>
      </c>
    </row>
    <row r="309" spans="1:78">
      <c r="A309" s="19" t="s">
        <v>356</v>
      </c>
      <c r="B309" s="19">
        <v>400</v>
      </c>
      <c r="C309" s="19" t="str">
        <f t="shared" si="5"/>
        <v>CD46-m400</v>
      </c>
      <c r="D309" s="3">
        <v>23.422000000000001</v>
      </c>
    </row>
    <row r="310" spans="1:78">
      <c r="A310" s="19" t="s">
        <v>356</v>
      </c>
      <c r="B310" s="19">
        <v>392</v>
      </c>
      <c r="C310" s="19" t="str">
        <f t="shared" si="5"/>
        <v>CD46-m392</v>
      </c>
      <c r="D310" s="3">
        <v>26.4772</v>
      </c>
    </row>
    <row r="311" spans="1:78">
      <c r="A311" s="19" t="s">
        <v>356</v>
      </c>
      <c r="B311" s="19">
        <v>402</v>
      </c>
      <c r="C311" s="19" t="str">
        <f t="shared" si="5"/>
        <v>CD46-m402</v>
      </c>
      <c r="D311" s="3">
        <v>20.7454</v>
      </c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</row>
    <row r="312" spans="1:78">
      <c r="A312" s="19" t="s">
        <v>357</v>
      </c>
      <c r="B312" s="19">
        <v>66</v>
      </c>
      <c r="C312" s="19" t="str">
        <f>_xlfn.CONCAT(A312,"-m0",B312)</f>
        <v>CD50-m066</v>
      </c>
      <c r="D312" s="3">
        <v>54.849800000000002</v>
      </c>
    </row>
    <row r="313" spans="1:78">
      <c r="A313" s="19" t="s">
        <v>357</v>
      </c>
      <c r="B313" s="19">
        <v>67</v>
      </c>
      <c r="C313" s="19" t="str">
        <f t="shared" ref="C313:C331" si="6">_xlfn.CONCAT(A313,"-m0",B313)</f>
        <v>CD50-m067</v>
      </c>
      <c r="D313" s="3">
        <v>11.476000000000001</v>
      </c>
    </row>
    <row r="314" spans="1:78">
      <c r="A314" s="19" t="s">
        <v>357</v>
      </c>
      <c r="B314" s="19">
        <v>68</v>
      </c>
      <c r="C314" s="19" t="str">
        <f t="shared" si="6"/>
        <v>CD50-m068</v>
      </c>
      <c r="D314" s="3">
        <v>39.002200000000002</v>
      </c>
    </row>
    <row r="315" spans="1:78">
      <c r="A315" s="19" t="s">
        <v>357</v>
      </c>
      <c r="B315" s="19">
        <v>69</v>
      </c>
      <c r="C315" s="19" t="str">
        <f t="shared" si="6"/>
        <v>CD50-m069</v>
      </c>
      <c r="D315" s="3">
        <v>66.062399999999997</v>
      </c>
    </row>
    <row r="316" spans="1:78">
      <c r="A316" s="19" t="s">
        <v>357</v>
      </c>
      <c r="B316" s="19">
        <v>71</v>
      </c>
      <c r="C316" s="19" t="str">
        <f t="shared" si="6"/>
        <v>CD50-m071</v>
      </c>
      <c r="D316" s="3">
        <v>48.898099999999999</v>
      </c>
    </row>
    <row r="317" spans="1:78">
      <c r="A317" s="19" t="s">
        <v>357</v>
      </c>
      <c r="B317" s="19">
        <v>72</v>
      </c>
      <c r="C317" s="19" t="str">
        <f t="shared" si="6"/>
        <v>CD50-m072</v>
      </c>
      <c r="D317" s="3">
        <v>35.896099999999997</v>
      </c>
    </row>
    <row r="318" spans="1:78">
      <c r="A318" s="19" t="s">
        <v>357</v>
      </c>
      <c r="B318" s="19">
        <v>73</v>
      </c>
      <c r="C318" s="19" t="str">
        <f t="shared" si="6"/>
        <v>CD50-m073</v>
      </c>
      <c r="D318" s="3">
        <v>76.163600000000002</v>
      </c>
    </row>
    <row r="319" spans="1:78">
      <c r="A319" s="19" t="s">
        <v>357</v>
      </c>
      <c r="B319" s="19">
        <v>74</v>
      </c>
      <c r="C319" s="19" t="str">
        <f t="shared" si="6"/>
        <v>CD50-m074</v>
      </c>
      <c r="D319" s="3">
        <v>63.350900000000003</v>
      </c>
    </row>
    <row r="320" spans="1:78">
      <c r="A320" s="19" t="s">
        <v>357</v>
      </c>
      <c r="B320" s="19">
        <v>86</v>
      </c>
      <c r="C320" s="19" t="str">
        <f t="shared" si="6"/>
        <v>CD50-m086</v>
      </c>
      <c r="D320" s="3">
        <v>62.250900000000001</v>
      </c>
    </row>
    <row r="321" spans="1:4">
      <c r="A321" s="19" t="s">
        <v>357</v>
      </c>
      <c r="B321" s="19">
        <v>87</v>
      </c>
      <c r="C321" s="19" t="str">
        <f t="shared" si="6"/>
        <v>CD50-m087</v>
      </c>
      <c r="D321" s="3">
        <v>52.539400000000001</v>
      </c>
    </row>
    <row r="322" spans="1:4">
      <c r="A322" s="19" t="s">
        <v>357</v>
      </c>
      <c r="B322" s="19">
        <v>88</v>
      </c>
      <c r="C322" s="19" t="str">
        <f t="shared" si="6"/>
        <v>CD50-m088</v>
      </c>
      <c r="D322" s="3">
        <v>60.138399999999997</v>
      </c>
    </row>
    <row r="323" spans="1:4">
      <c r="A323" s="19" t="s">
        <v>357</v>
      </c>
      <c r="B323" s="19">
        <v>89</v>
      </c>
      <c r="C323" s="19" t="str">
        <f t="shared" si="6"/>
        <v>CD50-m089</v>
      </c>
      <c r="D323" s="3">
        <v>60.665399999999998</v>
      </c>
    </row>
    <row r="324" spans="1:4">
      <c r="A324" s="19" t="s">
        <v>357</v>
      </c>
      <c r="B324" s="19">
        <v>90</v>
      </c>
      <c r="C324" s="19" t="str">
        <f t="shared" si="6"/>
        <v>CD50-m090</v>
      </c>
      <c r="D324" s="3">
        <v>49.027000000000001</v>
      </c>
    </row>
    <row r="325" spans="1:4">
      <c r="A325" s="19" t="s">
        <v>357</v>
      </c>
      <c r="B325" s="19">
        <v>91</v>
      </c>
      <c r="C325" s="19" t="str">
        <f t="shared" si="6"/>
        <v>CD50-m091</v>
      </c>
      <c r="D325" s="3">
        <v>57.704999999999998</v>
      </c>
    </row>
    <row r="326" spans="1:4">
      <c r="A326" s="19" t="s">
        <v>357</v>
      </c>
      <c r="B326" s="19">
        <v>92</v>
      </c>
      <c r="C326" s="19" t="str">
        <f t="shared" si="6"/>
        <v>CD50-m092</v>
      </c>
      <c r="D326" s="3">
        <v>63.851100000000002</v>
      </c>
    </row>
    <row r="327" spans="1:4">
      <c r="A327" s="19" t="s">
        <v>357</v>
      </c>
      <c r="B327" s="19">
        <v>93</v>
      </c>
      <c r="C327" s="19" t="str">
        <f t="shared" si="6"/>
        <v>CD50-m093</v>
      </c>
      <c r="D327" s="3">
        <v>39.186500000000002</v>
      </c>
    </row>
    <row r="328" spans="1:4">
      <c r="A328" s="19" t="s">
        <v>357</v>
      </c>
      <c r="B328" s="19">
        <v>95</v>
      </c>
      <c r="C328" s="19" t="str">
        <f t="shared" si="6"/>
        <v>CD50-m095</v>
      </c>
      <c r="D328" s="3">
        <v>71.453500000000005</v>
      </c>
    </row>
    <row r="329" spans="1:4">
      <c r="A329" s="19" t="s">
        <v>357</v>
      </c>
      <c r="B329" s="19">
        <v>97</v>
      </c>
      <c r="C329" s="19" t="str">
        <f t="shared" si="6"/>
        <v>CD50-m097</v>
      </c>
      <c r="D329" s="3">
        <v>73.357399999999998</v>
      </c>
    </row>
    <row r="330" spans="1:4">
      <c r="A330" s="19" t="s">
        <v>357</v>
      </c>
      <c r="B330" s="19">
        <v>98</v>
      </c>
      <c r="C330" s="19" t="str">
        <f t="shared" si="6"/>
        <v>CD50-m098</v>
      </c>
      <c r="D330" s="3">
        <v>39.125799999999998</v>
      </c>
    </row>
    <row r="331" spans="1:4">
      <c r="A331" s="19" t="s">
        <v>357</v>
      </c>
      <c r="B331" s="19">
        <v>99</v>
      </c>
      <c r="C331" s="19" t="str">
        <f t="shared" si="6"/>
        <v>CD50-m099</v>
      </c>
      <c r="D331" s="3">
        <v>41.640500000000003</v>
      </c>
    </row>
    <row r="332" spans="1:4">
      <c r="A332" s="19" t="s">
        <v>357</v>
      </c>
      <c r="B332" s="19">
        <v>100</v>
      </c>
      <c r="C332" s="19" t="str">
        <f t="shared" si="5"/>
        <v>CD50-m100</v>
      </c>
      <c r="D332" s="3">
        <v>45.808399999999999</v>
      </c>
    </row>
    <row r="333" spans="1:4">
      <c r="A333" s="19" t="s">
        <v>357</v>
      </c>
      <c r="B333" s="19">
        <v>108</v>
      </c>
      <c r="C333" s="19" t="str">
        <f t="shared" si="5"/>
        <v>CD50-m108</v>
      </c>
      <c r="D333" s="3">
        <v>31.6829</v>
      </c>
    </row>
    <row r="334" spans="1:4">
      <c r="A334" s="19" t="s">
        <v>357</v>
      </c>
      <c r="B334" s="19">
        <v>109</v>
      </c>
      <c r="C334" s="19" t="str">
        <f t="shared" si="5"/>
        <v>CD50-m109</v>
      </c>
      <c r="D334" s="3">
        <v>43.685899999999997</v>
      </c>
    </row>
    <row r="335" spans="1:4">
      <c r="A335" s="19" t="s">
        <v>357</v>
      </c>
      <c r="B335" s="19">
        <v>110</v>
      </c>
      <c r="C335" s="19" t="str">
        <f t="shared" si="5"/>
        <v>CD50-m110</v>
      </c>
      <c r="D335" s="3">
        <v>59.841700000000003</v>
      </c>
    </row>
    <row r="336" spans="1:4">
      <c r="A336" s="19" t="s">
        <v>357</v>
      </c>
      <c r="B336" s="19">
        <v>112</v>
      </c>
      <c r="C336" s="19" t="str">
        <f t="shared" si="5"/>
        <v>CD50-m112</v>
      </c>
      <c r="D336" s="3">
        <v>43.833599999999997</v>
      </c>
    </row>
    <row r="337" spans="1:4">
      <c r="A337" s="19" t="s">
        <v>357</v>
      </c>
      <c r="B337" s="19">
        <v>126</v>
      </c>
      <c r="C337" s="19" t="str">
        <f t="shared" si="5"/>
        <v>CD50-m126</v>
      </c>
      <c r="D337" s="3">
        <v>44.8705</v>
      </c>
    </row>
    <row r="338" spans="1:4">
      <c r="A338" s="19" t="s">
        <v>357</v>
      </c>
      <c r="B338" s="19">
        <v>113</v>
      </c>
      <c r="C338" s="19" t="str">
        <f t="shared" si="5"/>
        <v>CD50-m113</v>
      </c>
      <c r="D338" s="3">
        <v>56.292400000000001</v>
      </c>
    </row>
    <row r="339" spans="1:4">
      <c r="A339" s="19" t="s">
        <v>357</v>
      </c>
      <c r="B339" s="19">
        <v>114</v>
      </c>
      <c r="C339" s="19" t="str">
        <f t="shared" si="5"/>
        <v>CD50-m114</v>
      </c>
      <c r="D339" s="3">
        <v>22.038900000000002</v>
      </c>
    </row>
    <row r="340" spans="1:4">
      <c r="A340" s="19" t="s">
        <v>357</v>
      </c>
      <c r="B340" s="19">
        <v>115</v>
      </c>
      <c r="C340" s="19" t="str">
        <f t="shared" si="5"/>
        <v>CD50-m115</v>
      </c>
      <c r="D340" s="3">
        <v>24.993600000000001</v>
      </c>
    </row>
    <row r="341" spans="1:4">
      <c r="A341" s="19" t="s">
        <v>357</v>
      </c>
      <c r="B341" s="19">
        <v>116</v>
      </c>
      <c r="C341" s="19" t="str">
        <f t="shared" si="5"/>
        <v>CD50-m116</v>
      </c>
      <c r="D341" s="3">
        <v>54.431600000000003</v>
      </c>
    </row>
    <row r="342" spans="1:4">
      <c r="A342" s="19" t="s">
        <v>357</v>
      </c>
      <c r="B342" s="19">
        <v>117</v>
      </c>
      <c r="C342" s="19" t="str">
        <f t="shared" si="5"/>
        <v>CD50-m117</v>
      </c>
      <c r="D342" s="3">
        <v>28.9983</v>
      </c>
    </row>
    <row r="343" spans="1:4">
      <c r="A343" s="19" t="s">
        <v>357</v>
      </c>
      <c r="B343" s="19">
        <v>118</v>
      </c>
      <c r="C343" s="19" t="str">
        <f t="shared" si="5"/>
        <v>CD50-m118</v>
      </c>
      <c r="D343" s="3">
        <v>15.816000000000001</v>
      </c>
    </row>
    <row r="344" spans="1:4">
      <c r="A344" s="19" t="s">
        <v>357</v>
      </c>
      <c r="B344" s="19">
        <v>119</v>
      </c>
      <c r="C344" s="19" t="str">
        <f t="shared" si="5"/>
        <v>CD50-m119</v>
      </c>
      <c r="D344" s="3">
        <v>27.656199999999998</v>
      </c>
    </row>
    <row r="345" spans="1:4">
      <c r="A345" s="19" t="s">
        <v>357</v>
      </c>
      <c r="B345" s="19">
        <v>120</v>
      </c>
      <c r="C345" s="19" t="str">
        <f t="shared" si="5"/>
        <v>CD50-m120</v>
      </c>
      <c r="D345" s="3">
        <v>46.297199999999997</v>
      </c>
    </row>
    <row r="346" spans="1:4">
      <c r="A346" s="19" t="s">
        <v>357</v>
      </c>
      <c r="B346" s="19">
        <v>122</v>
      </c>
      <c r="C346" s="19" t="str">
        <f t="shared" si="5"/>
        <v>CD50-m122</v>
      </c>
      <c r="D346" s="3">
        <v>50.125500000000002</v>
      </c>
    </row>
    <row r="347" spans="1:4">
      <c r="A347" s="19" t="s">
        <v>357</v>
      </c>
      <c r="B347" s="19">
        <v>130</v>
      </c>
      <c r="C347" s="19" t="str">
        <f t="shared" si="5"/>
        <v>CD50-m130</v>
      </c>
      <c r="D347" s="3">
        <v>75.0655</v>
      </c>
    </row>
    <row r="348" spans="1:4">
      <c r="A348" s="19" t="s">
        <v>357</v>
      </c>
      <c r="B348" s="19">
        <v>131</v>
      </c>
      <c r="C348" s="19" t="str">
        <f t="shared" si="5"/>
        <v>CD50-m131</v>
      </c>
      <c r="D348" s="3">
        <v>21.203199999999999</v>
      </c>
    </row>
    <row r="349" spans="1:4">
      <c r="A349" s="19" t="s">
        <v>357</v>
      </c>
      <c r="B349" s="19">
        <v>133</v>
      </c>
      <c r="C349" s="19" t="str">
        <f t="shared" si="5"/>
        <v>CD50-m133</v>
      </c>
      <c r="D349" s="3">
        <v>47.284500000000001</v>
      </c>
    </row>
    <row r="350" spans="1:4">
      <c r="A350" s="19" t="s">
        <v>357</v>
      </c>
      <c r="B350" s="19">
        <v>134</v>
      </c>
      <c r="C350" s="19" t="str">
        <f t="shared" si="5"/>
        <v>CD50-m134</v>
      </c>
      <c r="D350" s="3">
        <v>41.203600000000002</v>
      </c>
    </row>
    <row r="351" spans="1:4">
      <c r="A351" s="19" t="s">
        <v>357</v>
      </c>
      <c r="B351" s="19">
        <v>135</v>
      </c>
      <c r="C351" s="19" t="str">
        <f t="shared" si="5"/>
        <v>CD50-m135</v>
      </c>
      <c r="D351" s="3">
        <v>29.652999999999999</v>
      </c>
    </row>
    <row r="352" spans="1:4">
      <c r="A352" s="19" t="s">
        <v>357</v>
      </c>
      <c r="B352" s="19">
        <v>136</v>
      </c>
      <c r="C352" s="19" t="str">
        <f t="shared" si="5"/>
        <v>CD50-m136</v>
      </c>
      <c r="D352" s="3">
        <v>66.373800000000003</v>
      </c>
    </row>
    <row r="353" spans="1:4">
      <c r="A353" s="19" t="s">
        <v>357</v>
      </c>
      <c r="B353" s="19">
        <v>137</v>
      </c>
      <c r="C353" s="19" t="str">
        <f t="shared" si="5"/>
        <v>CD50-m137</v>
      </c>
      <c r="D353" s="3">
        <v>46.688299999999998</v>
      </c>
    </row>
    <row r="354" spans="1:4">
      <c r="A354" s="19" t="s">
        <v>357</v>
      </c>
      <c r="B354" s="19">
        <v>138</v>
      </c>
      <c r="C354" s="19" t="str">
        <f t="shared" si="5"/>
        <v>CD50-m138</v>
      </c>
      <c r="D354" s="3">
        <v>8.7096999999999998</v>
      </c>
    </row>
    <row r="355" spans="1:4">
      <c r="A355" s="19" t="s">
        <v>357</v>
      </c>
      <c r="B355" s="19">
        <v>139</v>
      </c>
      <c r="C355" s="19" t="str">
        <f t="shared" si="5"/>
        <v>CD50-m139</v>
      </c>
      <c r="D355" s="3">
        <v>68.3917</v>
      </c>
    </row>
    <row r="356" spans="1:4">
      <c r="A356" s="19" t="s">
        <v>357</v>
      </c>
      <c r="B356" s="19">
        <v>147</v>
      </c>
      <c r="C356" s="19" t="str">
        <f t="shared" si="5"/>
        <v>CD50-m147</v>
      </c>
      <c r="D356" s="3">
        <v>59.307099999999998</v>
      </c>
    </row>
    <row r="357" spans="1:4">
      <c r="A357" s="19" t="s">
        <v>357</v>
      </c>
      <c r="B357" s="19">
        <v>148</v>
      </c>
      <c r="C357" s="19" t="str">
        <f t="shared" si="5"/>
        <v>CD50-m148</v>
      </c>
      <c r="D357" s="3">
        <v>0.4597</v>
      </c>
    </row>
    <row r="358" spans="1:4">
      <c r="A358" s="19" t="s">
        <v>357</v>
      </c>
      <c r="B358" s="19">
        <v>149</v>
      </c>
      <c r="C358" s="19" t="str">
        <f t="shared" si="5"/>
        <v>CD50-m149</v>
      </c>
      <c r="D358" s="3">
        <v>53.820399999999999</v>
      </c>
    </row>
    <row r="359" spans="1:4">
      <c r="A359" s="19" t="s">
        <v>357</v>
      </c>
      <c r="B359" s="19">
        <v>150</v>
      </c>
      <c r="C359" s="19" t="str">
        <f t="shared" si="5"/>
        <v>CD50-m150</v>
      </c>
      <c r="D359" s="3">
        <v>45.237000000000002</v>
      </c>
    </row>
    <row r="360" spans="1:4">
      <c r="A360" s="19" t="s">
        <v>357</v>
      </c>
      <c r="B360" s="19">
        <v>151</v>
      </c>
      <c r="C360" s="19" t="str">
        <f t="shared" si="5"/>
        <v>CD50-m151</v>
      </c>
      <c r="D360" s="3">
        <v>64.163600000000002</v>
      </c>
    </row>
    <row r="361" spans="1:4">
      <c r="A361" s="19" t="s">
        <v>357</v>
      </c>
      <c r="B361" s="19">
        <v>152</v>
      </c>
      <c r="C361" s="19" t="str">
        <f t="shared" si="5"/>
        <v>CD50-m152</v>
      </c>
      <c r="D361" s="3">
        <v>65.427400000000006</v>
      </c>
    </row>
    <row r="362" spans="1:4">
      <c r="A362" s="19" t="s">
        <v>357</v>
      </c>
      <c r="B362" s="19">
        <v>153</v>
      </c>
      <c r="C362" s="19" t="str">
        <f t="shared" si="5"/>
        <v>CD50-m153</v>
      </c>
      <c r="D362" s="3">
        <v>49.408299999999997</v>
      </c>
    </row>
    <row r="363" spans="1:4">
      <c r="A363" s="19" t="s">
        <v>357</v>
      </c>
      <c r="B363" s="19">
        <v>154</v>
      </c>
      <c r="C363" s="19" t="str">
        <f t="shared" si="5"/>
        <v>CD50-m154</v>
      </c>
      <c r="D363" s="3">
        <v>55.127400000000002</v>
      </c>
    </row>
    <row r="364" spans="1:4">
      <c r="A364" s="19" t="s">
        <v>357</v>
      </c>
      <c r="B364" s="19">
        <v>155</v>
      </c>
      <c r="C364" s="19" t="str">
        <f t="shared" ref="C364:C427" si="7">_xlfn.CONCAT(A364,"-m",B364)</f>
        <v>CD50-m155</v>
      </c>
      <c r="D364" s="3">
        <v>82.4405</v>
      </c>
    </row>
    <row r="365" spans="1:4">
      <c r="A365" s="19" t="s">
        <v>357</v>
      </c>
      <c r="B365" s="19">
        <v>156</v>
      </c>
      <c r="C365" s="19" t="str">
        <f t="shared" si="7"/>
        <v>CD50-m156</v>
      </c>
      <c r="D365" s="3">
        <v>49.260100000000001</v>
      </c>
    </row>
    <row r="366" spans="1:4">
      <c r="A366" s="19" t="s">
        <v>357</v>
      </c>
      <c r="B366" s="19">
        <v>161</v>
      </c>
      <c r="C366" s="19" t="str">
        <f t="shared" si="7"/>
        <v>CD50-m161</v>
      </c>
      <c r="D366" s="3">
        <v>72.207400000000007</v>
      </c>
    </row>
    <row r="367" spans="1:4">
      <c r="A367" s="19" t="s">
        <v>357</v>
      </c>
      <c r="B367" s="19">
        <v>163</v>
      </c>
      <c r="C367" s="19" t="str">
        <f t="shared" si="7"/>
        <v>CD50-m163</v>
      </c>
      <c r="D367" s="3">
        <v>66.601600000000005</v>
      </c>
    </row>
    <row r="368" spans="1:4">
      <c r="A368" s="19" t="s">
        <v>357</v>
      </c>
      <c r="B368" s="19">
        <v>166</v>
      </c>
      <c r="C368" s="19" t="str">
        <f t="shared" si="7"/>
        <v>CD50-m166</v>
      </c>
      <c r="D368" s="3">
        <v>81.611900000000006</v>
      </c>
    </row>
    <row r="369" spans="1:4">
      <c r="A369" s="19" t="s">
        <v>357</v>
      </c>
      <c r="B369" s="19">
        <v>167</v>
      </c>
      <c r="C369" s="19" t="str">
        <f t="shared" si="7"/>
        <v>CD50-m167</v>
      </c>
      <c r="D369" s="3">
        <v>59.385199999999998</v>
      </c>
    </row>
    <row r="370" spans="1:4">
      <c r="A370" s="19" t="s">
        <v>357</v>
      </c>
      <c r="B370" s="19">
        <v>168</v>
      </c>
      <c r="C370" s="19" t="str">
        <f t="shared" si="7"/>
        <v>CD50-m168</v>
      </c>
      <c r="D370" s="3">
        <v>69.786600000000007</v>
      </c>
    </row>
    <row r="371" spans="1:4">
      <c r="A371" s="19" t="s">
        <v>357</v>
      </c>
      <c r="B371" s="19">
        <v>169</v>
      </c>
      <c r="C371" s="19" t="str">
        <f t="shared" si="7"/>
        <v>CD50-m169</v>
      </c>
      <c r="D371" s="3">
        <v>71.588899999999995</v>
      </c>
    </row>
    <row r="372" spans="1:4">
      <c r="A372" s="19" t="s">
        <v>357</v>
      </c>
      <c r="B372" s="19">
        <v>170</v>
      </c>
      <c r="C372" s="19" t="str">
        <f t="shared" si="7"/>
        <v>CD50-m170</v>
      </c>
      <c r="D372" s="3">
        <v>48.267899999999997</v>
      </c>
    </row>
    <row r="373" spans="1:4">
      <c r="A373" s="19" t="s">
        <v>357</v>
      </c>
      <c r="B373" s="19">
        <v>172</v>
      </c>
      <c r="C373" s="19" t="str">
        <f t="shared" si="7"/>
        <v>CD50-m172</v>
      </c>
      <c r="D373" s="3">
        <v>87.125699999999995</v>
      </c>
    </row>
    <row r="374" spans="1:4">
      <c r="A374" s="19" t="s">
        <v>357</v>
      </c>
      <c r="B374" s="19">
        <v>175</v>
      </c>
      <c r="C374" s="19" t="str">
        <f t="shared" si="7"/>
        <v>CD50-m175</v>
      </c>
      <c r="D374" s="3">
        <v>74.036299999999997</v>
      </c>
    </row>
    <row r="375" spans="1:4">
      <c r="A375" s="19" t="s">
        <v>357</v>
      </c>
      <c r="B375" s="19">
        <v>176</v>
      </c>
      <c r="C375" s="19" t="str">
        <f t="shared" si="7"/>
        <v>CD50-m176</v>
      </c>
      <c r="D375" s="3">
        <v>46.3611</v>
      </c>
    </row>
    <row r="376" spans="1:4">
      <c r="A376" s="19" t="s">
        <v>357</v>
      </c>
      <c r="B376" s="19">
        <v>181</v>
      </c>
      <c r="C376" s="19" t="str">
        <f t="shared" si="7"/>
        <v>CD50-m181</v>
      </c>
      <c r="D376" s="3">
        <v>57.919400000000003</v>
      </c>
    </row>
    <row r="377" spans="1:4">
      <c r="A377" s="19" t="s">
        <v>357</v>
      </c>
      <c r="B377" s="19">
        <v>183</v>
      </c>
      <c r="C377" s="19" t="str">
        <f t="shared" si="7"/>
        <v>CD50-m183</v>
      </c>
      <c r="D377" s="3">
        <v>43.238199999999999</v>
      </c>
    </row>
    <row r="378" spans="1:4">
      <c r="A378" s="19" t="s">
        <v>357</v>
      </c>
      <c r="B378" s="19">
        <v>184</v>
      </c>
      <c r="C378" s="19" t="str">
        <f t="shared" si="7"/>
        <v>CD50-m184</v>
      </c>
      <c r="D378" s="3">
        <v>55.787500000000001</v>
      </c>
    </row>
    <row r="379" spans="1:4">
      <c r="A379" s="19" t="s">
        <v>357</v>
      </c>
      <c r="B379" s="19">
        <v>185</v>
      </c>
      <c r="C379" s="19" t="str">
        <f t="shared" si="7"/>
        <v>CD50-m185</v>
      </c>
      <c r="D379" s="3">
        <v>62.9206</v>
      </c>
    </row>
    <row r="380" spans="1:4">
      <c r="A380" s="19" t="s">
        <v>357</v>
      </c>
      <c r="B380" s="19">
        <v>186</v>
      </c>
      <c r="C380" s="19" t="str">
        <f t="shared" si="7"/>
        <v>CD50-m186</v>
      </c>
      <c r="D380" s="3">
        <v>48.907800000000002</v>
      </c>
    </row>
    <row r="381" spans="1:4">
      <c r="A381" s="19" t="s">
        <v>357</v>
      </c>
      <c r="B381" s="19">
        <v>187</v>
      </c>
      <c r="C381" s="19" t="str">
        <f t="shared" si="7"/>
        <v>CD50-m187</v>
      </c>
      <c r="D381" s="3">
        <v>67.391599999999997</v>
      </c>
    </row>
    <row r="382" spans="1:4">
      <c r="A382" s="19" t="s">
        <v>357</v>
      </c>
      <c r="B382" s="19">
        <v>188</v>
      </c>
      <c r="C382" s="19" t="str">
        <f t="shared" si="7"/>
        <v>CD50-m188</v>
      </c>
      <c r="D382" s="3">
        <v>67.866500000000002</v>
      </c>
    </row>
    <row r="383" spans="1:4">
      <c r="A383" s="19" t="s">
        <v>357</v>
      </c>
      <c r="B383" s="19">
        <v>189</v>
      </c>
      <c r="C383" s="19" t="str">
        <f t="shared" si="7"/>
        <v>CD50-m189</v>
      </c>
      <c r="D383" s="3">
        <v>46.440300000000001</v>
      </c>
    </row>
    <row r="384" spans="1:4">
      <c r="A384" s="19" t="s">
        <v>357</v>
      </c>
      <c r="B384" s="19">
        <v>190</v>
      </c>
      <c r="C384" s="19" t="str">
        <f t="shared" si="7"/>
        <v>CD50-m190</v>
      </c>
      <c r="D384" s="3">
        <v>46.499299999999998</v>
      </c>
    </row>
    <row r="385" spans="1:83">
      <c r="A385" s="19" t="s">
        <v>357</v>
      </c>
      <c r="B385" s="19">
        <v>191</v>
      </c>
      <c r="C385" s="19" t="str">
        <f t="shared" si="7"/>
        <v>CD50-m191</v>
      </c>
      <c r="D385" s="3">
        <v>78.524799999999999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</row>
    <row r="386" spans="1:83">
      <c r="A386" s="19" t="s">
        <v>358</v>
      </c>
      <c r="B386" s="19">
        <v>653</v>
      </c>
      <c r="C386" s="19" t="str">
        <f t="shared" si="7"/>
        <v>CD56-m653</v>
      </c>
      <c r="D386" s="3">
        <v>38.501100000000001</v>
      </c>
    </row>
    <row r="387" spans="1:83">
      <c r="A387" s="19" t="s">
        <v>358</v>
      </c>
      <c r="B387" s="19">
        <v>673</v>
      </c>
      <c r="C387" s="19" t="str">
        <f t="shared" si="7"/>
        <v>CD56-m673</v>
      </c>
      <c r="D387" s="3">
        <v>48.312800000000003</v>
      </c>
    </row>
    <row r="388" spans="1:83">
      <c r="A388" s="19" t="s">
        <v>358</v>
      </c>
      <c r="B388" s="19">
        <v>675</v>
      </c>
      <c r="C388" s="19" t="str">
        <f t="shared" si="7"/>
        <v>CD56-m675</v>
      </c>
      <c r="D388" s="3">
        <v>36.746600000000001</v>
      </c>
    </row>
    <row r="389" spans="1:83">
      <c r="A389" s="19" t="s">
        <v>358</v>
      </c>
      <c r="B389" s="19">
        <v>670</v>
      </c>
      <c r="C389" s="19" t="str">
        <f t="shared" si="7"/>
        <v>CD56-m670</v>
      </c>
      <c r="D389" s="3">
        <v>31.552800000000001</v>
      </c>
    </row>
    <row r="390" spans="1:83">
      <c r="A390" s="19" t="s">
        <v>358</v>
      </c>
      <c r="B390" s="19">
        <v>671</v>
      </c>
      <c r="C390" s="19" t="str">
        <f t="shared" si="7"/>
        <v>CD56-m671</v>
      </c>
      <c r="D390" s="3">
        <v>33.646299999999997</v>
      </c>
    </row>
    <row r="391" spans="1:83">
      <c r="A391" s="19" t="s">
        <v>358</v>
      </c>
      <c r="B391" s="19">
        <v>678</v>
      </c>
      <c r="C391" s="19" t="str">
        <f t="shared" si="7"/>
        <v>CD56-m678</v>
      </c>
      <c r="D391" s="3">
        <v>21.9693</v>
      </c>
    </row>
    <row r="392" spans="1:83">
      <c r="A392" s="19" t="s">
        <v>358</v>
      </c>
      <c r="B392" s="19">
        <v>703</v>
      </c>
      <c r="C392" s="19" t="str">
        <f t="shared" si="7"/>
        <v>CD56-m703</v>
      </c>
      <c r="D392" s="3">
        <v>5.9188000000000001</v>
      </c>
    </row>
    <row r="393" spans="1:83">
      <c r="A393" s="19" t="s">
        <v>358</v>
      </c>
      <c r="B393" s="19">
        <v>704</v>
      </c>
      <c r="C393" s="19" t="str">
        <f t="shared" si="7"/>
        <v>CD56-m704</v>
      </c>
      <c r="D393" s="3">
        <v>3.9824000000000002</v>
      </c>
    </row>
    <row r="394" spans="1:83">
      <c r="A394" s="19" t="s">
        <v>358</v>
      </c>
      <c r="B394" s="19">
        <v>705</v>
      </c>
      <c r="C394" s="19" t="str">
        <f t="shared" si="7"/>
        <v>CD56-m705</v>
      </c>
      <c r="D394" s="3">
        <v>1.0686</v>
      </c>
    </row>
    <row r="395" spans="1:83">
      <c r="A395" s="19" t="s">
        <v>358</v>
      </c>
      <c r="B395" s="19">
        <v>706</v>
      </c>
      <c r="C395" s="19" t="str">
        <f t="shared" si="7"/>
        <v>CD56-m706</v>
      </c>
      <c r="D395" s="3">
        <v>12.155099999999999</v>
      </c>
    </row>
    <row r="396" spans="1:83">
      <c r="A396" s="19" t="s">
        <v>358</v>
      </c>
      <c r="B396" s="19">
        <v>707</v>
      </c>
      <c r="C396" s="19" t="str">
        <f t="shared" si="7"/>
        <v>CD56-m707</v>
      </c>
      <c r="D396" s="3">
        <v>2.9773999999999998</v>
      </c>
    </row>
    <row r="397" spans="1:83">
      <c r="A397" s="19" t="s">
        <v>358</v>
      </c>
      <c r="B397" s="19">
        <v>708</v>
      </c>
      <c r="C397" s="19" t="str">
        <f t="shared" si="7"/>
        <v>CD56-m708</v>
      </c>
      <c r="D397" s="3">
        <v>27.469000000000001</v>
      </c>
    </row>
    <row r="398" spans="1:83">
      <c r="A398" s="19" t="s">
        <v>358</v>
      </c>
      <c r="B398" s="19">
        <v>709</v>
      </c>
      <c r="C398" s="19" t="str">
        <f t="shared" si="7"/>
        <v>CD56-m709</v>
      </c>
      <c r="D398" s="3">
        <v>20.896699999999999</v>
      </c>
    </row>
    <row r="399" spans="1:83">
      <c r="A399" s="19" t="s">
        <v>358</v>
      </c>
      <c r="B399" s="19">
        <v>710</v>
      </c>
      <c r="C399" s="19" t="str">
        <f t="shared" si="7"/>
        <v>CD56-m710</v>
      </c>
      <c r="D399" s="3">
        <v>25.903099999999998</v>
      </c>
    </row>
    <row r="400" spans="1:83">
      <c r="A400" s="19" t="s">
        <v>358</v>
      </c>
      <c r="B400" s="19">
        <v>711</v>
      </c>
      <c r="C400" s="19" t="str">
        <f t="shared" si="7"/>
        <v>CD56-m711</v>
      </c>
      <c r="D400" s="3">
        <v>28.487400000000001</v>
      </c>
    </row>
    <row r="401" spans="1:4">
      <c r="A401" s="19" t="s">
        <v>358</v>
      </c>
      <c r="B401" s="19">
        <v>712</v>
      </c>
      <c r="C401" s="19" t="str">
        <f t="shared" si="7"/>
        <v>CD56-m712</v>
      </c>
      <c r="D401" s="3">
        <v>15.769500000000001</v>
      </c>
    </row>
    <row r="402" spans="1:4">
      <c r="A402" s="19" t="s">
        <v>358</v>
      </c>
      <c r="B402" s="19">
        <v>713</v>
      </c>
      <c r="C402" s="19" t="str">
        <f t="shared" si="7"/>
        <v>CD56-m713</v>
      </c>
      <c r="D402" s="3">
        <v>13.289099999999999</v>
      </c>
    </row>
    <row r="403" spans="1:4">
      <c r="A403" s="19" t="s">
        <v>358</v>
      </c>
      <c r="B403" s="19">
        <v>602</v>
      </c>
      <c r="C403" s="19" t="str">
        <f t="shared" si="7"/>
        <v>CD56-m602</v>
      </c>
      <c r="D403" s="3">
        <v>30.302600000000002</v>
      </c>
    </row>
    <row r="404" spans="1:4">
      <c r="A404" s="19" t="s">
        <v>358</v>
      </c>
      <c r="B404" s="19">
        <v>604</v>
      </c>
      <c r="C404" s="19" t="str">
        <f t="shared" si="7"/>
        <v>CD56-m604</v>
      </c>
      <c r="D404" s="3">
        <v>10.1777</v>
      </c>
    </row>
    <row r="405" spans="1:4">
      <c r="A405" s="19" t="s">
        <v>358</v>
      </c>
      <c r="B405" s="19">
        <v>610</v>
      </c>
      <c r="C405" s="19" t="str">
        <f t="shared" si="7"/>
        <v>CD56-m610</v>
      </c>
      <c r="D405" s="3">
        <v>4.3737000000000004</v>
      </c>
    </row>
    <row r="406" spans="1:4">
      <c r="A406" s="19" t="s">
        <v>358</v>
      </c>
      <c r="B406" s="19">
        <v>595</v>
      </c>
      <c r="C406" s="19" t="str">
        <f t="shared" si="7"/>
        <v>CD56-m595</v>
      </c>
      <c r="D406" s="3">
        <v>19.374700000000001</v>
      </c>
    </row>
    <row r="407" spans="1:4">
      <c r="A407" s="19" t="s">
        <v>358</v>
      </c>
      <c r="B407" s="19">
        <v>598</v>
      </c>
      <c r="C407" s="19" t="str">
        <f t="shared" si="7"/>
        <v>CD56-m598</v>
      </c>
      <c r="D407" s="3">
        <v>21.534700000000001</v>
      </c>
    </row>
    <row r="408" spans="1:4">
      <c r="A408" s="19" t="s">
        <v>358</v>
      </c>
      <c r="B408" s="19">
        <v>608</v>
      </c>
      <c r="C408" s="19" t="str">
        <f t="shared" si="7"/>
        <v>CD56-m608</v>
      </c>
      <c r="D408" s="3">
        <v>25.108499999999999</v>
      </c>
    </row>
    <row r="409" spans="1:4">
      <c r="A409" s="19" t="s">
        <v>358</v>
      </c>
      <c r="B409" s="19">
        <v>644</v>
      </c>
      <c r="C409" s="19" t="str">
        <f t="shared" si="7"/>
        <v>CD56-m644</v>
      </c>
      <c r="D409" s="3">
        <v>23.552299999999999</v>
      </c>
    </row>
    <row r="410" spans="1:4">
      <c r="A410" s="19" t="s">
        <v>358</v>
      </c>
      <c r="B410" s="19">
        <v>662</v>
      </c>
      <c r="C410" s="19" t="str">
        <f t="shared" si="7"/>
        <v>CD56-m662</v>
      </c>
      <c r="D410" s="3">
        <v>27.979600000000001</v>
      </c>
    </row>
    <row r="411" spans="1:4">
      <c r="A411" s="19" t="s">
        <v>358</v>
      </c>
      <c r="B411" s="19">
        <v>663</v>
      </c>
      <c r="C411" s="19" t="str">
        <f t="shared" si="7"/>
        <v>CD56-m663</v>
      </c>
      <c r="D411" s="3">
        <v>29.908799999999999</v>
      </c>
    </row>
    <row r="412" spans="1:4">
      <c r="A412" s="19" t="s">
        <v>358</v>
      </c>
      <c r="B412" s="19">
        <v>672</v>
      </c>
      <c r="C412" s="19" t="str">
        <f t="shared" si="7"/>
        <v>CD56-m672</v>
      </c>
      <c r="D412" s="3">
        <v>9.7940000000000005</v>
      </c>
    </row>
    <row r="413" spans="1:4">
      <c r="A413" s="19" t="s">
        <v>358</v>
      </c>
      <c r="B413" s="19">
        <v>624</v>
      </c>
      <c r="C413" s="19" t="str">
        <f t="shared" si="7"/>
        <v>CD56-m624</v>
      </c>
      <c r="D413" s="3">
        <v>10.642899999999999</v>
      </c>
    </row>
    <row r="414" spans="1:4">
      <c r="A414" s="19" t="s">
        <v>358</v>
      </c>
      <c r="B414" s="19">
        <v>633</v>
      </c>
      <c r="C414" s="19" t="str">
        <f t="shared" si="7"/>
        <v>CD56-m633</v>
      </c>
      <c r="D414" s="3">
        <v>13.1213</v>
      </c>
    </row>
    <row r="415" spans="1:4">
      <c r="A415" s="19" t="s">
        <v>358</v>
      </c>
      <c r="B415" s="19">
        <v>636</v>
      </c>
      <c r="C415" s="19" t="str">
        <f t="shared" si="7"/>
        <v>CD56-m636</v>
      </c>
      <c r="D415" s="3">
        <v>8.9220000000000006</v>
      </c>
    </row>
    <row r="416" spans="1:4">
      <c r="A416" s="19" t="s">
        <v>358</v>
      </c>
      <c r="B416" s="19">
        <v>664</v>
      </c>
      <c r="C416" s="19" t="str">
        <f t="shared" si="7"/>
        <v>CD56-m664</v>
      </c>
      <c r="D416" s="3">
        <v>26.4512</v>
      </c>
    </row>
    <row r="417" spans="1:4">
      <c r="A417" s="19" t="s">
        <v>358</v>
      </c>
      <c r="B417" s="19">
        <v>681</v>
      </c>
      <c r="C417" s="19" t="str">
        <f t="shared" si="7"/>
        <v>CD56-m681</v>
      </c>
      <c r="D417" s="3">
        <v>29.191299999999998</v>
      </c>
    </row>
    <row r="418" spans="1:4">
      <c r="A418" s="19" t="s">
        <v>358</v>
      </c>
      <c r="B418" s="19">
        <v>682</v>
      </c>
      <c r="C418" s="19" t="str">
        <f t="shared" si="7"/>
        <v>CD56-m682</v>
      </c>
      <c r="D418" s="3">
        <v>23.741</v>
      </c>
    </row>
    <row r="419" spans="1:4">
      <c r="A419" s="19" t="s">
        <v>358</v>
      </c>
      <c r="B419" s="19">
        <v>683</v>
      </c>
      <c r="C419" s="19" t="str">
        <f t="shared" si="7"/>
        <v>CD56-m683</v>
      </c>
      <c r="D419" s="3">
        <v>3.0125000000000002</v>
      </c>
    </row>
    <row r="420" spans="1:4">
      <c r="A420" s="19" t="s">
        <v>358</v>
      </c>
      <c r="B420" s="19">
        <v>684</v>
      </c>
      <c r="C420" s="19" t="str">
        <f t="shared" si="7"/>
        <v>CD56-m684</v>
      </c>
      <c r="D420" s="3">
        <v>1.6817</v>
      </c>
    </row>
    <row r="421" spans="1:4">
      <c r="A421" s="19" t="s">
        <v>358</v>
      </c>
      <c r="B421" s="19">
        <v>685</v>
      </c>
      <c r="C421" s="19" t="str">
        <f t="shared" si="7"/>
        <v>CD56-m685</v>
      </c>
      <c r="D421" s="3">
        <v>5.1128999999999998</v>
      </c>
    </row>
    <row r="422" spans="1:4">
      <c r="A422" s="19" t="s">
        <v>358</v>
      </c>
      <c r="B422" s="19">
        <v>686</v>
      </c>
      <c r="C422" s="19" t="str">
        <f t="shared" si="7"/>
        <v>CD56-m686</v>
      </c>
      <c r="D422" s="3">
        <v>1.2722</v>
      </c>
    </row>
    <row r="423" spans="1:4">
      <c r="A423" s="19" t="s">
        <v>358</v>
      </c>
      <c r="B423" s="19">
        <v>687</v>
      </c>
      <c r="C423" s="19" t="str">
        <f t="shared" si="7"/>
        <v>CD56-m687</v>
      </c>
      <c r="D423" s="3">
        <v>2.8428</v>
      </c>
    </row>
    <row r="424" spans="1:4">
      <c r="A424" s="19" t="s">
        <v>358</v>
      </c>
      <c r="B424" s="19">
        <v>688</v>
      </c>
      <c r="C424" s="19" t="str">
        <f t="shared" si="7"/>
        <v>CD56-m688</v>
      </c>
      <c r="D424" s="3">
        <v>18.757300000000001</v>
      </c>
    </row>
    <row r="425" spans="1:4">
      <c r="A425" s="19" t="s">
        <v>358</v>
      </c>
      <c r="B425" s="19">
        <v>689</v>
      </c>
      <c r="C425" s="19" t="str">
        <f t="shared" si="7"/>
        <v>CD56-m689</v>
      </c>
      <c r="D425" s="3">
        <v>10.2692</v>
      </c>
    </row>
    <row r="426" spans="1:4">
      <c r="A426" s="19" t="s">
        <v>358</v>
      </c>
      <c r="B426" s="19">
        <v>690</v>
      </c>
      <c r="C426" s="19" t="str">
        <f t="shared" si="7"/>
        <v>CD56-m690</v>
      </c>
      <c r="D426" s="3">
        <v>16.9117</v>
      </c>
    </row>
    <row r="427" spans="1:4">
      <c r="A427" s="19" t="s">
        <v>358</v>
      </c>
      <c r="B427" s="19">
        <v>691</v>
      </c>
      <c r="C427" s="19" t="str">
        <f t="shared" si="7"/>
        <v>CD56-m691</v>
      </c>
      <c r="D427" s="3">
        <v>20.060600000000001</v>
      </c>
    </row>
    <row r="428" spans="1:4">
      <c r="A428" s="19" t="s">
        <v>358</v>
      </c>
      <c r="B428" s="19">
        <v>601</v>
      </c>
      <c r="C428" s="19" t="str">
        <f t="shared" ref="C428:C462" si="8">_xlfn.CONCAT(A428,"-m",B428)</f>
        <v>CD56-m601</v>
      </c>
      <c r="D428" s="3">
        <v>40.902200000000001</v>
      </c>
    </row>
    <row r="429" spans="1:4">
      <c r="A429" s="19" t="s">
        <v>358</v>
      </c>
      <c r="B429" s="19">
        <v>605</v>
      </c>
      <c r="C429" s="19" t="str">
        <f t="shared" si="8"/>
        <v>CD56-m605</v>
      </c>
      <c r="D429" s="3">
        <v>39.447299999999998</v>
      </c>
    </row>
    <row r="430" spans="1:4">
      <c r="A430" s="19" t="s">
        <v>358</v>
      </c>
      <c r="B430" s="19">
        <v>606</v>
      </c>
      <c r="C430" s="19" t="str">
        <f t="shared" si="8"/>
        <v>CD56-m606</v>
      </c>
      <c r="D430" s="3">
        <v>50.455199999999998</v>
      </c>
    </row>
    <row r="431" spans="1:4">
      <c r="A431" s="19" t="s">
        <v>358</v>
      </c>
      <c r="B431" s="19">
        <v>603</v>
      </c>
      <c r="C431" s="19" t="str">
        <f t="shared" si="8"/>
        <v>CD56-m603</v>
      </c>
      <c r="D431" s="3">
        <v>14.7349</v>
      </c>
    </row>
    <row r="432" spans="1:4">
      <c r="A432" s="19" t="s">
        <v>358</v>
      </c>
      <c r="B432" s="19">
        <v>611</v>
      </c>
      <c r="C432" s="19" t="str">
        <f t="shared" si="8"/>
        <v>CD56-m611</v>
      </c>
      <c r="D432" s="3">
        <v>41.432400000000001</v>
      </c>
    </row>
    <row r="433" spans="1:4">
      <c r="A433" s="19" t="s">
        <v>358</v>
      </c>
      <c r="B433" s="19">
        <v>617</v>
      </c>
      <c r="C433" s="19" t="str">
        <f t="shared" si="8"/>
        <v>CD56-m617</v>
      </c>
      <c r="D433" s="3">
        <v>116.136</v>
      </c>
    </row>
    <row r="434" spans="1:4">
      <c r="A434" s="19" t="s">
        <v>358</v>
      </c>
      <c r="B434" s="19">
        <v>637</v>
      </c>
      <c r="C434" s="19" t="str">
        <f t="shared" si="8"/>
        <v>CD56-m637</v>
      </c>
      <c r="D434" s="3">
        <v>25.121200000000002</v>
      </c>
    </row>
    <row r="435" spans="1:4">
      <c r="A435" s="19" t="s">
        <v>358</v>
      </c>
      <c r="B435" s="19">
        <v>645</v>
      </c>
      <c r="C435" s="19" t="str">
        <f t="shared" si="8"/>
        <v>CD56-m645</v>
      </c>
      <c r="D435" s="3">
        <v>29.654199999999999</v>
      </c>
    </row>
    <row r="436" spans="1:4">
      <c r="A436" s="19" t="s">
        <v>358</v>
      </c>
      <c r="B436" s="19">
        <v>650</v>
      </c>
      <c r="C436" s="19" t="str">
        <f t="shared" si="8"/>
        <v>CD56-m650</v>
      </c>
      <c r="D436" s="3">
        <v>3.7000999999999999</v>
      </c>
    </row>
    <row r="437" spans="1:4">
      <c r="A437" s="19" t="s">
        <v>358</v>
      </c>
      <c r="B437" s="19">
        <v>657</v>
      </c>
      <c r="C437" s="19" t="str">
        <f t="shared" si="8"/>
        <v>CD56-m657</v>
      </c>
      <c r="D437" s="3">
        <v>71.082999999999998</v>
      </c>
    </row>
    <row r="438" spans="1:4">
      <c r="A438" s="19" t="s">
        <v>358</v>
      </c>
      <c r="B438" s="19">
        <v>647</v>
      </c>
      <c r="C438" s="19" t="str">
        <f t="shared" si="8"/>
        <v>CD56-m647</v>
      </c>
      <c r="D438" s="3">
        <v>42.023600000000002</v>
      </c>
    </row>
    <row r="439" spans="1:4">
      <c r="A439" s="19" t="s">
        <v>358</v>
      </c>
      <c r="B439" s="19">
        <v>665</v>
      </c>
      <c r="C439" s="19" t="str">
        <f t="shared" si="8"/>
        <v>CD56-m665</v>
      </c>
      <c r="D439" s="3">
        <v>36.6494</v>
      </c>
    </row>
    <row r="440" spans="1:4">
      <c r="A440" s="19" t="s">
        <v>358</v>
      </c>
      <c r="B440" s="19">
        <v>668</v>
      </c>
      <c r="C440" s="19" t="str">
        <f t="shared" si="8"/>
        <v>CD56-m668</v>
      </c>
      <c r="D440" s="3">
        <v>10.738799999999999</v>
      </c>
    </row>
    <row r="441" spans="1:4">
      <c r="A441" s="19" t="s">
        <v>358</v>
      </c>
      <c r="B441" s="19">
        <v>692</v>
      </c>
      <c r="C441" s="19" t="str">
        <f t="shared" si="8"/>
        <v>CD56-m692</v>
      </c>
      <c r="D441" s="3">
        <v>36.243200000000002</v>
      </c>
    </row>
    <row r="442" spans="1:4">
      <c r="A442" s="19" t="s">
        <v>358</v>
      </c>
      <c r="B442" s="19">
        <v>693</v>
      </c>
      <c r="C442" s="19" t="str">
        <f t="shared" si="8"/>
        <v>CD56-m693</v>
      </c>
      <c r="D442" s="3">
        <v>10.2287</v>
      </c>
    </row>
    <row r="443" spans="1:4">
      <c r="A443" s="19" t="s">
        <v>358</v>
      </c>
      <c r="B443" s="19">
        <v>694</v>
      </c>
      <c r="C443" s="19" t="str">
        <f t="shared" si="8"/>
        <v>CD56-m694</v>
      </c>
      <c r="D443" s="3">
        <v>16.336600000000001</v>
      </c>
    </row>
    <row r="444" spans="1:4">
      <c r="A444" s="19" t="s">
        <v>358</v>
      </c>
      <c r="B444" s="19">
        <v>695</v>
      </c>
      <c r="C444" s="19" t="str">
        <f t="shared" si="8"/>
        <v>CD56-m695</v>
      </c>
      <c r="D444" s="3">
        <v>5.3825000000000003</v>
      </c>
    </row>
    <row r="445" spans="1:4">
      <c r="A445" s="19" t="s">
        <v>358</v>
      </c>
      <c r="B445" s="19">
        <v>696</v>
      </c>
      <c r="C445" s="19" t="str">
        <f t="shared" si="8"/>
        <v>CD56-m696</v>
      </c>
      <c r="D445" s="3">
        <v>24.215199999999999</v>
      </c>
    </row>
    <row r="446" spans="1:4">
      <c r="A446" s="19" t="s">
        <v>358</v>
      </c>
      <c r="B446" s="19">
        <v>697</v>
      </c>
      <c r="C446" s="19" t="str">
        <f t="shared" si="8"/>
        <v>CD56-m697</v>
      </c>
      <c r="D446" s="3">
        <v>27.779900000000001</v>
      </c>
    </row>
    <row r="447" spans="1:4">
      <c r="A447" s="19" t="s">
        <v>358</v>
      </c>
      <c r="B447" s="19">
        <v>698</v>
      </c>
      <c r="C447" s="19" t="str">
        <f t="shared" si="8"/>
        <v>CD56-m698</v>
      </c>
      <c r="D447" s="3">
        <v>22.4117</v>
      </c>
    </row>
    <row r="448" spans="1:4">
      <c r="A448" s="19" t="s">
        <v>358</v>
      </c>
      <c r="B448" s="19">
        <v>699</v>
      </c>
      <c r="C448" s="19" t="str">
        <f t="shared" si="8"/>
        <v>CD56-m699</v>
      </c>
      <c r="D448" s="3">
        <v>41.7348</v>
      </c>
    </row>
    <row r="449" spans="1:4">
      <c r="A449" s="19" t="s">
        <v>358</v>
      </c>
      <c r="B449" s="19">
        <v>700</v>
      </c>
      <c r="C449" s="19" t="str">
        <f t="shared" si="8"/>
        <v>CD56-m700</v>
      </c>
      <c r="D449" s="3">
        <v>28.9849</v>
      </c>
    </row>
    <row r="450" spans="1:4">
      <c r="A450" s="19" t="s">
        <v>358</v>
      </c>
      <c r="B450" s="19">
        <v>701</v>
      </c>
      <c r="C450" s="19" t="str">
        <f t="shared" si="8"/>
        <v>CD56-m701</v>
      </c>
      <c r="D450" s="3">
        <v>57.377099999999999</v>
      </c>
    </row>
    <row r="451" spans="1:4">
      <c r="A451" s="19" t="s">
        <v>358</v>
      </c>
      <c r="B451" s="19">
        <v>702</v>
      </c>
      <c r="C451" s="19" t="str">
        <f t="shared" si="8"/>
        <v>CD56-m702</v>
      </c>
      <c r="D451" s="3">
        <v>43.780799999999999</v>
      </c>
    </row>
    <row r="452" spans="1:4">
      <c r="A452" s="19" t="s">
        <v>358</v>
      </c>
      <c r="B452" s="19">
        <v>612</v>
      </c>
      <c r="C452" s="19" t="str">
        <f t="shared" si="8"/>
        <v>CD56-m612</v>
      </c>
      <c r="D452" s="3">
        <v>4.5499999999999999E-2</v>
      </c>
    </row>
    <row r="453" spans="1:4">
      <c r="A453" s="19" t="s">
        <v>358</v>
      </c>
      <c r="B453" s="19">
        <v>620</v>
      </c>
      <c r="C453" s="19" t="str">
        <f t="shared" si="8"/>
        <v>CD56-m620</v>
      </c>
      <c r="D453" s="3">
        <v>1.6E-2</v>
      </c>
    </row>
    <row r="454" spans="1:4">
      <c r="A454" s="19" t="s">
        <v>358</v>
      </c>
      <c r="B454" s="19">
        <v>618</v>
      </c>
      <c r="C454" s="19" t="str">
        <f t="shared" si="8"/>
        <v>CD56-m618</v>
      </c>
      <c r="D454" s="3">
        <v>6.7999999999999996E-3</v>
      </c>
    </row>
    <row r="455" spans="1:4">
      <c r="A455" s="19" t="s">
        <v>358</v>
      </c>
      <c r="B455" s="19">
        <v>666</v>
      </c>
      <c r="C455" s="19" t="str">
        <f t="shared" si="8"/>
        <v>CD56-m666</v>
      </c>
      <c r="D455" s="3">
        <v>6.1600000000000002E-2</v>
      </c>
    </row>
    <row r="456" spans="1:4">
      <c r="A456" s="19" t="s">
        <v>358</v>
      </c>
      <c r="B456" s="19">
        <v>669</v>
      </c>
      <c r="C456" s="19" t="str">
        <f t="shared" si="8"/>
        <v>CD56-m669</v>
      </c>
      <c r="D456" s="3">
        <v>5.0299999999999997E-2</v>
      </c>
    </row>
    <row r="457" spans="1:4">
      <c r="A457" s="19" t="s">
        <v>358</v>
      </c>
      <c r="B457" s="19">
        <v>676</v>
      </c>
      <c r="C457" s="19" t="str">
        <f t="shared" si="8"/>
        <v>CD56-m676</v>
      </c>
      <c r="D457" s="3">
        <v>1.3100000000000001E-2</v>
      </c>
    </row>
    <row r="458" spans="1:4">
      <c r="A458" s="19" t="s">
        <v>358</v>
      </c>
      <c r="B458" s="19">
        <v>680</v>
      </c>
      <c r="C458" s="19" t="str">
        <f t="shared" si="8"/>
        <v>CD56-m680</v>
      </c>
      <c r="D458" s="3">
        <v>1.0999999999999999E-2</v>
      </c>
    </row>
    <row r="459" spans="1:4">
      <c r="A459" s="19" t="s">
        <v>358</v>
      </c>
      <c r="B459" s="19">
        <v>714</v>
      </c>
      <c r="C459" s="19" t="str">
        <f t="shared" si="8"/>
        <v>CD56-m714</v>
      </c>
      <c r="D459" s="3">
        <v>7.1999999999999998E-3</v>
      </c>
    </row>
    <row r="460" spans="1:4">
      <c r="A460" s="19" t="s">
        <v>358</v>
      </c>
      <c r="B460" s="19">
        <v>715</v>
      </c>
      <c r="C460" s="19" t="str">
        <f t="shared" si="8"/>
        <v>CD56-m715</v>
      </c>
      <c r="D460" s="3">
        <v>6.7999999999999996E-3</v>
      </c>
    </row>
    <row r="461" spans="1:4">
      <c r="A461" s="19" t="s">
        <v>358</v>
      </c>
      <c r="B461" s="19">
        <v>716</v>
      </c>
      <c r="C461" s="19" t="str">
        <f t="shared" si="8"/>
        <v>CD56-m716</v>
      </c>
      <c r="D461" s="3">
        <v>6.7999999999999996E-3</v>
      </c>
    </row>
    <row r="462" spans="1:4">
      <c r="A462" s="19" t="s">
        <v>358</v>
      </c>
      <c r="B462" s="19">
        <v>717</v>
      </c>
      <c r="C462" s="19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170C-1B06-7943-A0DF-9FA91A5EAA7D}">
  <dimension ref="A1:E55"/>
  <sheetViews>
    <sheetView workbookViewId="0">
      <selection sqref="A1:E55"/>
    </sheetView>
  </sheetViews>
  <sheetFormatPr baseColWidth="10" defaultRowHeight="16"/>
  <cols>
    <col min="1" max="1" width="10.6640625" bestFit="1" customWidth="1"/>
    <col min="2" max="2" width="13.33203125" bestFit="1" customWidth="1"/>
    <col min="3" max="4" width="12.1640625" bestFit="1" customWidth="1"/>
  </cols>
  <sheetData>
    <row r="1" spans="1:5">
      <c r="A1" t="s">
        <v>388</v>
      </c>
      <c r="B1" t="s">
        <v>386</v>
      </c>
      <c r="C1" t="s">
        <v>391</v>
      </c>
      <c r="D1" t="s">
        <v>387</v>
      </c>
      <c r="E1" t="s">
        <v>389</v>
      </c>
    </row>
    <row r="2" spans="1:5">
      <c r="A2" t="s">
        <v>260</v>
      </c>
      <c r="B2">
        <v>27</v>
      </c>
      <c r="C2">
        <v>5.3881599049575965E+123</v>
      </c>
      <c r="D2">
        <v>122312.9948</v>
      </c>
      <c r="E2">
        <v>38251.277450176734</v>
      </c>
    </row>
    <row r="3" spans="1:5">
      <c r="A3" t="s">
        <v>261</v>
      </c>
      <c r="B3">
        <v>22</v>
      </c>
      <c r="C3">
        <v>2.036584761594359E+121</v>
      </c>
      <c r="D3">
        <v>495151.57727272721</v>
      </c>
      <c r="E3">
        <v>326618.68222240347</v>
      </c>
    </row>
    <row r="4" spans="1:5">
      <c r="A4" t="s">
        <v>262</v>
      </c>
      <c r="B4">
        <v>40</v>
      </c>
      <c r="C4">
        <v>1.6040472338087927E+202</v>
      </c>
      <c r="D4">
        <v>154289.06800000003</v>
      </c>
      <c r="E4">
        <v>113535.17372249054</v>
      </c>
    </row>
    <row r="5" spans="1:5">
      <c r="A5" t="s">
        <v>263</v>
      </c>
      <c r="B5">
        <v>34</v>
      </c>
      <c r="C5">
        <v>4.7981414206680855E+175</v>
      </c>
      <c r="D5">
        <v>222531.39470588233</v>
      </c>
      <c r="E5">
        <v>146923.20165986364</v>
      </c>
    </row>
    <row r="6" spans="1:5">
      <c r="A6" t="s">
        <v>264</v>
      </c>
      <c r="B6">
        <v>36</v>
      </c>
      <c r="C6">
        <v>1.6971311484051549E+185</v>
      </c>
      <c r="D6">
        <v>287974.88500000001</v>
      </c>
      <c r="E6">
        <v>139723.63396465068</v>
      </c>
    </row>
    <row r="7" spans="1:5">
      <c r="A7" t="s">
        <v>14</v>
      </c>
      <c r="B7">
        <v>20</v>
      </c>
      <c r="C7">
        <v>1.3554677827340808E+117</v>
      </c>
      <c r="D7">
        <v>792706.09000000008</v>
      </c>
      <c r="E7">
        <v>718794.02767148544</v>
      </c>
    </row>
    <row r="8" spans="1:5">
      <c r="A8" t="s">
        <v>265</v>
      </c>
      <c r="B8">
        <v>34</v>
      </c>
      <c r="C8">
        <v>3.754051610930053E+168</v>
      </c>
      <c r="D8">
        <v>133979.98500000002</v>
      </c>
      <c r="E8">
        <v>90797.425891953841</v>
      </c>
    </row>
    <row r="9" spans="1:5">
      <c r="A9" t="s">
        <v>266</v>
      </c>
      <c r="B9">
        <v>8</v>
      </c>
      <c r="C9">
        <v>8.1687966207353025E+45</v>
      </c>
      <c r="D9">
        <v>816046.5</v>
      </c>
      <c r="E9">
        <v>548301.91214301228</v>
      </c>
    </row>
    <row r="10" spans="1:5">
      <c r="A10" t="s">
        <v>267</v>
      </c>
      <c r="B10">
        <v>22</v>
      </c>
      <c r="C10">
        <v>1.1688106384215799E+107</v>
      </c>
      <c r="D10">
        <v>102858.14272727272</v>
      </c>
      <c r="E10">
        <v>73572.521987380038</v>
      </c>
    </row>
    <row r="11" spans="1:5">
      <c r="A11" t="s">
        <v>268</v>
      </c>
      <c r="B11">
        <v>27</v>
      </c>
      <c r="C11">
        <v>1.033488773982514E+126</v>
      </c>
      <c r="D11">
        <v>168421.92760000002</v>
      </c>
      <c r="E11">
        <v>46472.550686205439</v>
      </c>
    </row>
    <row r="12" spans="1:5">
      <c r="A12" t="s">
        <v>269</v>
      </c>
      <c r="B12">
        <v>22</v>
      </c>
      <c r="C12">
        <v>4.3149167879506246E+123</v>
      </c>
      <c r="D12">
        <v>570842.24543681822</v>
      </c>
      <c r="E12">
        <v>416650.08413340308</v>
      </c>
    </row>
    <row r="13" spans="1:5">
      <c r="A13" t="s">
        <v>270</v>
      </c>
      <c r="B13">
        <v>19</v>
      </c>
      <c r="C13">
        <v>5.9488220139658386E+108</v>
      </c>
      <c r="D13">
        <v>1187582.1328678944</v>
      </c>
      <c r="E13">
        <v>530847.83603838785</v>
      </c>
    </row>
    <row r="14" spans="1:5">
      <c r="A14" t="s">
        <v>271</v>
      </c>
      <c r="B14">
        <v>28</v>
      </c>
      <c r="C14">
        <v>1.3740448061934951E+156</v>
      </c>
      <c r="D14">
        <v>505727.45813607145</v>
      </c>
      <c r="E14">
        <v>377013.73719227477</v>
      </c>
    </row>
    <row r="15" spans="1:5">
      <c r="A15" t="s">
        <v>272</v>
      </c>
      <c r="B15">
        <v>6</v>
      </c>
      <c r="C15">
        <v>1.1307715612530986E+33</v>
      </c>
      <c r="D15">
        <v>359551.43991666666</v>
      </c>
      <c r="E15">
        <v>322771.97000905219</v>
      </c>
    </row>
    <row r="16" spans="1:5">
      <c r="A16" t="s">
        <v>273</v>
      </c>
      <c r="B16">
        <v>28</v>
      </c>
      <c r="C16">
        <v>1.0984045503202189E+168</v>
      </c>
      <c r="D16">
        <v>1706176.0436428576</v>
      </c>
      <c r="E16">
        <v>1003357.7216368922</v>
      </c>
    </row>
    <row r="17" spans="1:5">
      <c r="A17" t="s">
        <v>274</v>
      </c>
      <c r="B17">
        <v>10</v>
      </c>
      <c r="C17">
        <v>4.5566329802399564E+54</v>
      </c>
      <c r="D17">
        <v>354985.19897999999</v>
      </c>
      <c r="E17">
        <v>292323.95438034885</v>
      </c>
    </row>
    <row r="18" spans="1:5">
      <c r="A18" t="s">
        <v>275</v>
      </c>
      <c r="B18">
        <v>25</v>
      </c>
      <c r="C18">
        <v>4.1284984048038831E+131</v>
      </c>
      <c r="D18">
        <v>530763.28555200016</v>
      </c>
      <c r="E18">
        <v>183921.15468856724</v>
      </c>
    </row>
    <row r="19" spans="1:5">
      <c r="A19" t="s">
        <v>276</v>
      </c>
      <c r="B19">
        <v>22</v>
      </c>
      <c r="C19">
        <v>6.5256862577144176E+120</v>
      </c>
      <c r="D19">
        <v>798734.40658909082</v>
      </c>
      <c r="E19">
        <v>310151.52272368071</v>
      </c>
    </row>
    <row r="20" spans="1:5">
      <c r="A20" t="s">
        <v>277</v>
      </c>
      <c r="B20">
        <v>24</v>
      </c>
      <c r="C20">
        <v>6.8576809113319291E+141</v>
      </c>
      <c r="D20">
        <v>1677353.9597541664</v>
      </c>
      <c r="E20">
        <v>812532.46004728228</v>
      </c>
    </row>
    <row r="21" spans="1:5">
      <c r="A21" t="s">
        <v>278</v>
      </c>
      <c r="B21">
        <v>22</v>
      </c>
      <c r="C21">
        <v>1.8668780247046634E+120</v>
      </c>
      <c r="D21">
        <v>487480.86444636359</v>
      </c>
      <c r="E21">
        <v>293000.86772726558</v>
      </c>
    </row>
    <row r="22" spans="1:5">
      <c r="A22" t="s">
        <v>15</v>
      </c>
      <c r="B22">
        <v>24</v>
      </c>
      <c r="C22">
        <v>3.2371543546573386E+134</v>
      </c>
      <c r="D22">
        <v>650717.8988995835</v>
      </c>
      <c r="E22">
        <v>402337.15628277307</v>
      </c>
    </row>
    <row r="23" spans="1:5">
      <c r="A23" t="s">
        <v>16</v>
      </c>
      <c r="B23">
        <v>22</v>
      </c>
      <c r="C23">
        <v>4.8692536860230859E+118</v>
      </c>
      <c r="D23">
        <v>333799.52829772723</v>
      </c>
      <c r="E23">
        <v>248247.3691220734</v>
      </c>
    </row>
    <row r="24" spans="1:5">
      <c r="A24" t="s">
        <v>17</v>
      </c>
      <c r="B24">
        <v>24</v>
      </c>
      <c r="C24">
        <v>9.2979413841757978E+130</v>
      </c>
      <c r="D24">
        <v>510268.82400958339</v>
      </c>
      <c r="E24">
        <v>286428.42626090499</v>
      </c>
    </row>
    <row r="25" spans="1:5">
      <c r="A25" t="s">
        <v>18</v>
      </c>
      <c r="B25">
        <v>10</v>
      </c>
      <c r="C25">
        <v>2.0386024199955513E+56</v>
      </c>
      <c r="D25">
        <v>527848.31082000001</v>
      </c>
      <c r="E25">
        <v>427497.17931794416</v>
      </c>
    </row>
    <row r="26" spans="1:5">
      <c r="A26" t="s">
        <v>247</v>
      </c>
      <c r="B26">
        <v>14</v>
      </c>
      <c r="C26">
        <v>3.5978540089682614E+76</v>
      </c>
      <c r="D26">
        <v>346590.39251928561</v>
      </c>
      <c r="E26">
        <v>293960.39620893868</v>
      </c>
    </row>
    <row r="27" spans="1:5">
      <c r="A27" t="s">
        <v>248</v>
      </c>
      <c r="B27">
        <v>4</v>
      </c>
      <c r="C27">
        <v>1.6079384109212219E+21</v>
      </c>
      <c r="D27">
        <v>297641.83426999999</v>
      </c>
      <c r="E27">
        <v>200247.61511228979</v>
      </c>
    </row>
    <row r="28" spans="1:5">
      <c r="A28" t="s">
        <v>19</v>
      </c>
      <c r="B28">
        <v>8</v>
      </c>
      <c r="C28">
        <v>9.5941025945031451E+45</v>
      </c>
      <c r="D28">
        <v>1244025.29145125</v>
      </c>
      <c r="E28">
        <v>559436.17360737943</v>
      </c>
    </row>
    <row r="29" spans="1:5">
      <c r="A29" t="s">
        <v>279</v>
      </c>
      <c r="B29">
        <v>2</v>
      </c>
      <c r="C29">
        <v>183792937037.86472</v>
      </c>
      <c r="D29">
        <v>430794.67775000003</v>
      </c>
      <c r="E29">
        <v>428710.78483969206</v>
      </c>
    </row>
    <row r="30" spans="1:5">
      <c r="A30" t="s">
        <v>280</v>
      </c>
      <c r="B30">
        <v>24</v>
      </c>
      <c r="C30">
        <v>1.485901702156478E+134</v>
      </c>
      <c r="D30">
        <v>715582.16273083317</v>
      </c>
      <c r="E30">
        <v>389492.9370169405</v>
      </c>
    </row>
    <row r="31" spans="1:5">
      <c r="A31" t="s">
        <v>281</v>
      </c>
      <c r="B31">
        <v>28</v>
      </c>
      <c r="C31">
        <v>6.4349921639651259E+167</v>
      </c>
      <c r="D31">
        <v>4410116.8415035717</v>
      </c>
      <c r="E31">
        <v>984379.20207522379</v>
      </c>
    </row>
    <row r="32" spans="1:5">
      <c r="A32" t="s">
        <v>282</v>
      </c>
      <c r="B32">
        <v>12</v>
      </c>
      <c r="C32">
        <v>6.3055283406503374E+67</v>
      </c>
      <c r="D32">
        <v>925365.17370333325</v>
      </c>
      <c r="E32">
        <v>446659.72084887431</v>
      </c>
    </row>
    <row r="33" spans="1:5">
      <c r="A33" t="s">
        <v>283</v>
      </c>
      <c r="B33">
        <v>24</v>
      </c>
      <c r="C33">
        <v>6.5678322961649101E+129</v>
      </c>
      <c r="D33">
        <v>427128.38887958328</v>
      </c>
      <c r="E33">
        <v>256483.39417559103</v>
      </c>
    </row>
    <row r="34" spans="1:5">
      <c r="A34" t="s">
        <v>21</v>
      </c>
      <c r="B34">
        <v>10</v>
      </c>
      <c r="C34">
        <v>3.5571786036790038E+55</v>
      </c>
      <c r="D34">
        <v>421531.51779499993</v>
      </c>
      <c r="E34">
        <v>359013.32430107269</v>
      </c>
    </row>
    <row r="35" spans="1:5">
      <c r="A35" t="s">
        <v>22</v>
      </c>
      <c r="B35">
        <v>26</v>
      </c>
      <c r="C35">
        <v>6.4664720336971913E+145</v>
      </c>
      <c r="D35">
        <v>798264.47195076931</v>
      </c>
      <c r="E35">
        <v>405604.3391704816</v>
      </c>
    </row>
    <row r="36" spans="1:5">
      <c r="A36" t="s">
        <v>23</v>
      </c>
      <c r="B36">
        <v>25</v>
      </c>
      <c r="C36">
        <v>1.892218001871698E+136</v>
      </c>
      <c r="D36">
        <v>552020.10695800011</v>
      </c>
      <c r="E36">
        <v>282539.28825457976</v>
      </c>
    </row>
    <row r="37" spans="1:5">
      <c r="A37" t="s">
        <v>24</v>
      </c>
      <c r="B37">
        <v>22</v>
      </c>
      <c r="C37">
        <v>1.9811343346291494E+111</v>
      </c>
      <c r="D37">
        <v>145787.78058272731</v>
      </c>
      <c r="E37">
        <v>114538.2736267064</v>
      </c>
    </row>
    <row r="38" spans="1:5">
      <c r="A38" t="s">
        <v>25</v>
      </c>
      <c r="B38">
        <v>4</v>
      </c>
      <c r="C38">
        <v>3.24240050685659E+23</v>
      </c>
      <c r="D38">
        <v>940925.92637499992</v>
      </c>
      <c r="E38">
        <v>754599.76333239349</v>
      </c>
    </row>
    <row r="39" spans="1:5">
      <c r="A39" t="s">
        <v>26</v>
      </c>
      <c r="B39">
        <v>8</v>
      </c>
      <c r="C39">
        <v>1.2642948679406893E+48</v>
      </c>
      <c r="D39">
        <v>1293465.7669500001</v>
      </c>
      <c r="E39">
        <v>1029748.2127989829</v>
      </c>
    </row>
    <row r="40" spans="1:5">
      <c r="A40" t="s">
        <v>27</v>
      </c>
      <c r="B40">
        <v>24</v>
      </c>
      <c r="C40">
        <v>1.0887604302398809E+122</v>
      </c>
      <c r="D40">
        <v>130201.46322083332</v>
      </c>
      <c r="E40">
        <v>121582.81107942598</v>
      </c>
    </row>
    <row r="41" spans="1:5">
      <c r="A41" t="s">
        <v>28</v>
      </c>
      <c r="B41">
        <v>30</v>
      </c>
      <c r="C41">
        <v>3.1483560242100719E+159</v>
      </c>
      <c r="D41">
        <v>394453.68814233347</v>
      </c>
      <c r="E41">
        <v>207301.66706398546</v>
      </c>
    </row>
    <row r="42" spans="1:5">
      <c r="A42" t="s">
        <v>258</v>
      </c>
      <c r="B42">
        <v>30</v>
      </c>
      <c r="C42">
        <v>1.8234041529467955E+163</v>
      </c>
      <c r="D42">
        <v>334602.29950233339</v>
      </c>
      <c r="E42">
        <v>276712.91621961194</v>
      </c>
    </row>
    <row r="43" spans="1:5">
      <c r="A43" t="s">
        <v>29</v>
      </c>
      <c r="B43">
        <v>14</v>
      </c>
      <c r="C43">
        <v>9.8495557978381383E+70</v>
      </c>
      <c r="D43">
        <v>131459.63668714283</v>
      </c>
      <c r="E43">
        <v>117749.29939616843</v>
      </c>
    </row>
    <row r="44" spans="1:5">
      <c r="A44" t="s">
        <v>30</v>
      </c>
      <c r="B44">
        <v>32</v>
      </c>
      <c r="C44">
        <v>8.9682712482148193E+164</v>
      </c>
      <c r="D44">
        <v>206191.75648249991</v>
      </c>
      <c r="E44">
        <v>142814.44878048872</v>
      </c>
    </row>
    <row r="45" spans="1:5">
      <c r="A45" t="s">
        <v>31</v>
      </c>
      <c r="B45">
        <v>16</v>
      </c>
      <c r="C45">
        <v>2.9809998125604086E+91</v>
      </c>
      <c r="D45">
        <v>806206.60250000004</v>
      </c>
      <c r="E45">
        <v>521371.90142179758</v>
      </c>
    </row>
    <row r="46" spans="1:5">
      <c r="A46" t="s">
        <v>32</v>
      </c>
      <c r="B46">
        <v>6</v>
      </c>
      <c r="C46">
        <v>1.381762503681319E+29</v>
      </c>
      <c r="D46">
        <v>100475.33500000001</v>
      </c>
      <c r="E46">
        <v>71901.657259287836</v>
      </c>
    </row>
    <row r="47" spans="1:5">
      <c r="A47" t="s">
        <v>33</v>
      </c>
      <c r="B47">
        <v>2</v>
      </c>
      <c r="C47">
        <v>71780063036.399994</v>
      </c>
      <c r="D47">
        <v>271203.90000000002</v>
      </c>
      <c r="E47">
        <v>267918.01551295497</v>
      </c>
    </row>
    <row r="48" spans="1:5">
      <c r="A48" t="s">
        <v>34</v>
      </c>
      <c r="B48">
        <v>30</v>
      </c>
      <c r="C48">
        <v>8.369535362697508E+161</v>
      </c>
      <c r="D48">
        <v>404054.50233333342</v>
      </c>
      <c r="E48">
        <v>249702.78046446119</v>
      </c>
    </row>
    <row r="49" spans="1:5">
      <c r="A49" t="s">
        <v>35</v>
      </c>
      <c r="B49">
        <v>6</v>
      </c>
      <c r="C49">
        <v>2.3720334583097754E+31</v>
      </c>
      <c r="D49">
        <v>199202.09</v>
      </c>
      <c r="E49">
        <v>169506.67375776928</v>
      </c>
    </row>
    <row r="50" spans="1:5">
      <c r="A50" t="s">
        <v>230</v>
      </c>
      <c r="B50">
        <v>34</v>
      </c>
      <c r="C50">
        <v>1.6661485045113979E+192</v>
      </c>
      <c r="D50">
        <v>565927.72</v>
      </c>
      <c r="E50">
        <v>450380.74495758599</v>
      </c>
    </row>
    <row r="51" spans="1:5">
      <c r="A51" t="s">
        <v>36</v>
      </c>
      <c r="B51">
        <v>34</v>
      </c>
      <c r="C51">
        <v>2.9169979502838328E+195</v>
      </c>
      <c r="D51">
        <v>720801.07352941181</v>
      </c>
      <c r="E51">
        <v>561007.55455739179</v>
      </c>
    </row>
    <row r="52" spans="1:5">
      <c r="A52" t="s">
        <v>37</v>
      </c>
      <c r="B52">
        <v>12</v>
      </c>
      <c r="C52">
        <v>5.4607669310261381E+63</v>
      </c>
      <c r="D52">
        <v>255968.85500000001</v>
      </c>
      <c r="E52">
        <v>204850.86560191057</v>
      </c>
    </row>
    <row r="53" spans="1:5">
      <c r="A53" t="s">
        <v>38</v>
      </c>
      <c r="B53">
        <v>38</v>
      </c>
      <c r="C53">
        <v>8.6619213003610194E+190</v>
      </c>
      <c r="D53">
        <v>122541.87394736844</v>
      </c>
      <c r="E53">
        <v>105845.90456614312</v>
      </c>
    </row>
    <row r="54" spans="1:5">
      <c r="A54" t="s">
        <v>39</v>
      </c>
      <c r="B54">
        <v>32</v>
      </c>
      <c r="C54">
        <v>1.3649770525436106E+180</v>
      </c>
      <c r="D54">
        <v>638497.78812500008</v>
      </c>
      <c r="E54">
        <v>425816.677714672</v>
      </c>
    </row>
    <row r="55" spans="1:5">
      <c r="A55" t="s">
        <v>20</v>
      </c>
      <c r="B55">
        <v>2</v>
      </c>
      <c r="C55">
        <v>153442831.61060753</v>
      </c>
      <c r="D55">
        <v>13161.588189999999</v>
      </c>
      <c r="E55">
        <v>12387.204350078655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REJOc Haplotypes Edited</vt:lpstr>
      <vt:lpstr>REJOc Haplotype Count</vt:lpstr>
      <vt:lpstr>REJOc Haplotypes</vt:lpstr>
      <vt:lpstr>REJO.c Escape Paths</vt:lpstr>
      <vt:lpstr>REJOc Raw 0.1</vt:lpstr>
      <vt:lpstr>sequencing metadata</vt:lpstr>
      <vt:lpstr>survival</vt:lpstr>
      <vt:lpstr>REJOc Survival Analysis</vt:lpstr>
      <vt:lpstr>Expression</vt:lpstr>
      <vt:lpstr>setpoint 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2025-04-07T20:44:59Z</dcterms:modified>
</cp:coreProperties>
</file>