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Documents/GitHub/Escapability/Escape Barrier Analysis/haplotype analysis/"/>
    </mc:Choice>
  </mc:AlternateContent>
  <xr:revisionPtr revIDLastSave="0" documentId="13_ncr:1_{AC61A0CD-9A3F-1943-BB0A-5210C4C817A9}" xr6:coauthVersionLast="47" xr6:coauthVersionMax="47" xr10:uidLastSave="{00000000-0000-0000-0000-000000000000}"/>
  <bookViews>
    <workbookView xWindow="33260" yWindow="500" windowWidth="43540" windowHeight="21160" activeTab="1" xr2:uid="{CDFADA51-DCBB-AC4A-9D9F-F2B80D10B122}"/>
  </bookViews>
  <sheets>
    <sheet name="JR-CSF Haplotypes - only CD50" sheetId="23" r:id="rId1"/>
    <sheet name="JR-CSF Haplotypes - NO CD50" sheetId="22" r:id="rId2"/>
    <sheet name="JR-CSF Haplotypes Edited" sheetId="13" r:id="rId3"/>
    <sheet name="JR-CSF Haplotypes" sheetId="7" r:id="rId4"/>
    <sheet name="JRCSF Haplotype Counts" sheetId="11" r:id="rId5"/>
    <sheet name="JRCSF Survival Analysis" sheetId="21" r:id="rId6"/>
    <sheet name="sequencing metadata" sheetId="19" r:id="rId7"/>
    <sheet name="Expression" sheetId="17" r:id="rId8"/>
    <sheet name="survival" sheetId="15" r:id="rId9"/>
    <sheet name="JR-CSF Raw 0.1" sheetId="10" r:id="rId10"/>
  </sheets>
  <definedNames>
    <definedName name="_xlnm._FilterDatabase" localSheetId="3" hidden="1">'JR-CSF Haplotypes'!$A$10:$EM$38</definedName>
    <definedName name="_xlnm._FilterDatabase" localSheetId="1" hidden="1">'JR-CSF Haplotypes - NO CD50'!$A$10:$EK$25</definedName>
    <definedName name="_xlnm._FilterDatabase" localSheetId="0" hidden="1">'JR-CSF Haplotypes - only CD50'!$A$10:$EK$17</definedName>
    <definedName name="_xlnm._FilterDatabase" localSheetId="2" hidden="1">'JR-CSF Haplotypes Edited'!$A$10:$EK$36</definedName>
    <definedName name="_xlnm._FilterDatabase" localSheetId="9" hidden="1">'JR-CSF Raw 0.1'!$A$1:$AH$944</definedName>
    <definedName name="_xlnm._FilterDatabase" localSheetId="8" hidden="1">survival!$A$1:$F$1</definedName>
  </definedNames>
  <calcPr calcId="191029"/>
  <pivotCaches>
    <pivotCache cacheId="97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1" l="1"/>
  <c r="F4" i="11"/>
  <c r="E5" i="11"/>
  <c r="D7" i="11"/>
  <c r="BG37" i="7" l="1"/>
  <c r="BH37" i="7"/>
  <c r="BI37" i="7"/>
  <c r="BJ37" i="7"/>
  <c r="BJ38" i="7" s="1"/>
  <c r="BK37" i="7"/>
  <c r="BF37" i="7"/>
  <c r="J30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1" i="7"/>
  <c r="J32" i="7"/>
  <c r="J33" i="7"/>
  <c r="J34" i="7"/>
  <c r="J35" i="7"/>
  <c r="J36" i="7"/>
  <c r="J11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H11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BI38" i="7" l="1"/>
  <c r="BH38" i="7"/>
  <c r="BG38" i="7"/>
  <c r="BF38" i="7"/>
  <c r="BK38" i="7"/>
  <c r="B16" i="23" l="1"/>
  <c r="B15" i="23"/>
  <c r="B13" i="23"/>
  <c r="B11" i="23"/>
  <c r="B11" i="22"/>
  <c r="B22" i="22"/>
  <c r="B19" i="22"/>
  <c r="B15" i="22"/>
  <c r="B36" i="13" l="1"/>
  <c r="B33" i="13"/>
  <c r="B32" i="13"/>
  <c r="B29" i="13"/>
  <c r="B25" i="13"/>
  <c r="B20" i="13"/>
  <c r="B11" i="13"/>
  <c r="F36" i="13"/>
  <c r="F34" i="13"/>
  <c r="F33" i="13"/>
  <c r="F32" i="13"/>
  <c r="F23" i="13"/>
  <c r="F16" i="13"/>
  <c r="F15" i="13"/>
  <c r="F14" i="13"/>
  <c r="F13" i="13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D18" i="7" s="1"/>
  <c r="C313" i="17"/>
  <c r="C312" i="17"/>
  <c r="D36" i="7"/>
  <c r="D36" i="13" s="1"/>
  <c r="E36" i="13" s="1"/>
  <c r="D35" i="7"/>
  <c r="D34" i="7"/>
  <c r="D34" i="13" s="1"/>
  <c r="D33" i="7"/>
  <c r="D33" i="13" s="1"/>
  <c r="D32" i="7"/>
  <c r="D32" i="13" s="1"/>
  <c r="E32" i="13" s="1"/>
  <c r="D30" i="7"/>
  <c r="D29" i="7"/>
  <c r="D27" i="7"/>
  <c r="D27" i="13" s="1"/>
  <c r="D26" i="7"/>
  <c r="D25" i="7"/>
  <c r="D23" i="7"/>
  <c r="D23" i="13" s="1"/>
  <c r="D20" i="7"/>
  <c r="D22" i="7"/>
  <c r="D21" i="7"/>
  <c r="D12" i="7"/>
  <c r="D11" i="7"/>
  <c r="D15" i="7"/>
  <c r="D15" i="13" s="1"/>
  <c r="D16" i="7"/>
  <c r="D16" i="13" s="1"/>
  <c r="D14" i="7"/>
  <c r="D14" i="13" s="1"/>
  <c r="D17" i="7"/>
  <c r="D17" i="13" s="1"/>
  <c r="D13" i="7"/>
  <c r="D13" i="13" s="1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0" i="17"/>
  <c r="C168" i="17"/>
  <c r="C166" i="17"/>
  <c r="C163" i="17"/>
  <c r="C171" i="17"/>
  <c r="C169" i="17"/>
  <c r="C167" i="17"/>
  <c r="C165" i="17"/>
  <c r="C164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D29" i="13" l="1"/>
  <c r="D22" i="22"/>
  <c r="F28" i="13"/>
  <c r="F21" i="22"/>
  <c r="F15" i="23"/>
  <c r="D11" i="13"/>
  <c r="D11" i="22"/>
  <c r="D30" i="13"/>
  <c r="D23" i="22"/>
  <c r="F19" i="13"/>
  <c r="F12" i="23"/>
  <c r="F14" i="22"/>
  <c r="F29" i="13"/>
  <c r="F22" i="22"/>
  <c r="F18" i="13"/>
  <c r="F13" i="22"/>
  <c r="F11" i="23"/>
  <c r="F20" i="13"/>
  <c r="F15" i="22"/>
  <c r="D21" i="13"/>
  <c r="D16" i="22"/>
  <c r="F11" i="13"/>
  <c r="F11" i="22"/>
  <c r="F21" i="13"/>
  <c r="F16" i="22"/>
  <c r="F31" i="13"/>
  <c r="F24" i="22"/>
  <c r="F16" i="23"/>
  <c r="F12" i="13"/>
  <c r="F12" i="22"/>
  <c r="F22" i="13"/>
  <c r="F17" i="22"/>
  <c r="F13" i="23"/>
  <c r="F30" i="13"/>
  <c r="F23" i="22"/>
  <c r="D22" i="13"/>
  <c r="D13" i="23"/>
  <c r="D17" i="22"/>
  <c r="D20" i="13"/>
  <c r="D15" i="22"/>
  <c r="D35" i="13"/>
  <c r="E33" i="13" s="1"/>
  <c r="D25" i="22"/>
  <c r="E25" i="22" s="1"/>
  <c r="D17" i="23"/>
  <c r="E17" i="23" s="1"/>
  <c r="F24" i="13"/>
  <c r="F18" i="22"/>
  <c r="F14" i="23"/>
  <c r="D25" i="13"/>
  <c r="D19" i="22"/>
  <c r="F25" i="13"/>
  <c r="F19" i="22"/>
  <c r="F35" i="13"/>
  <c r="F25" i="22"/>
  <c r="F17" i="23"/>
  <c r="D12" i="13"/>
  <c r="D12" i="22"/>
  <c r="D26" i="13"/>
  <c r="D20" i="22"/>
  <c r="F26" i="13"/>
  <c r="F20" i="22"/>
  <c r="D18" i="13"/>
  <c r="D11" i="23"/>
  <c r="D13" i="22"/>
  <c r="G19" i="7"/>
  <c r="G31" i="7"/>
  <c r="G18" i="7"/>
  <c r="G28" i="7"/>
  <c r="G29" i="7"/>
  <c r="G22" i="7"/>
  <c r="G32" i="7"/>
  <c r="G35" i="7"/>
  <c r="G11" i="7"/>
  <c r="G21" i="7"/>
  <c r="G16" i="7"/>
  <c r="G26" i="7"/>
  <c r="G36" i="7"/>
  <c r="G14" i="7"/>
  <c r="G24" i="7"/>
  <c r="G34" i="7"/>
  <c r="G15" i="7"/>
  <c r="G25" i="7"/>
  <c r="G20" i="7"/>
  <c r="G30" i="7"/>
  <c r="G12" i="7"/>
  <c r="G13" i="7"/>
  <c r="G23" i="7"/>
  <c r="G33" i="7"/>
  <c r="G17" i="7"/>
  <c r="G27" i="7"/>
  <c r="F17" i="13"/>
  <c r="F27" i="13"/>
  <c r="D19" i="7"/>
  <c r="D28" i="7"/>
  <c r="D24" i="7"/>
  <c r="D31" i="7"/>
  <c r="D31" i="13" l="1"/>
  <c r="E29" i="13" s="1"/>
  <c r="D24" i="22"/>
  <c r="E22" i="22" s="1"/>
  <c r="D16" i="23"/>
  <c r="D24" i="13"/>
  <c r="O20" i="13" s="1"/>
  <c r="D14" i="23"/>
  <c r="D18" i="22"/>
  <c r="O15" i="22" s="1"/>
  <c r="D28" i="13"/>
  <c r="E25" i="13" s="1"/>
  <c r="D15" i="23"/>
  <c r="D21" i="22"/>
  <c r="E19" i="22" s="1"/>
  <c r="D19" i="13"/>
  <c r="O11" i="13" s="1"/>
  <c r="D12" i="23"/>
  <c r="D14" i="22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2" i="10"/>
  <c r="AH944" i="10"/>
  <c r="AH943" i="10"/>
  <c r="AH942" i="10"/>
  <c r="AH941" i="10"/>
  <c r="AH940" i="10"/>
  <c r="AH939" i="10"/>
  <c r="AH938" i="10"/>
  <c r="AH937" i="10"/>
  <c r="AH936" i="10"/>
  <c r="AH935" i="10"/>
  <c r="AH934" i="10"/>
  <c r="AH933" i="10"/>
  <c r="AH932" i="10"/>
  <c r="AH931" i="10"/>
  <c r="AH930" i="10"/>
  <c r="AH929" i="10"/>
  <c r="AH928" i="10"/>
  <c r="AH927" i="10"/>
  <c r="AH926" i="10"/>
  <c r="AH925" i="10"/>
  <c r="AH924" i="10"/>
  <c r="AH923" i="10"/>
  <c r="AH922" i="10"/>
  <c r="AH921" i="10"/>
  <c r="AH920" i="10"/>
  <c r="AH919" i="10"/>
  <c r="AH918" i="10"/>
  <c r="AH917" i="10"/>
  <c r="AH916" i="10"/>
  <c r="AH915" i="10"/>
  <c r="AH914" i="10"/>
  <c r="AH913" i="10"/>
  <c r="AH912" i="10"/>
  <c r="AH911" i="10"/>
  <c r="AH910" i="10"/>
  <c r="AH909" i="10"/>
  <c r="AH908" i="10"/>
  <c r="AH907" i="10"/>
  <c r="AH906" i="10"/>
  <c r="AH905" i="10"/>
  <c r="AH904" i="10"/>
  <c r="AH903" i="10"/>
  <c r="AH902" i="10"/>
  <c r="AH901" i="10"/>
  <c r="AH900" i="10"/>
  <c r="AH899" i="10"/>
  <c r="AH898" i="10"/>
  <c r="AH897" i="10"/>
  <c r="AH896" i="10"/>
  <c r="AH895" i="10"/>
  <c r="AH894" i="10"/>
  <c r="AH893" i="10"/>
  <c r="AH892" i="10"/>
  <c r="AH891" i="10"/>
  <c r="AH890" i="10"/>
  <c r="AH889" i="10"/>
  <c r="AH888" i="10"/>
  <c r="AH887" i="10"/>
  <c r="AH886" i="10"/>
  <c r="AH885" i="10"/>
  <c r="AH884" i="10"/>
  <c r="AH883" i="10"/>
  <c r="AH882" i="10"/>
  <c r="AH881" i="10"/>
  <c r="AH880" i="10"/>
  <c r="AH879" i="10"/>
  <c r="AH878" i="10"/>
  <c r="AH877" i="10"/>
  <c r="AH876" i="10"/>
  <c r="AH875" i="10"/>
  <c r="AH874" i="10"/>
  <c r="AH873" i="10"/>
  <c r="AH872" i="10"/>
  <c r="AH871" i="10"/>
  <c r="AH870" i="10"/>
  <c r="AH869" i="10"/>
  <c r="AH868" i="10"/>
  <c r="AH867" i="10"/>
  <c r="AH866" i="10"/>
  <c r="AH865" i="10"/>
  <c r="AH864" i="10"/>
  <c r="AH863" i="10"/>
  <c r="AH862" i="10"/>
  <c r="AH861" i="10"/>
  <c r="AH860" i="10"/>
  <c r="AH859" i="10"/>
  <c r="AH858" i="10"/>
  <c r="AH857" i="10"/>
  <c r="AH856" i="10"/>
  <c r="AH855" i="10"/>
  <c r="AH854" i="10"/>
  <c r="AH853" i="10"/>
  <c r="AH852" i="10"/>
  <c r="AH851" i="10"/>
  <c r="AH850" i="10"/>
  <c r="AH849" i="10"/>
  <c r="AH848" i="10"/>
  <c r="AH847" i="10"/>
  <c r="AH846" i="10"/>
  <c r="AH845" i="10"/>
  <c r="AH844" i="10"/>
  <c r="AH843" i="10"/>
  <c r="AH842" i="10"/>
  <c r="AH841" i="10"/>
  <c r="AH840" i="10"/>
  <c r="AH839" i="10"/>
  <c r="AH838" i="10"/>
  <c r="AH837" i="10"/>
  <c r="AH836" i="10"/>
  <c r="AH835" i="10"/>
  <c r="AH834" i="10"/>
  <c r="AH833" i="10"/>
  <c r="AH832" i="10"/>
  <c r="AH831" i="10"/>
  <c r="AH830" i="10"/>
  <c r="AH829" i="10"/>
  <c r="AH828" i="10"/>
  <c r="AH827" i="10"/>
  <c r="AH826" i="10"/>
  <c r="AH825" i="10"/>
  <c r="AH824" i="10"/>
  <c r="AH823" i="10"/>
  <c r="AH822" i="10"/>
  <c r="AH821" i="10"/>
  <c r="AH820" i="10"/>
  <c r="AH819" i="10"/>
  <c r="AH818" i="10"/>
  <c r="AH817" i="10"/>
  <c r="AH816" i="10"/>
  <c r="AH815" i="10"/>
  <c r="AH814" i="10"/>
  <c r="AH813" i="10"/>
  <c r="AH812" i="10"/>
  <c r="AH811" i="10"/>
  <c r="AH810" i="10"/>
  <c r="AH809" i="10"/>
  <c r="AH808" i="10"/>
  <c r="AH807" i="10"/>
  <c r="AH806" i="10"/>
  <c r="AH805" i="10"/>
  <c r="AH804" i="10"/>
  <c r="AH803" i="10"/>
  <c r="AH802" i="10"/>
  <c r="AH801" i="10"/>
  <c r="AH800" i="10"/>
  <c r="AH799" i="10"/>
  <c r="AH798" i="10"/>
  <c r="AH797" i="10"/>
  <c r="AH796" i="10"/>
  <c r="AH795" i="10"/>
  <c r="AH794" i="10"/>
  <c r="AH793" i="10"/>
  <c r="AH792" i="10"/>
  <c r="AH791" i="10"/>
  <c r="AH790" i="10"/>
  <c r="AH789" i="10"/>
  <c r="AH788" i="10"/>
  <c r="AH787" i="10"/>
  <c r="AH786" i="10"/>
  <c r="AH785" i="10"/>
  <c r="AH784" i="10"/>
  <c r="AH783" i="10"/>
  <c r="AH782" i="10"/>
  <c r="AH781" i="10"/>
  <c r="AH780" i="10"/>
  <c r="AH779" i="10"/>
  <c r="AH778" i="10"/>
  <c r="AH777" i="10"/>
  <c r="AH776" i="10"/>
  <c r="AH775" i="10"/>
  <c r="AH774" i="10"/>
  <c r="AH773" i="10"/>
  <c r="AH772" i="10"/>
  <c r="AH771" i="10"/>
  <c r="AH770" i="10"/>
  <c r="AH769" i="10"/>
  <c r="AH768" i="10"/>
  <c r="AH767" i="10"/>
  <c r="AH766" i="10"/>
  <c r="AH765" i="10"/>
  <c r="AH764" i="10"/>
  <c r="AH763" i="10"/>
  <c r="AH762" i="10"/>
  <c r="AH761" i="10"/>
  <c r="AH760" i="10"/>
  <c r="AH759" i="10"/>
  <c r="AH758" i="10"/>
  <c r="AH757" i="10"/>
  <c r="AH756" i="10"/>
  <c r="AH755" i="10"/>
  <c r="AH754" i="10"/>
  <c r="AH753" i="10"/>
  <c r="AH752" i="10"/>
  <c r="AH751" i="10"/>
  <c r="AH750" i="10"/>
  <c r="AH749" i="10"/>
  <c r="AH748" i="10"/>
  <c r="AH747" i="10"/>
  <c r="AH746" i="10"/>
  <c r="AH745" i="10"/>
  <c r="AH744" i="10"/>
  <c r="AH743" i="10"/>
  <c r="AH742" i="10"/>
  <c r="AH741" i="10"/>
  <c r="AH740" i="10"/>
  <c r="AH739" i="10"/>
  <c r="AH738" i="10"/>
  <c r="AH737" i="10"/>
  <c r="AH736" i="10"/>
  <c r="AH735" i="10"/>
  <c r="AH734" i="10"/>
  <c r="AH733" i="10"/>
  <c r="AH732" i="10"/>
  <c r="AH731" i="10"/>
  <c r="AH730" i="10"/>
  <c r="AH729" i="10"/>
  <c r="AH728" i="10"/>
  <c r="AH727" i="10"/>
  <c r="AH726" i="10"/>
  <c r="AH725" i="10"/>
  <c r="AH724" i="10"/>
  <c r="AH723" i="10"/>
  <c r="AH722" i="10"/>
  <c r="AH721" i="10"/>
  <c r="AH720" i="10"/>
  <c r="AH719" i="10"/>
  <c r="AH718" i="10"/>
  <c r="AH717" i="10"/>
  <c r="AH716" i="10"/>
  <c r="AH715" i="10"/>
  <c r="AH714" i="10"/>
  <c r="AH713" i="10"/>
  <c r="AH712" i="10"/>
  <c r="AH711" i="10"/>
  <c r="AH710" i="10"/>
  <c r="AH709" i="10"/>
  <c r="AH708" i="10"/>
  <c r="AH707" i="10"/>
  <c r="AH706" i="10"/>
  <c r="AH705" i="10"/>
  <c r="AH704" i="10"/>
  <c r="AH703" i="10"/>
  <c r="AH702" i="10"/>
  <c r="AH701" i="10"/>
  <c r="AH700" i="10"/>
  <c r="AH699" i="10"/>
  <c r="AH698" i="10"/>
  <c r="AH697" i="10"/>
  <c r="AH696" i="10"/>
  <c r="AH695" i="10"/>
  <c r="AH694" i="10"/>
  <c r="AH693" i="10"/>
  <c r="AH692" i="10"/>
  <c r="AH691" i="10"/>
  <c r="AH690" i="10"/>
  <c r="AH689" i="10"/>
  <c r="AH688" i="10"/>
  <c r="AH687" i="10"/>
  <c r="AH686" i="10"/>
  <c r="AH685" i="10"/>
  <c r="AH684" i="10"/>
  <c r="AH683" i="10"/>
  <c r="AH682" i="10"/>
  <c r="AH681" i="10"/>
  <c r="AH680" i="10"/>
  <c r="AH679" i="10"/>
  <c r="AH678" i="10"/>
  <c r="AH677" i="10"/>
  <c r="AH676" i="10"/>
  <c r="AH675" i="10"/>
  <c r="AH674" i="10"/>
  <c r="AH673" i="10"/>
  <c r="AH672" i="10"/>
  <c r="AH671" i="10"/>
  <c r="AH670" i="10"/>
  <c r="AH669" i="10"/>
  <c r="AH668" i="10"/>
  <c r="AH667" i="10"/>
  <c r="AH666" i="10"/>
  <c r="AH665" i="10"/>
  <c r="AH664" i="10"/>
  <c r="AH663" i="10"/>
  <c r="AH662" i="10"/>
  <c r="AH661" i="10"/>
  <c r="AH660" i="10"/>
  <c r="AH659" i="10"/>
  <c r="AH658" i="10"/>
  <c r="AH657" i="10"/>
  <c r="AH656" i="10"/>
  <c r="AH655" i="10"/>
  <c r="AH654" i="10"/>
  <c r="AH653" i="10"/>
  <c r="AH652" i="10"/>
  <c r="AH651" i="10"/>
  <c r="AH650" i="10"/>
  <c r="AH649" i="10"/>
  <c r="AH648" i="10"/>
  <c r="AH647" i="10"/>
  <c r="AH646" i="10"/>
  <c r="AH645" i="10"/>
  <c r="AH644" i="10"/>
  <c r="AH643" i="10"/>
  <c r="AH642" i="10"/>
  <c r="AH641" i="10"/>
  <c r="AH640" i="10"/>
  <c r="AH639" i="10"/>
  <c r="AH638" i="10"/>
  <c r="AH637" i="10"/>
  <c r="AH636" i="10"/>
  <c r="AH635" i="10"/>
  <c r="AH634" i="10"/>
  <c r="AH633" i="10"/>
  <c r="AH632" i="10"/>
  <c r="AH631" i="10"/>
  <c r="AH630" i="10"/>
  <c r="AH629" i="10"/>
  <c r="AH628" i="10"/>
  <c r="AH627" i="10"/>
  <c r="AH626" i="10"/>
  <c r="AH625" i="10"/>
  <c r="AH624" i="10"/>
  <c r="AH623" i="10"/>
  <c r="AH622" i="10"/>
  <c r="AH621" i="10"/>
  <c r="AH620" i="10"/>
  <c r="AH619" i="10"/>
  <c r="AH618" i="10"/>
  <c r="AH617" i="10"/>
  <c r="AH616" i="10"/>
  <c r="AH615" i="10"/>
  <c r="AH614" i="10"/>
  <c r="AH613" i="10"/>
  <c r="AH612" i="10"/>
  <c r="AH611" i="10"/>
  <c r="AH610" i="10"/>
  <c r="AH609" i="10"/>
  <c r="AH608" i="10"/>
  <c r="AH607" i="10"/>
  <c r="AH606" i="10"/>
  <c r="AH605" i="10"/>
  <c r="AH604" i="10"/>
  <c r="AH603" i="10"/>
  <c r="AH602" i="10"/>
  <c r="AH601" i="10"/>
  <c r="AH600" i="10"/>
  <c r="AH599" i="10"/>
  <c r="AH598" i="10"/>
  <c r="AH597" i="10"/>
  <c r="AH596" i="10"/>
  <c r="AH595" i="10"/>
  <c r="AH594" i="10"/>
  <c r="AH593" i="10"/>
  <c r="AH592" i="10"/>
  <c r="AH591" i="10"/>
  <c r="AH590" i="10"/>
  <c r="AH589" i="10"/>
  <c r="AH588" i="10"/>
  <c r="AH587" i="10"/>
  <c r="AH586" i="10"/>
  <c r="AH585" i="10"/>
  <c r="AH584" i="10"/>
  <c r="AH583" i="10"/>
  <c r="AH582" i="10"/>
  <c r="AH581" i="10"/>
  <c r="AH580" i="10"/>
  <c r="AH579" i="10"/>
  <c r="AH578" i="10"/>
  <c r="AH577" i="10"/>
  <c r="AH576" i="10"/>
  <c r="AH575" i="10"/>
  <c r="AH574" i="10"/>
  <c r="AH573" i="10"/>
  <c r="AH572" i="10"/>
  <c r="AH571" i="10"/>
  <c r="AH570" i="10"/>
  <c r="AH569" i="10"/>
  <c r="AH568" i="10"/>
  <c r="AH567" i="10"/>
  <c r="AH566" i="10"/>
  <c r="AH565" i="10"/>
  <c r="AH564" i="10"/>
  <c r="AH563" i="10"/>
  <c r="AH562" i="10"/>
  <c r="AH561" i="10"/>
  <c r="AH560" i="10"/>
  <c r="AH559" i="10"/>
  <c r="AH558" i="10"/>
  <c r="AH557" i="10"/>
  <c r="AH556" i="10"/>
  <c r="AH555" i="10"/>
  <c r="AH554" i="10"/>
  <c r="AH553" i="10"/>
  <c r="AH552" i="10"/>
  <c r="AH551" i="10"/>
  <c r="AH550" i="10"/>
  <c r="AH549" i="10"/>
  <c r="AH548" i="10"/>
  <c r="AH547" i="10"/>
  <c r="AH546" i="10"/>
  <c r="AH545" i="10"/>
  <c r="AH544" i="10"/>
  <c r="AH543" i="10"/>
  <c r="AH542" i="10"/>
  <c r="AH541" i="10"/>
  <c r="AH540" i="10"/>
  <c r="AH539" i="10"/>
  <c r="AH538" i="10"/>
  <c r="AH537" i="10"/>
  <c r="AH536" i="10"/>
  <c r="AH535" i="10"/>
  <c r="AH534" i="10"/>
  <c r="AH533" i="10"/>
  <c r="AH532" i="10"/>
  <c r="AH531" i="10"/>
  <c r="AH530" i="10"/>
  <c r="AH529" i="10"/>
  <c r="AH528" i="10"/>
  <c r="AH527" i="10"/>
  <c r="AH526" i="10"/>
  <c r="AH525" i="10"/>
  <c r="AH524" i="10"/>
  <c r="AH523" i="10"/>
  <c r="AH522" i="10"/>
  <c r="AH521" i="10"/>
  <c r="AH520" i="10"/>
  <c r="AH519" i="10"/>
  <c r="AH518" i="10"/>
  <c r="AH517" i="10"/>
  <c r="AH516" i="10"/>
  <c r="AH515" i="10"/>
  <c r="AH514" i="10"/>
  <c r="AH513" i="10"/>
  <c r="AH512" i="10"/>
  <c r="AH511" i="10"/>
  <c r="AH510" i="10"/>
  <c r="AH509" i="10"/>
  <c r="AH508" i="10"/>
  <c r="AH507" i="10"/>
  <c r="AH506" i="10"/>
  <c r="AH505" i="10"/>
  <c r="AH504" i="10"/>
  <c r="AH503" i="10"/>
  <c r="AH502" i="10"/>
  <c r="AH501" i="10"/>
  <c r="AH500" i="10"/>
  <c r="AH499" i="10"/>
  <c r="AH498" i="10"/>
  <c r="AH497" i="10"/>
  <c r="AH496" i="10"/>
  <c r="AH495" i="10"/>
  <c r="AH494" i="10"/>
  <c r="AH493" i="10"/>
  <c r="AH492" i="10"/>
  <c r="AH491" i="10"/>
  <c r="AH490" i="10"/>
  <c r="AH489" i="10"/>
  <c r="AH488" i="10"/>
  <c r="AH487" i="10"/>
  <c r="AH486" i="10"/>
  <c r="AH485" i="10"/>
  <c r="AH484" i="10"/>
  <c r="AH483" i="10"/>
  <c r="AH482" i="10"/>
  <c r="AH481" i="10"/>
  <c r="AH480" i="10"/>
  <c r="AH479" i="10"/>
  <c r="AH478" i="10"/>
  <c r="AH477" i="10"/>
  <c r="AH476" i="10"/>
  <c r="AH475" i="10"/>
  <c r="AH474" i="10"/>
  <c r="AH473" i="10"/>
  <c r="AH472" i="10"/>
  <c r="AH471" i="10"/>
  <c r="AH470" i="10"/>
  <c r="AH469" i="10"/>
  <c r="AH468" i="10"/>
  <c r="AH467" i="10"/>
  <c r="AH466" i="10"/>
  <c r="AH465" i="10"/>
  <c r="AH464" i="10"/>
  <c r="AH463" i="10"/>
  <c r="AH462" i="10"/>
  <c r="AH461" i="10"/>
  <c r="AH460" i="10"/>
  <c r="AH459" i="10"/>
  <c r="AH458" i="10"/>
  <c r="AH457" i="10"/>
  <c r="AH456" i="10"/>
  <c r="AH455" i="10"/>
  <c r="AH454" i="10"/>
  <c r="AH453" i="10"/>
  <c r="AH452" i="10"/>
  <c r="AH451" i="10"/>
  <c r="AH450" i="10"/>
  <c r="AH449" i="10"/>
  <c r="AH448" i="10"/>
  <c r="AH447" i="10"/>
  <c r="AH446" i="10"/>
  <c r="AH445" i="10"/>
  <c r="AH444" i="10"/>
  <c r="AH443" i="10"/>
  <c r="AH442" i="10"/>
  <c r="AH441" i="10"/>
  <c r="AH440" i="10"/>
  <c r="AH439" i="10"/>
  <c r="AH438" i="10"/>
  <c r="AH437" i="10"/>
  <c r="AH436" i="10"/>
  <c r="AH435" i="10"/>
  <c r="AH434" i="10"/>
  <c r="AH433" i="10"/>
  <c r="AH432" i="10"/>
  <c r="AH431" i="10"/>
  <c r="AH430" i="10"/>
  <c r="AH429" i="10"/>
  <c r="AH428" i="10"/>
  <c r="AH427" i="10"/>
  <c r="AH426" i="10"/>
  <c r="AH425" i="10"/>
  <c r="AH424" i="10"/>
  <c r="AH423" i="10"/>
  <c r="AH422" i="10"/>
  <c r="AH421" i="10"/>
  <c r="AH420" i="10"/>
  <c r="AH419" i="10"/>
  <c r="AH418" i="10"/>
  <c r="AH417" i="10"/>
  <c r="AH416" i="10"/>
  <c r="AH415" i="10"/>
  <c r="AH414" i="10"/>
  <c r="AH413" i="10"/>
  <c r="AH412" i="10"/>
  <c r="AH411" i="10"/>
  <c r="AH410" i="10"/>
  <c r="AH409" i="10"/>
  <c r="AH408" i="10"/>
  <c r="AH407" i="10"/>
  <c r="AH406" i="10"/>
  <c r="AH405" i="10"/>
  <c r="AH404" i="10"/>
  <c r="AH403" i="10"/>
  <c r="AH402" i="10"/>
  <c r="AH401" i="10"/>
  <c r="AH400" i="10"/>
  <c r="AH399" i="10"/>
  <c r="AH398" i="10"/>
  <c r="AH397" i="10"/>
  <c r="AH396" i="10"/>
  <c r="AH395" i="10"/>
  <c r="AH394" i="10"/>
  <c r="AH393" i="10"/>
  <c r="AH392" i="10"/>
  <c r="AH391" i="10"/>
  <c r="AH390" i="10"/>
  <c r="AH389" i="10"/>
  <c r="AH388" i="10"/>
  <c r="AH387" i="10"/>
  <c r="AH386" i="10"/>
  <c r="AH385" i="10"/>
  <c r="AH384" i="10"/>
  <c r="AH383" i="10"/>
  <c r="AH382" i="10"/>
  <c r="AH381" i="10"/>
  <c r="AH380" i="10"/>
  <c r="AH379" i="10"/>
  <c r="AH378" i="10"/>
  <c r="AH377" i="10"/>
  <c r="AH376" i="10"/>
  <c r="AH375" i="10"/>
  <c r="AH374" i="10"/>
  <c r="AH373" i="10"/>
  <c r="AH372" i="10"/>
  <c r="AH371" i="10"/>
  <c r="AH370" i="10"/>
  <c r="AH369" i="10"/>
  <c r="AH368" i="10"/>
  <c r="AH367" i="10"/>
  <c r="AH366" i="10"/>
  <c r="AH365" i="10"/>
  <c r="AH364" i="10"/>
  <c r="AH363" i="10"/>
  <c r="AH362" i="10"/>
  <c r="AH361" i="10"/>
  <c r="AH360" i="10"/>
  <c r="AH359" i="10"/>
  <c r="AH358" i="10"/>
  <c r="AH357" i="10"/>
  <c r="AH356" i="10"/>
  <c r="AH355" i="10"/>
  <c r="AH354" i="10"/>
  <c r="AH353" i="10"/>
  <c r="AH352" i="10"/>
  <c r="AH351" i="10"/>
  <c r="AH350" i="10"/>
  <c r="AH349" i="10"/>
  <c r="AH348" i="10"/>
  <c r="AH347" i="10"/>
  <c r="AH346" i="10"/>
  <c r="AH345" i="10"/>
  <c r="AH344" i="10"/>
  <c r="AH343" i="10"/>
  <c r="AH342" i="10"/>
  <c r="AH341" i="10"/>
  <c r="AH340" i="10"/>
  <c r="AH339" i="10"/>
  <c r="AH338" i="10"/>
  <c r="AH337" i="10"/>
  <c r="AH336" i="10"/>
  <c r="AH335" i="10"/>
  <c r="AH334" i="10"/>
  <c r="AH333" i="10"/>
  <c r="AH332" i="10"/>
  <c r="AH331" i="10"/>
  <c r="AH330" i="10"/>
  <c r="AH329" i="10"/>
  <c r="AH328" i="10"/>
  <c r="AH327" i="10"/>
  <c r="AH326" i="10"/>
  <c r="AH325" i="10"/>
  <c r="AH324" i="10"/>
  <c r="AH323" i="10"/>
  <c r="AH322" i="10"/>
  <c r="AH321" i="10"/>
  <c r="AH320" i="10"/>
  <c r="AH319" i="10"/>
  <c r="AH318" i="10"/>
  <c r="AH317" i="10"/>
  <c r="AH316" i="10"/>
  <c r="AH315" i="10"/>
  <c r="AH314" i="10"/>
  <c r="AH313" i="10"/>
  <c r="AH312" i="10"/>
  <c r="AH311" i="10"/>
  <c r="AH310" i="10"/>
  <c r="AH309" i="10"/>
  <c r="AH308" i="10"/>
  <c r="AH307" i="10"/>
  <c r="AH306" i="10"/>
  <c r="AH305" i="10"/>
  <c r="AH304" i="10"/>
  <c r="AH303" i="10"/>
  <c r="AH302" i="10"/>
  <c r="AH301" i="10"/>
  <c r="AH300" i="10"/>
  <c r="AH299" i="10"/>
  <c r="AH298" i="10"/>
  <c r="AH297" i="10"/>
  <c r="AH296" i="10"/>
  <c r="AH295" i="10"/>
  <c r="AH294" i="10"/>
  <c r="AH293" i="10"/>
  <c r="AH292" i="10"/>
  <c r="AH291" i="10"/>
  <c r="AH290" i="10"/>
  <c r="AH289" i="10"/>
  <c r="AH288" i="10"/>
  <c r="AH287" i="10"/>
  <c r="AH286" i="10"/>
  <c r="AH285" i="10"/>
  <c r="AH284" i="10"/>
  <c r="AH283" i="10"/>
  <c r="AH282" i="10"/>
  <c r="AH281" i="10"/>
  <c r="AH280" i="10"/>
  <c r="AH279" i="10"/>
  <c r="AH278" i="10"/>
  <c r="AH277" i="10"/>
  <c r="AH276" i="10"/>
  <c r="AH275" i="10"/>
  <c r="AH274" i="10"/>
  <c r="AH273" i="10"/>
  <c r="AH272" i="10"/>
  <c r="AH271" i="10"/>
  <c r="AH270" i="10"/>
  <c r="AH269" i="10"/>
  <c r="AH268" i="10"/>
  <c r="AH267" i="10"/>
  <c r="AH266" i="10"/>
  <c r="AH265" i="10"/>
  <c r="AH264" i="10"/>
  <c r="AH263" i="10"/>
  <c r="AH262" i="10"/>
  <c r="AH261" i="10"/>
  <c r="AH260" i="10"/>
  <c r="AH259" i="10"/>
  <c r="AH258" i="10"/>
  <c r="AH257" i="10"/>
  <c r="AH256" i="10"/>
  <c r="AH255" i="10"/>
  <c r="AH254" i="10"/>
  <c r="AH253" i="10"/>
  <c r="AH252" i="10"/>
  <c r="AH251" i="10"/>
  <c r="AH250" i="10"/>
  <c r="AH249" i="10"/>
  <c r="AH248" i="10"/>
  <c r="AH247" i="10"/>
  <c r="AH246" i="10"/>
  <c r="AH245" i="10"/>
  <c r="AH244" i="10"/>
  <c r="AH243" i="10"/>
  <c r="AH242" i="10"/>
  <c r="AH241" i="10"/>
  <c r="AH240" i="10"/>
  <c r="AH239" i="10"/>
  <c r="AH238" i="10"/>
  <c r="AH237" i="10"/>
  <c r="AH236" i="10"/>
  <c r="AH235" i="10"/>
  <c r="AH234" i="10"/>
  <c r="AH233" i="10"/>
  <c r="AH232" i="10"/>
  <c r="AH231" i="10"/>
  <c r="AH230" i="10"/>
  <c r="AH229" i="10"/>
  <c r="AH228" i="10"/>
  <c r="AH227" i="10"/>
  <c r="AH226" i="10"/>
  <c r="AH225" i="10"/>
  <c r="AH224" i="10"/>
  <c r="AH223" i="10"/>
  <c r="AH222" i="10"/>
  <c r="AH221" i="10"/>
  <c r="AH220" i="10"/>
  <c r="AH219" i="10"/>
  <c r="AH218" i="10"/>
  <c r="AH217" i="10"/>
  <c r="AH216" i="10"/>
  <c r="AH215" i="10"/>
  <c r="AH214" i="10"/>
  <c r="AH213" i="10"/>
  <c r="AH212" i="10"/>
  <c r="AH211" i="10"/>
  <c r="AH210" i="10"/>
  <c r="AH209" i="10"/>
  <c r="AH208" i="10"/>
  <c r="AH207" i="10"/>
  <c r="AH206" i="10"/>
  <c r="AH205" i="10"/>
  <c r="AH204" i="10"/>
  <c r="AH203" i="10"/>
  <c r="AH202" i="10"/>
  <c r="AH201" i="10"/>
  <c r="AH200" i="10"/>
  <c r="AH199" i="10"/>
  <c r="AH198" i="10"/>
  <c r="AH197" i="10"/>
  <c r="AH196" i="10"/>
  <c r="AH195" i="10"/>
  <c r="AH194" i="10"/>
  <c r="AH193" i="10"/>
  <c r="AH192" i="10"/>
  <c r="AH191" i="10"/>
  <c r="AH190" i="10"/>
  <c r="AH189" i="10"/>
  <c r="AH188" i="10"/>
  <c r="AH187" i="10"/>
  <c r="AH186" i="10"/>
  <c r="AH185" i="10"/>
  <c r="AH184" i="10"/>
  <c r="AH183" i="10"/>
  <c r="AH182" i="10"/>
  <c r="AH181" i="10"/>
  <c r="AH180" i="10"/>
  <c r="AH179" i="10"/>
  <c r="AH178" i="10"/>
  <c r="AH177" i="10"/>
  <c r="AH176" i="10"/>
  <c r="AH175" i="10"/>
  <c r="AH174" i="10"/>
  <c r="AH173" i="10"/>
  <c r="AH172" i="10"/>
  <c r="AH171" i="10"/>
  <c r="AH170" i="10"/>
  <c r="AH169" i="10"/>
  <c r="AH168" i="10"/>
  <c r="AH167" i="10"/>
  <c r="AH166" i="10"/>
  <c r="AH165" i="10"/>
  <c r="AH164" i="10"/>
  <c r="AH163" i="10"/>
  <c r="AH162" i="10"/>
  <c r="AH161" i="10"/>
  <c r="AH160" i="10"/>
  <c r="AH159" i="10"/>
  <c r="AH158" i="10"/>
  <c r="AH157" i="10"/>
  <c r="AH156" i="10"/>
  <c r="AH155" i="10"/>
  <c r="AH154" i="10"/>
  <c r="AH153" i="10"/>
  <c r="AH152" i="10"/>
  <c r="AH151" i="10"/>
  <c r="AH150" i="10"/>
  <c r="AH149" i="10"/>
  <c r="AH148" i="10"/>
  <c r="AH147" i="10"/>
  <c r="AH146" i="10"/>
  <c r="AH145" i="10"/>
  <c r="AH144" i="10"/>
  <c r="AH143" i="10"/>
  <c r="AH142" i="10"/>
  <c r="AH141" i="10"/>
  <c r="AH140" i="10"/>
  <c r="AH139" i="10"/>
  <c r="AH138" i="10"/>
  <c r="AH137" i="10"/>
  <c r="AH136" i="10"/>
  <c r="AH135" i="10"/>
  <c r="AH134" i="10"/>
  <c r="AH133" i="10"/>
  <c r="AH132" i="10"/>
  <c r="AH131" i="10"/>
  <c r="AH130" i="10"/>
  <c r="AH129" i="10"/>
  <c r="AH128" i="10"/>
  <c r="AH127" i="10"/>
  <c r="AH126" i="10"/>
  <c r="AH125" i="10"/>
  <c r="AH124" i="10"/>
  <c r="AH123" i="10"/>
  <c r="AH122" i="10"/>
  <c r="AH121" i="10"/>
  <c r="AH120" i="10"/>
  <c r="AH119" i="10"/>
  <c r="AH118" i="10"/>
  <c r="AH117" i="10"/>
  <c r="AH116" i="10"/>
  <c r="AH115" i="10"/>
  <c r="AH114" i="10"/>
  <c r="AH113" i="10"/>
  <c r="AH112" i="10"/>
  <c r="AH111" i="10"/>
  <c r="AH110" i="10"/>
  <c r="AH109" i="10"/>
  <c r="AH108" i="10"/>
  <c r="AH107" i="10"/>
  <c r="AH106" i="10"/>
  <c r="AH105" i="10"/>
  <c r="AH104" i="10"/>
  <c r="AH103" i="10"/>
  <c r="AH102" i="10"/>
  <c r="AH101" i="10"/>
  <c r="AH100" i="10"/>
  <c r="AH99" i="10"/>
  <c r="AH98" i="10"/>
  <c r="AH97" i="10"/>
  <c r="AH96" i="10"/>
  <c r="AH95" i="10"/>
  <c r="AH94" i="10"/>
  <c r="AH93" i="10"/>
  <c r="AH92" i="10"/>
  <c r="AH91" i="10"/>
  <c r="AH90" i="10"/>
  <c r="AH89" i="10"/>
  <c r="AH88" i="10"/>
  <c r="AH87" i="10"/>
  <c r="AH86" i="10"/>
  <c r="AH85" i="10"/>
  <c r="AH84" i="10"/>
  <c r="AH83" i="10"/>
  <c r="AH82" i="10"/>
  <c r="AH81" i="10"/>
  <c r="AH80" i="10"/>
  <c r="AH79" i="10"/>
  <c r="AH78" i="10"/>
  <c r="AH77" i="10"/>
  <c r="AH76" i="10"/>
  <c r="AH75" i="10"/>
  <c r="AH74" i="10"/>
  <c r="AH73" i="10"/>
  <c r="AH72" i="10"/>
  <c r="AH71" i="10"/>
  <c r="AH70" i="10"/>
  <c r="AH69" i="10"/>
  <c r="AH68" i="10"/>
  <c r="AH67" i="10"/>
  <c r="AH66" i="10"/>
  <c r="AH65" i="10"/>
  <c r="AH64" i="10"/>
  <c r="AH63" i="10"/>
  <c r="AH62" i="10"/>
  <c r="AH61" i="10"/>
  <c r="AH60" i="10"/>
  <c r="AH59" i="10"/>
  <c r="AH58" i="10"/>
  <c r="AH57" i="10"/>
  <c r="AH56" i="10"/>
  <c r="AH55" i="10"/>
  <c r="AH54" i="10"/>
  <c r="AH53" i="10"/>
  <c r="AH52" i="10"/>
  <c r="AH51" i="10"/>
  <c r="AH50" i="10"/>
  <c r="AH49" i="10"/>
  <c r="AH48" i="10"/>
  <c r="AH47" i="10"/>
  <c r="AH46" i="10"/>
  <c r="AH45" i="10"/>
  <c r="AH44" i="10"/>
  <c r="AH43" i="10"/>
  <c r="AH42" i="10"/>
  <c r="AH41" i="10"/>
  <c r="AH40" i="10"/>
  <c r="AH39" i="10"/>
  <c r="AH38" i="10"/>
  <c r="AH37" i="10"/>
  <c r="AH36" i="10"/>
  <c r="AH35" i="10"/>
  <c r="AH34" i="10"/>
  <c r="AH33" i="10"/>
  <c r="AH32" i="10"/>
  <c r="AH31" i="10"/>
  <c r="AH30" i="10"/>
  <c r="AH29" i="10"/>
  <c r="AH28" i="10"/>
  <c r="AH27" i="10"/>
  <c r="AH26" i="10"/>
  <c r="AH25" i="10"/>
  <c r="AH24" i="10"/>
  <c r="AH23" i="10"/>
  <c r="AH22" i="10"/>
  <c r="AH21" i="10"/>
  <c r="AH20" i="10"/>
  <c r="AH19" i="10"/>
  <c r="AH18" i="10"/>
  <c r="AH17" i="10"/>
  <c r="AH16" i="10"/>
  <c r="AH15" i="10"/>
  <c r="AH14" i="10"/>
  <c r="AH13" i="10"/>
  <c r="AH12" i="10"/>
  <c r="AH11" i="10"/>
  <c r="AH10" i="10"/>
  <c r="AH9" i="10"/>
  <c r="AH8" i="10"/>
  <c r="AH7" i="10"/>
  <c r="AH6" i="10"/>
  <c r="AH5" i="10"/>
  <c r="AH4" i="10"/>
  <c r="AH3" i="10"/>
  <c r="AH2" i="10"/>
  <c r="E15" i="22" l="1"/>
  <c r="Q11" i="22"/>
  <c r="O11" i="22"/>
  <c r="E11" i="13"/>
  <c r="Q11" i="13"/>
  <c r="E11" i="22"/>
  <c r="E20" i="13"/>
</calcChain>
</file>

<file path=xl/sharedStrings.xml><?xml version="1.0" encoding="utf-8"?>
<sst xmlns="http://schemas.openxmlformats.org/spreadsheetml/2006/main" count="3646" uniqueCount="388">
  <si>
    <t>Samples</t>
  </si>
  <si>
    <t>A</t>
  </si>
  <si>
    <t>T</t>
  </si>
  <si>
    <t>N</t>
  </si>
  <si>
    <t>G</t>
  </si>
  <si>
    <t>D</t>
  </si>
  <si>
    <t>E</t>
  </si>
  <si>
    <t>S</t>
  </si>
  <si>
    <t>K</t>
  </si>
  <si>
    <t>H</t>
  </si>
  <si>
    <t>R</t>
  </si>
  <si>
    <t>DEL</t>
  </si>
  <si>
    <t>Row Labels</t>
  </si>
  <si>
    <t>Grand Total</t>
  </si>
  <si>
    <t>CD10-m880</t>
  </si>
  <si>
    <t>CD20-m020</t>
  </si>
  <si>
    <t>CD20-m021</t>
  </si>
  <si>
    <t>CD20-m022</t>
  </si>
  <si>
    <t>CD20-m023</t>
  </si>
  <si>
    <t>CD20-m028</t>
  </si>
  <si>
    <t>CD20-m034</t>
  </si>
  <si>
    <t>CD20-m038</t>
  </si>
  <si>
    <t>CD21-m010</t>
  </si>
  <si>
    <t>CD21-m017</t>
  </si>
  <si>
    <t>CD46-m331</t>
  </si>
  <si>
    <t>CD46-m332</t>
  </si>
  <si>
    <t>CD46-m333</t>
  </si>
  <si>
    <t>CD46-m334</t>
  </si>
  <si>
    <t>CD46-m336</t>
  </si>
  <si>
    <t>CD46-m339</t>
  </si>
  <si>
    <t>CD46-m340</t>
  </si>
  <si>
    <t>CD5-m260</t>
  </si>
  <si>
    <t>CD5-m263</t>
  </si>
  <si>
    <t>CD5-m264</t>
  </si>
  <si>
    <t>CD5-m265</t>
  </si>
  <si>
    <t>CD5-m269</t>
  </si>
  <si>
    <t>CD5-m272</t>
  </si>
  <si>
    <t>CD5-m273</t>
  </si>
  <si>
    <t>CD5-m281</t>
  </si>
  <si>
    <t>CD5-m285</t>
  </si>
  <si>
    <t>CD50-m131</t>
  </si>
  <si>
    <t>Escape Path ID</t>
  </si>
  <si>
    <t>L</t>
  </si>
  <si>
    <t>M</t>
  </si>
  <si>
    <t>Q</t>
  </si>
  <si>
    <t>P</t>
  </si>
  <si>
    <t>I</t>
  </si>
  <si>
    <t>V</t>
  </si>
  <si>
    <t>F</t>
  </si>
  <si>
    <t>B</t>
  </si>
  <si>
    <t>C</t>
  </si>
  <si>
    <t>Escape Path</t>
  </si>
  <si>
    <t>Other</t>
  </si>
  <si>
    <t>aa_pos</t>
  </si>
  <si>
    <t>HXB2_pos</t>
  </si>
  <si>
    <t>HXB2_aa</t>
  </si>
  <si>
    <t>aa_alt</t>
  </si>
  <si>
    <t>4a</t>
  </si>
  <si>
    <t>-</t>
  </si>
  <si>
    <t>4b</t>
  </si>
  <si>
    <t>4c</t>
  </si>
  <si>
    <t>Y</t>
  </si>
  <si>
    <t>W</t>
  </si>
  <si>
    <t>15a</t>
  </si>
  <si>
    <t>15b</t>
  </si>
  <si>
    <t>15c</t>
  </si>
  <si>
    <t>15d</t>
  </si>
  <si>
    <t>322a</t>
  </si>
  <si>
    <t>Score</t>
  </si>
  <si>
    <t>Syn</t>
  </si>
  <si>
    <t>JRCSF_aa</t>
  </si>
  <si>
    <t>CD21-m002</t>
  </si>
  <si>
    <t>CD21-m003</t>
  </si>
  <si>
    <t>CD21-m004</t>
  </si>
  <si>
    <t>CD21-m006</t>
  </si>
  <si>
    <t>CD21-m007</t>
  </si>
  <si>
    <t>CD21-m008</t>
  </si>
  <si>
    <t>CD21-m009</t>
  </si>
  <si>
    <t>CD21-m998</t>
  </si>
  <si>
    <t>CD21-m999</t>
  </si>
  <si>
    <t>CD30-m193</t>
  </si>
  <si>
    <t>CD30-m195</t>
  </si>
  <si>
    <t>CD30-m196</t>
  </si>
  <si>
    <t>CD30-m197</t>
  </si>
  <si>
    <t>CD30-m203</t>
  </si>
  <si>
    <t>CD30-m204</t>
  </si>
  <si>
    <t>CD30-m205</t>
  </si>
  <si>
    <t>CD30-m207</t>
  </si>
  <si>
    <t>CD30-m229</t>
  </si>
  <si>
    <t>CD30-m230</t>
  </si>
  <si>
    <t>CD30-m231</t>
  </si>
  <si>
    <t>CD50-m066</t>
  </si>
  <si>
    <t>CD50-m068</t>
  </si>
  <si>
    <t>CD50-m069</t>
  </si>
  <si>
    <t>CD50-m071</t>
  </si>
  <si>
    <t>CD50-m073</t>
  </si>
  <si>
    <t>CD50-m074</t>
  </si>
  <si>
    <t>133a</t>
  </si>
  <si>
    <t>145a</t>
  </si>
  <si>
    <t>187a</t>
  </si>
  <si>
    <t>307a</t>
  </si>
  <si>
    <t>307b</t>
  </si>
  <si>
    <t>350a</t>
  </si>
  <si>
    <t>393a</t>
  </si>
  <si>
    <t>393b</t>
  </si>
  <si>
    <t>393c</t>
  </si>
  <si>
    <t>393d</t>
  </si>
  <si>
    <t>A: D279A</t>
  </si>
  <si>
    <t>F: D279Y</t>
  </si>
  <si>
    <t>Weeks Post-AAV</t>
  </si>
  <si>
    <t>Luciferase</t>
  </si>
  <si>
    <t>VRC07</t>
  </si>
  <si>
    <t>PGDM140</t>
  </si>
  <si>
    <t>N6</t>
  </si>
  <si>
    <t>m998</t>
  </si>
  <si>
    <t>m999</t>
  </si>
  <si>
    <t>m002</t>
  </si>
  <si>
    <t>m003</t>
  </si>
  <si>
    <t>m012</t>
  </si>
  <si>
    <t>m013</t>
  </si>
  <si>
    <t>m022</t>
  </si>
  <si>
    <t>m023</t>
  </si>
  <si>
    <t>m026</t>
  </si>
  <si>
    <t>m014</t>
  </si>
  <si>
    <t>m016</t>
  </si>
  <si>
    <t>m018</t>
  </si>
  <si>
    <t>m020</t>
  </si>
  <si>
    <t>m021</t>
  </si>
  <si>
    <t>m027</t>
  </si>
  <si>
    <t>m028</t>
  </si>
  <si>
    <t>m034</t>
  </si>
  <si>
    <t>m038</t>
  </si>
  <si>
    <t>m010</t>
  </si>
  <si>
    <t>m011</t>
  </si>
  <si>
    <t>m015</t>
  </si>
  <si>
    <t>m017</t>
  </si>
  <si>
    <t>m019</t>
  </si>
  <si>
    <t>m004</t>
  </si>
  <si>
    <t>m005</t>
  </si>
  <si>
    <t>m006</t>
  </si>
  <si>
    <t>m007</t>
  </si>
  <si>
    <t>m008</t>
  </si>
  <si>
    <t>m009</t>
  </si>
  <si>
    <t>m029</t>
  </si>
  <si>
    <t>m030</t>
  </si>
  <si>
    <t>m031</t>
  </si>
  <si>
    <t>m032</t>
  </si>
  <si>
    <t>m033</t>
  </si>
  <si>
    <t>m782*</t>
  </si>
  <si>
    <t>m783</t>
  </si>
  <si>
    <t>m784</t>
  </si>
  <si>
    <t>m785</t>
  </si>
  <si>
    <t>m786</t>
  </si>
  <si>
    <t>m787</t>
  </si>
  <si>
    <t>m788</t>
  </si>
  <si>
    <t>m789</t>
  </si>
  <si>
    <t>m806</t>
  </si>
  <si>
    <t>m807</t>
  </si>
  <si>
    <t>m808</t>
  </si>
  <si>
    <t>m809</t>
  </si>
  <si>
    <t>m810</t>
  </si>
  <si>
    <t>m756</t>
  </si>
  <si>
    <t>m757</t>
  </si>
  <si>
    <t>m773</t>
  </si>
  <si>
    <t>m774</t>
  </si>
  <si>
    <t>m776</t>
  </si>
  <si>
    <t>m777</t>
  </si>
  <si>
    <t>m778</t>
  </si>
  <si>
    <t>m779</t>
  </si>
  <si>
    <t>m780</t>
  </si>
  <si>
    <t>m781</t>
  </si>
  <si>
    <t>CD5-m245</t>
  </si>
  <si>
    <t>CD5-m246</t>
  </si>
  <si>
    <t>CD5-m247</t>
  </si>
  <si>
    <t>CD5-m248</t>
  </si>
  <si>
    <t>CD5-m249</t>
  </si>
  <si>
    <t>CD5-m250</t>
  </si>
  <si>
    <t>CD5-m251</t>
  </si>
  <si>
    <t>CD5-m253</t>
  </si>
  <si>
    <t>CD5-m254</t>
  </si>
  <si>
    <t>CD5-m255</t>
  </si>
  <si>
    <t>CD5-m256</t>
  </si>
  <si>
    <t>CD5-m257</t>
  </si>
  <si>
    <t>CD5-m286</t>
  </si>
  <si>
    <t>CD5-m287</t>
  </si>
  <si>
    <t>CD5-m288</t>
  </si>
  <si>
    <t>CD5-m289</t>
  </si>
  <si>
    <t>CD5-m290</t>
  </si>
  <si>
    <t>CD10-m891</t>
  </si>
  <si>
    <t>CD10-m892</t>
  </si>
  <si>
    <t>CD10-m893</t>
  </si>
  <si>
    <t>CD10-m894</t>
  </si>
  <si>
    <t>CD10-m895</t>
  </si>
  <si>
    <t>CD10-m856</t>
  </si>
  <si>
    <t>CD10-m857</t>
  </si>
  <si>
    <t>CD10-m858</t>
  </si>
  <si>
    <t>CD10-m859</t>
  </si>
  <si>
    <t>CD10-m860</t>
  </si>
  <si>
    <t>CD20-m989</t>
  </si>
  <si>
    <t>CD20-m990</t>
  </si>
  <si>
    <t>CD20-m991</t>
  </si>
  <si>
    <t>CD20-m992</t>
  </si>
  <si>
    <t>CD20-m993</t>
  </si>
  <si>
    <t>CD20-m994</t>
  </si>
  <si>
    <t>CD20-m995</t>
  </si>
  <si>
    <t>CD20-m996</t>
  </si>
  <si>
    <t>CD20-m997</t>
  </si>
  <si>
    <t>CD20-m998</t>
  </si>
  <si>
    <t>CD20-m999</t>
  </si>
  <si>
    <t>CD20-m000</t>
  </si>
  <si>
    <t>CD20-m001</t>
  </si>
  <si>
    <t>CD20-m002</t>
  </si>
  <si>
    <t>CD20-m003</t>
  </si>
  <si>
    <t>CD21-m012</t>
  </si>
  <si>
    <t>CD21-m013</t>
  </si>
  <si>
    <t>CD21-m021*</t>
  </si>
  <si>
    <t>CD21-m022</t>
  </si>
  <si>
    <t>CD21-m023</t>
  </si>
  <si>
    <t>CD21-m024</t>
  </si>
  <si>
    <t>CD21-m025</t>
  </si>
  <si>
    <t>CD21-m026</t>
  </si>
  <si>
    <t>CD46-m324</t>
  </si>
  <si>
    <t>CD46-m327*</t>
  </si>
  <si>
    <t>CD46-m328</t>
  </si>
  <si>
    <t>CD46-m330</t>
  </si>
  <si>
    <t>CD5-m261</t>
  </si>
  <si>
    <t>CD5-m266</t>
  </si>
  <si>
    <t>CD5-m267</t>
  </si>
  <si>
    <t>CD5-m270</t>
  </si>
  <si>
    <t>CD5-m271</t>
  </si>
  <si>
    <t>CD5-m282</t>
  </si>
  <si>
    <t>CD5-m283*</t>
  </si>
  <si>
    <t>CD5-m284</t>
  </si>
  <si>
    <t>CD10-m881</t>
  </si>
  <si>
    <t>CD10-m882</t>
  </si>
  <si>
    <t>CD10-m883</t>
  </si>
  <si>
    <t>CD10-m884</t>
  </si>
  <si>
    <t>CD10- m885</t>
  </si>
  <si>
    <t>CD10-m876*</t>
  </si>
  <si>
    <t>CD10-m877</t>
  </si>
  <si>
    <t>CD10- m878</t>
  </si>
  <si>
    <t>CD10-m879</t>
  </si>
  <si>
    <t>CD20-m014</t>
  </si>
  <si>
    <t>CD20-m016</t>
  </si>
  <si>
    <t>CD20-m018</t>
  </si>
  <si>
    <t>CD20-m025*</t>
  </si>
  <si>
    <t>CD20-m026</t>
  </si>
  <si>
    <t>CD20-m027</t>
  </si>
  <si>
    <t>CD20-m035*</t>
  </si>
  <si>
    <t>CD20-m036*</t>
  </si>
  <si>
    <t>CD21-m011</t>
  </si>
  <si>
    <t>CD21-m014</t>
  </si>
  <si>
    <t>CD21-m015</t>
  </si>
  <si>
    <t>CD21-m016</t>
  </si>
  <si>
    <t>CD21-m018</t>
  </si>
  <si>
    <t>CD21-m019</t>
  </si>
  <si>
    <t>CD21-m020</t>
  </si>
  <si>
    <t>CD46-m337</t>
  </si>
  <si>
    <t>CD46-m338*</t>
  </si>
  <si>
    <t>CD10-m851</t>
  </si>
  <si>
    <t>CD10-m852</t>
  </si>
  <si>
    <t>CD10-m853</t>
  </si>
  <si>
    <t>CD10-m854</t>
  </si>
  <si>
    <t>CD10-m855</t>
  </si>
  <si>
    <t>CD10-m896</t>
  </si>
  <si>
    <t>CD10-m898</t>
  </si>
  <si>
    <t>CD10-m899</t>
  </si>
  <si>
    <t>CD10-m900</t>
  </si>
  <si>
    <t>CD20-m004</t>
  </si>
  <si>
    <t>CD20-m005</t>
  </si>
  <si>
    <t>CD20-m006</t>
  </si>
  <si>
    <t>CD20-m007</t>
  </si>
  <si>
    <t>CD20-m008</t>
  </si>
  <si>
    <t>CD20-m009</t>
  </si>
  <si>
    <t>CD20-m010</t>
  </si>
  <si>
    <t>CD20-m011</t>
  </si>
  <si>
    <t>CD20-m012</t>
  </si>
  <si>
    <t>CD20-m013</t>
  </si>
  <si>
    <t>CD20-m029</t>
  </si>
  <si>
    <t>CD20-m030</t>
  </si>
  <si>
    <t>CD20-m031</t>
  </si>
  <si>
    <t>CD20-m032</t>
  </si>
  <si>
    <t>CD20-m033</t>
  </si>
  <si>
    <t>CSY41-m722</t>
  </si>
  <si>
    <t>CSY41-m723</t>
  </si>
  <si>
    <t>CSY41-m724</t>
  </si>
  <si>
    <t>CSY41-m725</t>
  </si>
  <si>
    <t>CSY41-m726</t>
  </si>
  <si>
    <t>CSY41-m727</t>
  </si>
  <si>
    <t>CSY41-m729</t>
  </si>
  <si>
    <t>CSY41-m730</t>
  </si>
  <si>
    <t>CSY41-m731</t>
  </si>
  <si>
    <t>CSY41-m774</t>
  </si>
  <si>
    <t>Sample</t>
  </si>
  <si>
    <t xml:space="preserve">Experiment </t>
  </si>
  <si>
    <t>Mouse</t>
  </si>
  <si>
    <t>Geomean</t>
  </si>
  <si>
    <t>CD5</t>
  </si>
  <si>
    <t>ID</t>
  </si>
  <si>
    <t>CD10</t>
  </si>
  <si>
    <t>CD20</t>
  </si>
  <si>
    <t>m036</t>
  </si>
  <si>
    <t>CD21</t>
  </si>
  <si>
    <t>m739</t>
  </si>
  <si>
    <t>m740</t>
  </si>
  <si>
    <t>m741</t>
  </si>
  <si>
    <t>m742</t>
  </si>
  <si>
    <t>m743</t>
  </si>
  <si>
    <t>m744</t>
  </si>
  <si>
    <t>m746</t>
  </si>
  <si>
    <t>m747</t>
  </si>
  <si>
    <t>m764</t>
  </si>
  <si>
    <t>m765</t>
  </si>
  <si>
    <t>m766</t>
  </si>
  <si>
    <t>m767</t>
  </si>
  <si>
    <t>m768</t>
  </si>
  <si>
    <t>m769</t>
  </si>
  <si>
    <t>m770</t>
  </si>
  <si>
    <t>m772</t>
  </si>
  <si>
    <t>m791</t>
  </si>
  <si>
    <t>m731</t>
  </si>
  <si>
    <t>m732</t>
  </si>
  <si>
    <t>m733</t>
  </si>
  <si>
    <t>m734</t>
  </si>
  <si>
    <t>m735</t>
  </si>
  <si>
    <t>m736</t>
  </si>
  <si>
    <t>m737</t>
  </si>
  <si>
    <t>m738</t>
  </si>
  <si>
    <t>m758</t>
  </si>
  <si>
    <t>m759</t>
  </si>
  <si>
    <t>m760</t>
  </si>
  <si>
    <t>m761</t>
  </si>
  <si>
    <t>m762</t>
  </si>
  <si>
    <t>m763</t>
  </si>
  <si>
    <t>m804</t>
  </si>
  <si>
    <t>m805</t>
  </si>
  <si>
    <t>m796</t>
  </si>
  <si>
    <t>m797</t>
  </si>
  <si>
    <t>m798</t>
  </si>
  <si>
    <t>m799</t>
  </si>
  <si>
    <t>m800</t>
  </si>
  <si>
    <t>m801</t>
  </si>
  <si>
    <t>m802</t>
  </si>
  <si>
    <t>m803</t>
  </si>
  <si>
    <t>m748</t>
  </si>
  <si>
    <t>m749</t>
  </si>
  <si>
    <t>m750</t>
  </si>
  <si>
    <t>m751</t>
  </si>
  <si>
    <t>m752</t>
  </si>
  <si>
    <t>m753</t>
  </si>
  <si>
    <t>m754</t>
  </si>
  <si>
    <t>m755</t>
  </si>
  <si>
    <t>m782</t>
  </si>
  <si>
    <t>CD27</t>
  </si>
  <si>
    <t>CD30</t>
  </si>
  <si>
    <t>CD46</t>
  </si>
  <si>
    <t>CD50</t>
  </si>
  <si>
    <t>CD56</t>
  </si>
  <si>
    <t>sample</t>
  </si>
  <si>
    <t>week</t>
  </si>
  <si>
    <t>CD50-m134</t>
  </si>
  <si>
    <t>CD50-m136</t>
  </si>
  <si>
    <t>Time After Escape</t>
  </si>
  <si>
    <t>Geometric Mean Expression (mg/ml)</t>
  </si>
  <si>
    <t>Time to Escape (Weeks)</t>
  </si>
  <si>
    <t>Sample ID</t>
  </si>
  <si>
    <t>REJO.c Pos</t>
  </si>
  <si>
    <t>HXB2 Pos</t>
  </si>
  <si>
    <t>WT AA</t>
  </si>
  <si>
    <t>Mut AA</t>
  </si>
  <si>
    <t>Count of Escape Path</t>
  </si>
  <si>
    <t>Count of Escape Path2</t>
  </si>
  <si>
    <t>B: D279H</t>
  </si>
  <si>
    <t>E: D279K</t>
  </si>
  <si>
    <t>C: D279N + Other</t>
  </si>
  <si>
    <t>D: D279E + Other</t>
  </si>
  <si>
    <t>CD30-m206</t>
  </si>
  <si>
    <t>CD30-m228</t>
  </si>
  <si>
    <t>CD30-m232</t>
  </si>
  <si>
    <t>CD50-m067</t>
  </si>
  <si>
    <t>CD50-m072</t>
  </si>
  <si>
    <t xml:space="preserve">Mean Expression </t>
  </si>
  <si>
    <t>Geometric Mean Expression (ug/ml)</t>
  </si>
  <si>
    <t>D279Y</t>
  </si>
  <si>
    <t>Time of Sequencing</t>
  </si>
  <si>
    <t>Number of Mutations (&gt;.1)</t>
  </si>
  <si>
    <t>Number of Mutations (&gt;.5)</t>
  </si>
  <si>
    <t>Number of Mutations (&gt;.9)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</si>
</sst>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SourceCodePro-Regular"/>
      <family val="2"/>
    </font>
    <font>
      <sz val="14"/>
      <color theme="1"/>
      <name val="Calibri"/>
      <family val="2"/>
      <scheme val="minor"/>
    </font>
    <font>
      <sz val="14"/>
      <color rgb="FF000000"/>
      <name val="SourceCodePro-Regular"/>
      <family val="2"/>
    </font>
    <font>
      <sz val="12"/>
      <color theme="1"/>
      <name val="Aptos Narrow"/>
    </font>
    <font>
      <sz val="11"/>
      <color theme="1"/>
      <name val="Arial"/>
      <family val="2"/>
    </font>
    <font>
      <i/>
      <sz val="11"/>
      <color rgb="FF0000FF"/>
      <name val="Arial"/>
      <family val="2"/>
    </font>
    <font>
      <sz val="13"/>
      <name val="Arial"/>
      <family val="2"/>
    </font>
    <font>
      <i/>
      <sz val="13"/>
      <color rgb="FF0000FF"/>
      <name val="Arial"/>
      <family val="2"/>
    </font>
    <font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rgb="FF000000"/>
      <name val="SourceCodePro-Regular"/>
      <family val="2"/>
    </font>
    <font>
      <sz val="16"/>
      <color rgb="FF000000"/>
      <name val="Calibri"/>
      <family val="2"/>
      <scheme val="minor"/>
    </font>
    <font>
      <sz val="11"/>
      <color theme="1"/>
      <name val="Calibri"/>
      <family val="2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/>
    </xf>
    <xf numFmtId="9" fontId="0" fillId="0" borderId="0" xfId="1" applyFont="1"/>
    <xf numFmtId="1" fontId="1" fillId="0" borderId="0" xfId="0" applyNumberFormat="1" applyFont="1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9" fontId="0" fillId="0" borderId="4" xfId="1" applyFont="1" applyBorder="1"/>
    <xf numFmtId="9" fontId="0" fillId="0" borderId="0" xfId="1" applyFont="1" applyBorder="1"/>
    <xf numFmtId="9" fontId="0" fillId="0" borderId="5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9" xfId="1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pivotButton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/>
    <xf numFmtId="0" fontId="12" fillId="0" borderId="0" xfId="0" applyFont="1"/>
    <xf numFmtId="0" fontId="5" fillId="0" borderId="0" xfId="0" applyFont="1" applyAlignment="1">
      <alignment horizontal="center" vertical="center" wrapText="1"/>
    </xf>
    <xf numFmtId="9" fontId="14" fillId="0" borderId="0" xfId="1" applyFont="1" applyBorder="1"/>
    <xf numFmtId="0" fontId="13" fillId="0" borderId="0" xfId="0" applyFont="1"/>
    <xf numFmtId="0" fontId="13" fillId="0" borderId="2" xfId="0" applyFont="1" applyBorder="1"/>
    <xf numFmtId="0" fontId="13" fillId="0" borderId="8" xfId="0" applyFont="1" applyBorder="1"/>
    <xf numFmtId="1" fontId="13" fillId="0" borderId="2" xfId="0" applyNumberFormat="1" applyFont="1" applyBorder="1" applyAlignment="1">
      <alignment horizontal="center"/>
    </xf>
    <xf numFmtId="0" fontId="14" fillId="0" borderId="0" xfId="0" applyFont="1"/>
    <xf numFmtId="1" fontId="13" fillId="0" borderId="0" xfId="0" applyNumberFormat="1" applyFont="1" applyAlignment="1">
      <alignment horizontal="center"/>
    </xf>
    <xf numFmtId="1" fontId="13" fillId="0" borderId="8" xfId="0" applyNumberFormat="1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right"/>
    </xf>
    <xf numFmtId="0" fontId="15" fillId="0" borderId="6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/>
    <xf numFmtId="0" fontId="15" fillId="0" borderId="2" xfId="0" applyFont="1" applyBorder="1"/>
    <xf numFmtId="9" fontId="0" fillId="0" borderId="2" xfId="1" applyFont="1" applyBorder="1"/>
    <xf numFmtId="9" fontId="0" fillId="0" borderId="3" xfId="1" applyFont="1" applyBorder="1"/>
    <xf numFmtId="0" fontId="15" fillId="0" borderId="8" xfId="0" applyFont="1" applyBorder="1"/>
    <xf numFmtId="0" fontId="13" fillId="0" borderId="12" xfId="0" applyFont="1" applyBorder="1" applyAlignment="1">
      <alignment horizontal="center" vertical="center"/>
    </xf>
    <xf numFmtId="0" fontId="15" fillId="0" borderId="10" xfId="0" applyFont="1" applyBorder="1"/>
    <xf numFmtId="1" fontId="13" fillId="0" borderId="10" xfId="0" applyNumberFormat="1" applyFont="1" applyBorder="1" applyAlignment="1">
      <alignment horizontal="center"/>
    </xf>
    <xf numFmtId="0" fontId="13" fillId="0" borderId="10" xfId="0" applyFont="1" applyBorder="1"/>
    <xf numFmtId="9" fontId="0" fillId="0" borderId="10" xfId="1" applyFont="1" applyBorder="1"/>
    <xf numFmtId="9" fontId="0" fillId="0" borderId="13" xfId="1" applyFont="1" applyBorder="1"/>
    <xf numFmtId="0" fontId="13" fillId="0" borderId="12" xfId="0" applyFont="1" applyBorder="1" applyAlignment="1">
      <alignment horizontal="center" vertical="center" wrapText="1"/>
    </xf>
    <xf numFmtId="1" fontId="13" fillId="0" borderId="8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6" fillId="0" borderId="0" xfId="0" applyFont="1"/>
    <xf numFmtId="9" fontId="0" fillId="0" borderId="0" xfId="1" applyFont="1" applyFill="1" applyBorder="1"/>
    <xf numFmtId="10" fontId="0" fillId="0" borderId="0" xfId="1" applyNumberFormat="1" applyFont="1"/>
    <xf numFmtId="0" fontId="17" fillId="0" borderId="0" xfId="0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740.551142592594" createdVersion="8" refreshedVersion="8" minRefreshableVersion="3" recordCount="26" xr:uid="{C565B30F-F7A1-4749-89AC-F7266B17D54F}">
  <cacheSource type="worksheet">
    <worksheetSource ref="C10:C36" sheet="JR-CSF Haplotypes"/>
  </cacheSource>
  <cacheFields count="1">
    <cacheField name="Escape Path" numFmtId="0">
      <sharedItems count="7">
        <s v="A: D279A"/>
        <s v="B: D279H"/>
        <s v="C: D279N + Other"/>
        <s v="D: D279E + Other"/>
        <s v="E: D279K"/>
        <s v="F: D279Y"/>
        <s v="Oth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3"/>
  </r>
  <r>
    <x v="3"/>
  </r>
  <r>
    <x v="3"/>
  </r>
  <r>
    <x v="4"/>
  </r>
  <r>
    <x v="5"/>
  </r>
  <r>
    <x v="5"/>
  </r>
  <r>
    <x v="5"/>
  </r>
  <r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39B8B-3B5F-F247-A270-EEC52F495061}" name="PivotTable1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">
    <pivotField axis="axisRow"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scape Path" fld="0" subtotal="count" baseField="0" baseItem="0"/>
    <dataField name="Count of Escape Path2" fld="0" subtotal="count" showDataAs="percentOfTotal" baseField="0" baseItem="0" numFmtId="10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E09F-6A77-564D-999F-CD110064E95B}">
  <dimension ref="B2:AI19"/>
  <sheetViews>
    <sheetView topLeftCell="A2" zoomScale="121" zoomScaleNormal="121" workbookViewId="0">
      <selection activeCell="B11" sqref="B11:B14"/>
    </sheetView>
  </sheetViews>
  <sheetFormatPr baseColWidth="10" defaultRowHeight="16"/>
  <cols>
    <col min="2" max="2" width="21.83203125" customWidth="1"/>
    <col min="3" max="3" width="16.6640625" bestFit="1" customWidth="1"/>
    <col min="4" max="5" width="13.6640625" customWidth="1"/>
    <col min="6" max="6" width="10" bestFit="1" customWidth="1"/>
    <col min="7" max="7" width="16" customWidth="1"/>
    <col min="8" max="10" width="8.1640625" bestFit="1" customWidth="1"/>
    <col min="11" max="11" width="9.1640625" bestFit="1" customWidth="1"/>
    <col min="12" max="12" width="9" customWidth="1"/>
    <col min="13" max="18" width="9.1640625" bestFit="1" customWidth="1"/>
  </cols>
  <sheetData>
    <row r="2" spans="2:35" ht="19">
      <c r="L2" s="12"/>
    </row>
    <row r="3" spans="2:35" ht="19">
      <c r="L3" s="12"/>
      <c r="M3" s="1"/>
      <c r="N3" s="1"/>
      <c r="O3" s="1"/>
    </row>
    <row r="4" spans="2:35" ht="19">
      <c r="L4" s="12"/>
      <c r="M4" s="1"/>
      <c r="N4" s="1"/>
      <c r="O4" s="1"/>
    </row>
    <row r="5" spans="2:35">
      <c r="M5" s="1"/>
      <c r="N5" s="1"/>
      <c r="O5" s="1"/>
    </row>
    <row r="6" spans="2:35">
      <c r="M6" s="1"/>
      <c r="N6" s="1"/>
      <c r="O6" s="1"/>
    </row>
    <row r="7" spans="2:35" ht="21" customHeight="1">
      <c r="C7" s="34"/>
      <c r="D7" s="68" t="s">
        <v>382</v>
      </c>
      <c r="E7" s="68"/>
      <c r="F7" s="68" t="s">
        <v>364</v>
      </c>
      <c r="G7" s="42" t="s">
        <v>366</v>
      </c>
      <c r="H7" s="70">
        <v>277</v>
      </c>
      <c r="I7" s="70"/>
      <c r="J7" s="70"/>
      <c r="K7" s="70"/>
      <c r="L7" s="70"/>
      <c r="M7" s="70"/>
    </row>
    <row r="8" spans="2:35" ht="21" customHeight="1">
      <c r="B8" s="68" t="s">
        <v>51</v>
      </c>
      <c r="C8" s="68" t="s">
        <v>365</v>
      </c>
      <c r="D8" s="68"/>
      <c r="E8" s="68"/>
      <c r="F8" s="68"/>
      <c r="G8" s="43" t="s">
        <v>367</v>
      </c>
      <c r="H8" s="70">
        <v>279</v>
      </c>
      <c r="I8" s="70"/>
      <c r="J8" s="70"/>
      <c r="K8" s="70"/>
      <c r="L8" s="70"/>
      <c r="M8" s="70"/>
    </row>
    <row r="9" spans="2:35" ht="19" customHeight="1">
      <c r="B9" s="68"/>
      <c r="C9" s="68"/>
      <c r="D9" s="68"/>
      <c r="E9" s="68"/>
      <c r="F9" s="68"/>
      <c r="G9" s="43" t="s">
        <v>368</v>
      </c>
      <c r="H9" s="70" t="s">
        <v>5</v>
      </c>
      <c r="I9" s="70"/>
      <c r="J9" s="70"/>
      <c r="K9" s="70"/>
      <c r="L9" s="70"/>
      <c r="M9" s="70"/>
    </row>
    <row r="10" spans="2:35" ht="21" customHeight="1" thickBot="1">
      <c r="B10" s="68"/>
      <c r="C10" s="68"/>
      <c r="D10" s="69"/>
      <c r="E10" s="69"/>
      <c r="F10" s="68"/>
      <c r="G10" s="44" t="s">
        <v>369</v>
      </c>
      <c r="H10" s="1" t="s">
        <v>1</v>
      </c>
      <c r="I10" s="1" t="s">
        <v>6</v>
      </c>
      <c r="J10" s="1" t="s">
        <v>9</v>
      </c>
      <c r="K10" s="1" t="s">
        <v>8</v>
      </c>
      <c r="L10" s="1" t="s">
        <v>3</v>
      </c>
      <c r="M10" s="1" t="s">
        <v>61</v>
      </c>
      <c r="O10" s="1" t="s">
        <v>381</v>
      </c>
    </row>
    <row r="11" spans="2:35" ht="21" customHeight="1">
      <c r="B11" s="67" t="str">
        <f>VLOOKUP(C11,'JR-CSF Haplotypes'!$A$11:$C$36,3,FALSE)</f>
        <v>A: D279A</v>
      </c>
      <c r="C11" s="45" t="s">
        <v>93</v>
      </c>
      <c r="D11" s="39">
        <f>VLOOKUP(C11,'JR-CSF Haplotypes'!$A$10:$K$36,4,FALSE)</f>
        <v>66.062399999999997</v>
      </c>
      <c r="E11" s="63"/>
      <c r="F11" s="39">
        <f>VLOOKUP(C11,'JR-CSF Haplotypes'!$A$10:$K$36,5,FALSE)</f>
        <v>3</v>
      </c>
      <c r="G11" s="34"/>
      <c r="H11" s="14">
        <v>0.99504809607831901</v>
      </c>
      <c r="I11" s="14">
        <v>0</v>
      </c>
      <c r="J11" s="14">
        <v>0</v>
      </c>
      <c r="K11" s="14">
        <v>0</v>
      </c>
      <c r="L11" s="14">
        <v>0</v>
      </c>
      <c r="M11" s="15">
        <v>0</v>
      </c>
      <c r="AI11" s="8"/>
    </row>
    <row r="12" spans="2:35" ht="21" customHeight="1" thickBot="1">
      <c r="B12" s="66"/>
      <c r="C12" s="49" t="s">
        <v>96</v>
      </c>
      <c r="D12" s="40">
        <f>VLOOKUP(C12,'JR-CSF Haplotypes'!$A$10:$K$36,4,FALSE)</f>
        <v>63.350900000000003</v>
      </c>
      <c r="E12" s="64"/>
      <c r="F12" s="40">
        <f>VLOOKUP(C12,'JR-CSF Haplotypes'!$A$10:$K$36,5,FALSE)</f>
        <v>3</v>
      </c>
      <c r="G12" s="36"/>
      <c r="H12" s="17">
        <v>0.86808466051969801</v>
      </c>
      <c r="I12" s="17">
        <v>0</v>
      </c>
      <c r="J12" s="17">
        <v>0.124266554903604</v>
      </c>
      <c r="K12" s="17">
        <v>0</v>
      </c>
      <c r="L12" s="17">
        <v>0</v>
      </c>
      <c r="M12" s="18">
        <v>0</v>
      </c>
      <c r="AI12" s="8"/>
    </row>
    <row r="13" spans="2:35" ht="21" customHeight="1">
      <c r="B13" s="65" t="str">
        <f>VLOOKUP(C13,'JR-CSF Haplotypes'!$A$11:$C$36,3,FALSE)</f>
        <v>B: D279H</v>
      </c>
      <c r="C13" s="45" t="s">
        <v>75</v>
      </c>
      <c r="D13" s="39">
        <f>VLOOKUP(C13,'JR-CSF Haplotypes'!$A$10:$K$36,4,FALSE)</f>
        <v>149.745</v>
      </c>
      <c r="E13" s="63"/>
      <c r="F13" s="39">
        <f>VLOOKUP(C13,'JR-CSF Haplotypes'!$A$10:$K$36,5,FALSE)</f>
        <v>2</v>
      </c>
      <c r="G13" s="34"/>
      <c r="H13" s="14">
        <v>0</v>
      </c>
      <c r="I13" s="14">
        <v>0</v>
      </c>
      <c r="J13" s="14">
        <v>0.98687214611872098</v>
      </c>
      <c r="K13" s="14">
        <v>0</v>
      </c>
      <c r="L13" s="14">
        <v>0</v>
      </c>
      <c r="M13" s="15">
        <v>0</v>
      </c>
      <c r="O13" s="60"/>
      <c r="AI13" s="8"/>
    </row>
    <row r="14" spans="2:35" ht="21" customHeight="1" thickBot="1">
      <c r="B14" s="66"/>
      <c r="C14" s="49" t="s">
        <v>92</v>
      </c>
      <c r="D14" s="40">
        <f>VLOOKUP(C14,'JR-CSF Haplotypes'!$A$10:$K$36,4,FALSE)</f>
        <v>39.002200000000002</v>
      </c>
      <c r="E14" s="64"/>
      <c r="F14" s="40">
        <f>VLOOKUP(C14,'JR-CSF Haplotypes'!$A$10:$K$36,5,FALSE)</f>
        <v>2</v>
      </c>
      <c r="G14" s="36"/>
      <c r="H14" s="17">
        <v>0</v>
      </c>
      <c r="I14" s="17">
        <v>0</v>
      </c>
      <c r="J14" s="17">
        <v>1</v>
      </c>
      <c r="K14" s="17">
        <v>0</v>
      </c>
      <c r="L14" s="17">
        <v>0</v>
      </c>
      <c r="M14" s="18">
        <v>0</v>
      </c>
    </row>
    <row r="15" spans="2:35" ht="21" customHeight="1" thickBot="1">
      <c r="B15" s="58" t="str">
        <f>VLOOKUP(C15,'JR-CSF Haplotypes'!$A$11:$C$36,3,FALSE)</f>
        <v>C: D279N + Other</v>
      </c>
      <c r="C15" s="49" t="s">
        <v>94</v>
      </c>
      <c r="D15" s="40">
        <f>VLOOKUP(C15,'JR-CSF Haplotypes'!$A$10:$K$36,4,FALSE)</f>
        <v>48.898099999999999</v>
      </c>
      <c r="E15" s="57"/>
      <c r="F15" s="40">
        <f>VLOOKUP(C15,'JR-CSF Haplotypes'!$A$10:$K$36,5,FALSE)</f>
        <v>2</v>
      </c>
      <c r="G15" s="36"/>
      <c r="H15" s="17">
        <v>0</v>
      </c>
      <c r="I15" s="17">
        <v>0</v>
      </c>
      <c r="J15" s="17">
        <v>0</v>
      </c>
      <c r="K15" s="17">
        <v>0</v>
      </c>
      <c r="L15" s="17">
        <v>0.82499999999999996</v>
      </c>
      <c r="M15" s="18">
        <v>0</v>
      </c>
    </row>
    <row r="16" spans="2:35" ht="21" customHeight="1" thickBot="1">
      <c r="B16" s="58" t="str">
        <f>VLOOKUP(C16,'JR-CSF Haplotypes'!$A$11:$C$36,3,FALSE)</f>
        <v>D: D279E + Other</v>
      </c>
      <c r="C16" s="49" t="s">
        <v>95</v>
      </c>
      <c r="D16" s="40">
        <f>VLOOKUP(C16,'JR-CSF Haplotypes'!$A$10:$K$36,4,FALSE)</f>
        <v>76.163600000000002</v>
      </c>
      <c r="E16" s="57"/>
      <c r="F16" s="40">
        <f>VLOOKUP(C16,'JR-CSF Haplotypes'!$A$10:$K$36,5,FALSE)</f>
        <v>3</v>
      </c>
      <c r="G16" s="36"/>
      <c r="H16" s="17">
        <v>0</v>
      </c>
      <c r="I16" s="17">
        <v>0.98470994615462704</v>
      </c>
      <c r="J16" s="17">
        <v>0</v>
      </c>
      <c r="K16" s="17">
        <v>0</v>
      </c>
      <c r="L16" s="17">
        <v>0</v>
      </c>
      <c r="M16" s="18">
        <v>0</v>
      </c>
    </row>
    <row r="17" spans="2:13" ht="21" customHeight="1" thickBot="1">
      <c r="B17" s="58" t="s">
        <v>383</v>
      </c>
      <c r="C17" s="49" t="s">
        <v>91</v>
      </c>
      <c r="D17" s="40">
        <f>VLOOKUP(C17,'JR-CSF Haplotypes'!$A$10:$K$36,4,FALSE)</f>
        <v>54.849800000000002</v>
      </c>
      <c r="E17" s="57">
        <f>D17</f>
        <v>54.849800000000002</v>
      </c>
      <c r="F17" s="40">
        <f>VLOOKUP(C17,'JR-CSF Haplotypes'!$A$10:$K$36,5,FALSE)</f>
        <v>3</v>
      </c>
      <c r="G17" s="36"/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8">
        <v>0.99717206874048203</v>
      </c>
    </row>
    <row r="18" spans="2:13" ht="21" customHeight="1">
      <c r="B18" s="41"/>
      <c r="C18" s="38"/>
      <c r="D18" s="39"/>
      <c r="E18" s="39"/>
      <c r="F18" s="39"/>
      <c r="G18" s="34"/>
      <c r="H18" s="33"/>
      <c r="I18" s="33"/>
      <c r="J18" s="33"/>
    </row>
    <row r="19" spans="2:13" ht="19" customHeight="1">
      <c r="C19" s="11"/>
      <c r="D19" s="11"/>
      <c r="E19" s="11"/>
      <c r="F19" s="11"/>
    </row>
  </sheetData>
  <mergeCells count="11">
    <mergeCell ref="F7:F10"/>
    <mergeCell ref="H7:M7"/>
    <mergeCell ref="B8:B10"/>
    <mergeCell ref="C8:C10"/>
    <mergeCell ref="H8:M8"/>
    <mergeCell ref="H9:M9"/>
    <mergeCell ref="E13:E14"/>
    <mergeCell ref="B13:B14"/>
    <mergeCell ref="B11:B12"/>
    <mergeCell ref="E11:E12"/>
    <mergeCell ref="D7:E10"/>
  </mergeCells>
  <conditionalFormatting sqref="D18:E18 D11:D17">
    <cfRule type="colorScale" priority="5">
      <colorScale>
        <cfvo type="min"/>
        <cfvo type="max"/>
        <color rgb="FFFF7128"/>
        <color rgb="FFFFEF9C"/>
      </colorScale>
    </cfRule>
  </conditionalFormatting>
  <conditionalFormatting sqref="E11:E17">
    <cfRule type="colorScale" priority="145">
      <colorScale>
        <cfvo type="min"/>
        <cfvo type="max"/>
        <color rgb="FFFF7128"/>
        <color rgb="FFFFEF9C"/>
      </colorScale>
    </cfRule>
  </conditionalFormatting>
  <conditionalFormatting sqref="F11:F17">
    <cfRule type="colorScale" priority="146">
      <colorScale>
        <cfvo type="min"/>
        <cfvo type="max"/>
        <color rgb="FFFF7128"/>
        <color rgb="FFFFEF9C"/>
      </colorScale>
    </cfRule>
  </conditionalFormatting>
  <conditionalFormatting sqref="F11:F18">
    <cfRule type="colorScale" priority="147">
      <colorScale>
        <cfvo type="min"/>
        <cfvo type="max"/>
        <color rgb="FFFF7128"/>
        <color rgb="FFFFEF9C"/>
      </colorScale>
    </cfRule>
  </conditionalFormatting>
  <conditionalFormatting sqref="H18:I18">
    <cfRule type="colorScale" priority="4">
      <colorScale>
        <cfvo type="min"/>
        <cfvo type="max"/>
        <color rgb="FFFF7128"/>
        <color rgb="FFFFEF9C"/>
      </colorScale>
    </cfRule>
  </conditionalFormatting>
  <conditionalFormatting sqref="H11:M17">
    <cfRule type="colorScale" priority="148">
      <colorScale>
        <cfvo type="min"/>
        <cfvo type="max"/>
        <color rgb="FFFF7128"/>
        <color rgb="FFFFEF9C"/>
      </colorScale>
    </cfRule>
  </conditionalFormatting>
  <conditionalFormatting sqref="J18">
    <cfRule type="colorScale" priority="1">
      <colorScale>
        <cfvo type="min"/>
        <cfvo type="max"/>
        <color rgb="FFFF7128"/>
        <color rgb="FFFFEF9C"/>
      </colorScale>
    </cfRule>
  </conditionalFormatting>
  <conditionalFormatting sqref="K18:AA18 N11:AA17">
    <cfRule type="colorScale" priority="3">
      <colorScale>
        <cfvo type="min"/>
        <cfvo type="max"/>
        <color rgb="FFFF7128"/>
        <color rgb="FFFFEF9C"/>
      </colorScale>
    </cfRule>
  </conditionalFormatting>
  <conditionalFormatting sqref="K19:AA19"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1171-CD8D-2143-9569-493DAAC67616}">
  <dimension ref="B2:AI27"/>
  <sheetViews>
    <sheetView tabSelected="1" topLeftCell="A6" zoomScale="121" zoomScaleNormal="121" workbookViewId="0">
      <selection activeCell="C11" sqref="C11"/>
    </sheetView>
  </sheetViews>
  <sheetFormatPr baseColWidth="10" defaultRowHeight="16"/>
  <cols>
    <col min="2" max="2" width="15.33203125" customWidth="1"/>
    <col min="3" max="3" width="16.6640625" bestFit="1" customWidth="1"/>
    <col min="4" max="5" width="13.6640625" customWidth="1"/>
    <col min="6" max="6" width="10" bestFit="1" customWidth="1"/>
    <col min="7" max="7" width="16" customWidth="1"/>
    <col min="8" max="10" width="8.1640625" bestFit="1" customWidth="1"/>
    <col min="11" max="11" width="9.1640625" bestFit="1" customWidth="1"/>
    <col min="12" max="12" width="9" customWidth="1"/>
    <col min="13" max="18" width="9.1640625" bestFit="1" customWidth="1"/>
  </cols>
  <sheetData>
    <row r="2" spans="2:35" ht="19">
      <c r="L2" s="12"/>
    </row>
    <row r="3" spans="2:35" ht="19">
      <c r="L3" s="12"/>
      <c r="M3" s="1"/>
      <c r="N3" s="1"/>
      <c r="O3" s="1"/>
    </row>
    <row r="4" spans="2:35" ht="19">
      <c r="L4" s="12"/>
      <c r="M4" s="1"/>
      <c r="N4" s="1"/>
      <c r="O4" s="1"/>
    </row>
    <row r="5" spans="2:35">
      <c r="M5" s="1"/>
      <c r="N5" s="1"/>
      <c r="O5" s="1"/>
    </row>
    <row r="6" spans="2:35">
      <c r="M6" s="1"/>
      <c r="N6" s="1"/>
      <c r="O6" s="1"/>
    </row>
    <row r="7" spans="2:35" ht="21" customHeight="1">
      <c r="C7" s="34"/>
      <c r="D7" s="68" t="s">
        <v>382</v>
      </c>
      <c r="E7" s="68"/>
      <c r="F7" s="68" t="s">
        <v>364</v>
      </c>
      <c r="G7" s="42" t="s">
        <v>366</v>
      </c>
      <c r="H7" s="70">
        <v>277</v>
      </c>
      <c r="I7" s="70"/>
      <c r="J7" s="70"/>
      <c r="K7" s="70"/>
      <c r="L7" s="70"/>
      <c r="M7" s="70"/>
    </row>
    <row r="8" spans="2:35" ht="21" customHeight="1">
      <c r="B8" s="68" t="s">
        <v>51</v>
      </c>
      <c r="C8" s="68" t="s">
        <v>365</v>
      </c>
      <c r="D8" s="68"/>
      <c r="E8" s="68"/>
      <c r="F8" s="68"/>
      <c r="G8" s="43" t="s">
        <v>367</v>
      </c>
      <c r="H8" s="70">
        <v>279</v>
      </c>
      <c r="I8" s="70"/>
      <c r="J8" s="70"/>
      <c r="K8" s="70"/>
      <c r="L8" s="70"/>
      <c r="M8" s="70"/>
    </row>
    <row r="9" spans="2:35" ht="19" customHeight="1">
      <c r="B9" s="68"/>
      <c r="C9" s="68"/>
      <c r="D9" s="68"/>
      <c r="E9" s="68"/>
      <c r="F9" s="68"/>
      <c r="G9" s="43" t="s">
        <v>368</v>
      </c>
      <c r="H9" s="70" t="s">
        <v>5</v>
      </c>
      <c r="I9" s="70"/>
      <c r="J9" s="70"/>
      <c r="K9" s="70"/>
      <c r="L9" s="70"/>
      <c r="M9" s="70"/>
    </row>
    <row r="10" spans="2:35" ht="21" customHeight="1" thickBot="1">
      <c r="B10" s="68"/>
      <c r="C10" s="68"/>
      <c r="D10" s="69"/>
      <c r="E10" s="69"/>
      <c r="F10" s="68"/>
      <c r="G10" s="44" t="s">
        <v>369</v>
      </c>
      <c r="H10" s="1" t="s">
        <v>1</v>
      </c>
      <c r="I10" s="1" t="s">
        <v>6</v>
      </c>
      <c r="J10" s="1" t="s">
        <v>9</v>
      </c>
      <c r="K10" s="1" t="s">
        <v>8</v>
      </c>
      <c r="L10" s="1" t="s">
        <v>3</v>
      </c>
      <c r="M10" s="1" t="s">
        <v>61</v>
      </c>
      <c r="O10" s="1" t="s">
        <v>381</v>
      </c>
    </row>
    <row r="11" spans="2:35" ht="21" customHeight="1">
      <c r="B11" s="65" t="str">
        <f>VLOOKUP(C11,'JR-CSF Haplotypes'!$A$11:$C$36,3,FALSE)</f>
        <v>A: D279A</v>
      </c>
      <c r="C11" s="46" t="s">
        <v>78</v>
      </c>
      <c r="D11" s="37">
        <f>VLOOKUP(C11,'JR-CSF Haplotypes'!$A$10:$K$36,4,FALSE)</f>
        <v>182.155</v>
      </c>
      <c r="E11" s="71">
        <f>GEOMEAN(D11:D14)</f>
        <v>111.67742922399766</v>
      </c>
      <c r="F11" s="37">
        <f>VLOOKUP(C11,'JR-CSF Haplotypes'!$A$10:$K$36,5,FALSE)</f>
        <v>2</v>
      </c>
      <c r="G11" s="35"/>
      <c r="H11" s="47">
        <v>0.46604361370716402</v>
      </c>
      <c r="I11" s="47">
        <v>0</v>
      </c>
      <c r="J11" s="47">
        <v>0</v>
      </c>
      <c r="K11" s="47">
        <v>0.103426791277258</v>
      </c>
      <c r="L11" s="47">
        <v>0.42554517133956299</v>
      </c>
      <c r="M11" s="48">
        <v>0</v>
      </c>
      <c r="O11">
        <f>GEOMEAN(D11:D14)</f>
        <v>111.67742922399766</v>
      </c>
      <c r="Q11">
        <f>GEOMEAN(D11:D25)</f>
        <v>107.06367650570195</v>
      </c>
    </row>
    <row r="12" spans="2:35" ht="21" customHeight="1">
      <c r="B12" s="67"/>
      <c r="C12" s="45" t="s">
        <v>79</v>
      </c>
      <c r="D12" s="39">
        <f>VLOOKUP(C12,'JR-CSF Haplotypes'!$A$10:$K$36,4,FALSE)</f>
        <v>204.03909999999999</v>
      </c>
      <c r="E12" s="63"/>
      <c r="F12" s="39">
        <f>VLOOKUP(C12,'JR-CSF Haplotypes'!$A$10:$K$36,5,FALSE)</f>
        <v>2</v>
      </c>
      <c r="G12" s="34"/>
      <c r="H12" s="14">
        <v>0.26298044504383</v>
      </c>
      <c r="I12" s="14">
        <v>0.25758597437626402</v>
      </c>
      <c r="J12" s="14">
        <v>0</v>
      </c>
      <c r="K12" s="14">
        <v>0.13081591368846901</v>
      </c>
      <c r="L12" s="14">
        <v>0.34052596089008702</v>
      </c>
      <c r="M12" s="15">
        <v>0</v>
      </c>
    </row>
    <row r="13" spans="2:35" ht="21" customHeight="1">
      <c r="B13" s="67"/>
      <c r="C13" s="45" t="s">
        <v>93</v>
      </c>
      <c r="D13" s="39">
        <f>VLOOKUP(C13,'JR-CSF Haplotypes'!$A$10:$K$36,4,FALSE)</f>
        <v>66.062399999999997</v>
      </c>
      <c r="E13" s="63"/>
      <c r="F13" s="39">
        <f>VLOOKUP(C13,'JR-CSF Haplotypes'!$A$10:$K$36,5,FALSE)</f>
        <v>3</v>
      </c>
      <c r="G13" s="34"/>
      <c r="H13" s="14">
        <v>0.99504809607831901</v>
      </c>
      <c r="I13" s="14">
        <v>0</v>
      </c>
      <c r="J13" s="14">
        <v>0</v>
      </c>
      <c r="K13" s="14">
        <v>0</v>
      </c>
      <c r="L13" s="14">
        <v>0</v>
      </c>
      <c r="M13" s="15">
        <v>0</v>
      </c>
      <c r="AI13" s="8"/>
    </row>
    <row r="14" spans="2:35" ht="21" customHeight="1" thickBot="1">
      <c r="B14" s="66"/>
      <c r="C14" s="49" t="s">
        <v>96</v>
      </c>
      <c r="D14" s="40">
        <f>VLOOKUP(C14,'JR-CSF Haplotypes'!$A$10:$K$36,4,FALSE)</f>
        <v>63.350900000000003</v>
      </c>
      <c r="E14" s="64"/>
      <c r="F14" s="40">
        <f>VLOOKUP(C14,'JR-CSF Haplotypes'!$A$10:$K$36,5,FALSE)</f>
        <v>3</v>
      </c>
      <c r="G14" s="36"/>
      <c r="H14" s="17">
        <v>0.86808466051969801</v>
      </c>
      <c r="I14" s="17">
        <v>0</v>
      </c>
      <c r="J14" s="17">
        <v>0.124266554903604</v>
      </c>
      <c r="K14" s="17">
        <v>0</v>
      </c>
      <c r="L14" s="17">
        <v>0</v>
      </c>
      <c r="M14" s="18">
        <v>0</v>
      </c>
      <c r="AI14" s="8"/>
    </row>
    <row r="15" spans="2:35" ht="21" customHeight="1">
      <c r="B15" s="65" t="str">
        <f>VLOOKUP(C15,'JR-CSF Haplotypes'!$A$11:$C$36,3,FALSE)</f>
        <v>B: D279H</v>
      </c>
      <c r="C15" s="46" t="s">
        <v>73</v>
      </c>
      <c r="D15" s="37">
        <f>VLOOKUP(C15,'JR-CSF Haplotypes'!$A$10:$K$36,4,FALSE)</f>
        <v>106.9328</v>
      </c>
      <c r="E15" s="71">
        <f>GEOMEAN(D15:D18)</f>
        <v>104.81096799113227</v>
      </c>
      <c r="F15" s="37">
        <f>VLOOKUP(C15,'JR-CSF Haplotypes'!$A$10:$K$36,5,FALSE)</f>
        <v>2</v>
      </c>
      <c r="G15" s="35"/>
      <c r="H15" s="47">
        <v>0</v>
      </c>
      <c r="I15" s="47">
        <v>0</v>
      </c>
      <c r="J15" s="47">
        <v>0.54836162652980602</v>
      </c>
      <c r="K15" s="47">
        <v>0.102092380576391</v>
      </c>
      <c r="L15" s="47">
        <v>0.34891433083300399</v>
      </c>
      <c r="M15" s="48">
        <v>0</v>
      </c>
      <c r="O15">
        <f>GEOMEAN(D15:D18)</f>
        <v>104.81096799113227</v>
      </c>
      <c r="AI15" s="8"/>
    </row>
    <row r="16" spans="2:35" ht="21" customHeight="1">
      <c r="B16" s="67"/>
      <c r="C16" s="45" t="s">
        <v>74</v>
      </c>
      <c r="D16" s="39">
        <f>VLOOKUP(C16,'JR-CSF Haplotypes'!$A$10:$K$36,4,FALSE)</f>
        <v>193.23</v>
      </c>
      <c r="E16" s="63"/>
      <c r="F16" s="39">
        <f>VLOOKUP(C16,'JR-CSF Haplotypes'!$A$10:$K$36,5,FALSE)</f>
        <v>2</v>
      </c>
      <c r="G16" s="34"/>
      <c r="H16" s="14">
        <v>0</v>
      </c>
      <c r="I16" s="14">
        <v>0</v>
      </c>
      <c r="J16" s="14">
        <v>0.99202551834130703</v>
      </c>
      <c r="K16" s="14">
        <v>0</v>
      </c>
      <c r="L16" s="14">
        <v>0</v>
      </c>
      <c r="M16" s="15">
        <v>0</v>
      </c>
      <c r="AI16" s="8"/>
    </row>
    <row r="17" spans="2:35" ht="21" customHeight="1">
      <c r="B17" s="67"/>
      <c r="C17" s="45" t="s">
        <v>75</v>
      </c>
      <c r="D17" s="39">
        <f>VLOOKUP(C17,'JR-CSF Haplotypes'!$A$10:$K$36,4,FALSE)</f>
        <v>149.745</v>
      </c>
      <c r="E17" s="63"/>
      <c r="F17" s="39">
        <f>VLOOKUP(C17,'JR-CSF Haplotypes'!$A$10:$K$36,5,FALSE)</f>
        <v>2</v>
      </c>
      <c r="G17" s="34"/>
      <c r="H17" s="14">
        <v>0</v>
      </c>
      <c r="I17" s="14">
        <v>0</v>
      </c>
      <c r="J17" s="14">
        <v>0.98687214611872098</v>
      </c>
      <c r="K17" s="14">
        <v>0</v>
      </c>
      <c r="L17" s="14">
        <v>0</v>
      </c>
      <c r="M17" s="15">
        <v>0</v>
      </c>
      <c r="O17" s="60"/>
      <c r="AI17" s="8"/>
    </row>
    <row r="18" spans="2:35" ht="21" customHeight="1" thickBot="1">
      <c r="B18" s="66"/>
      <c r="C18" s="49" t="s">
        <v>92</v>
      </c>
      <c r="D18" s="40">
        <f>VLOOKUP(C18,'JR-CSF Haplotypes'!$A$10:$K$36,4,FALSE)</f>
        <v>39.002200000000002</v>
      </c>
      <c r="E18" s="64"/>
      <c r="F18" s="40">
        <f>VLOOKUP(C18,'JR-CSF Haplotypes'!$A$10:$K$36,5,FALSE)</f>
        <v>2</v>
      </c>
      <c r="G18" s="36"/>
      <c r="H18" s="17">
        <v>0</v>
      </c>
      <c r="I18" s="17">
        <v>0</v>
      </c>
      <c r="J18" s="17">
        <v>1</v>
      </c>
      <c r="K18" s="17">
        <v>0</v>
      </c>
      <c r="L18" s="17">
        <v>0</v>
      </c>
      <c r="M18" s="18">
        <v>0</v>
      </c>
    </row>
    <row r="19" spans="2:35" ht="21" customHeight="1">
      <c r="B19" s="65" t="str">
        <f>VLOOKUP(C19,'JR-CSF Haplotypes'!$A$11:$C$36,3,FALSE)</f>
        <v>C: D279N + Other</v>
      </c>
      <c r="C19" s="46" t="s">
        <v>72</v>
      </c>
      <c r="D19" s="37">
        <f>VLOOKUP(C19,'JR-CSF Haplotypes'!$A$10:$K$36,4,FALSE)</f>
        <v>159.57749999999999</v>
      </c>
      <c r="E19" s="71">
        <f>GEOMEAN(D19:D21)</f>
        <v>113.87424928444686</v>
      </c>
      <c r="F19" s="37">
        <f>VLOOKUP(C19,'JR-CSF Haplotypes'!$A$10:$K$36,5,FALSE)</f>
        <v>2</v>
      </c>
      <c r="G19" s="35"/>
      <c r="H19" s="47">
        <v>0</v>
      </c>
      <c r="I19" s="47">
        <v>0</v>
      </c>
      <c r="J19" s="47">
        <v>0</v>
      </c>
      <c r="K19" s="47">
        <v>0</v>
      </c>
      <c r="L19" s="47">
        <v>0.99399849962490605</v>
      </c>
      <c r="M19" s="48">
        <v>0</v>
      </c>
    </row>
    <row r="20" spans="2:35" ht="21" customHeight="1">
      <c r="B20" s="67"/>
      <c r="C20" s="45" t="s">
        <v>77</v>
      </c>
      <c r="D20" s="39">
        <f>VLOOKUP(C20,'JR-CSF Haplotypes'!$A$10:$K$36,4,FALSE)</f>
        <v>189.24</v>
      </c>
      <c r="E20" s="63"/>
      <c r="F20" s="39">
        <f>VLOOKUP(C20,'JR-CSF Haplotypes'!$A$10:$K$36,5,FALSE)</f>
        <v>2</v>
      </c>
      <c r="G20" s="34"/>
      <c r="H20" s="14">
        <v>0</v>
      </c>
      <c r="I20" s="14">
        <v>0</v>
      </c>
      <c r="J20" s="14">
        <v>0</v>
      </c>
      <c r="K20" s="14">
        <v>0</v>
      </c>
      <c r="L20" s="14">
        <v>0.99109062980030704</v>
      </c>
      <c r="M20" s="15">
        <v>0</v>
      </c>
    </row>
    <row r="21" spans="2:35" ht="21" customHeight="1" thickBot="1">
      <c r="B21" s="66"/>
      <c r="C21" s="49" t="s">
        <v>94</v>
      </c>
      <c r="D21" s="40">
        <f>VLOOKUP(C21,'JR-CSF Haplotypes'!$A$10:$K$36,4,FALSE)</f>
        <v>48.898099999999999</v>
      </c>
      <c r="E21" s="64"/>
      <c r="F21" s="40">
        <f>VLOOKUP(C21,'JR-CSF Haplotypes'!$A$10:$K$36,5,FALSE)</f>
        <v>2</v>
      </c>
      <c r="G21" s="36"/>
      <c r="H21" s="17">
        <v>0</v>
      </c>
      <c r="I21" s="17">
        <v>0</v>
      </c>
      <c r="J21" s="17">
        <v>0</v>
      </c>
      <c r="K21" s="17">
        <v>0</v>
      </c>
      <c r="L21" s="17">
        <v>0.82499999999999996</v>
      </c>
      <c r="M21" s="18">
        <v>0</v>
      </c>
    </row>
    <row r="22" spans="2:35" ht="21" customHeight="1">
      <c r="B22" s="65" t="str">
        <f>VLOOKUP(C22,'JR-CSF Haplotypes'!$A$11:$C$36,3,FALSE)</f>
        <v>D: D279E + Other</v>
      </c>
      <c r="C22" s="46" t="s">
        <v>71</v>
      </c>
      <c r="D22" s="37">
        <f>VLOOKUP(C22,'JR-CSF Haplotypes'!$A$10:$K$36,4,FALSE)</f>
        <v>152.66999999999999</v>
      </c>
      <c r="E22" s="71">
        <f>GEOMEAN(D22:D24)</f>
        <v>122.33874862583669</v>
      </c>
      <c r="F22" s="37">
        <f>VLOOKUP(C22,'JR-CSF Haplotypes'!$A$10:$K$36,5,FALSE)</f>
        <v>2</v>
      </c>
      <c r="G22" s="35"/>
      <c r="H22" s="47">
        <v>0</v>
      </c>
      <c r="I22" s="47">
        <v>0.52070879590093899</v>
      </c>
      <c r="J22" s="47">
        <v>0</v>
      </c>
      <c r="K22" s="47">
        <v>0.28821520068317602</v>
      </c>
      <c r="L22" s="47">
        <v>0.16076003415883799</v>
      </c>
      <c r="M22" s="48">
        <v>0</v>
      </c>
    </row>
    <row r="23" spans="2:35" ht="21" customHeight="1">
      <c r="B23" s="67"/>
      <c r="C23" s="45" t="s">
        <v>76</v>
      </c>
      <c r="D23" s="39">
        <f>VLOOKUP(C23,'JR-CSF Haplotypes'!$A$10:$K$36,4,FALSE)</f>
        <v>157.4675</v>
      </c>
      <c r="E23" s="63"/>
      <c r="F23" s="39">
        <f>VLOOKUP(C23,'JR-CSF Haplotypes'!$A$10:$K$36,5,FALSE)</f>
        <v>2</v>
      </c>
      <c r="G23" s="34"/>
      <c r="H23" s="14">
        <v>0</v>
      </c>
      <c r="I23" s="14">
        <v>0.49300322927879398</v>
      </c>
      <c r="J23" s="14">
        <v>0</v>
      </c>
      <c r="K23" s="14">
        <v>0</v>
      </c>
      <c r="L23" s="14">
        <v>0</v>
      </c>
      <c r="M23" s="15">
        <v>0</v>
      </c>
    </row>
    <row r="24" spans="2:35" ht="21" customHeight="1" thickBot="1">
      <c r="B24" s="66"/>
      <c r="C24" s="49" t="s">
        <v>95</v>
      </c>
      <c r="D24" s="40">
        <f>VLOOKUP(C24,'JR-CSF Haplotypes'!$A$10:$K$36,4,FALSE)</f>
        <v>76.163600000000002</v>
      </c>
      <c r="E24" s="64"/>
      <c r="F24" s="40">
        <f>VLOOKUP(C24,'JR-CSF Haplotypes'!$A$10:$K$36,5,FALSE)</f>
        <v>3</v>
      </c>
      <c r="G24" s="36"/>
      <c r="H24" s="17">
        <v>0</v>
      </c>
      <c r="I24" s="17">
        <v>0.98470994615462704</v>
      </c>
      <c r="J24" s="17">
        <v>0</v>
      </c>
      <c r="K24" s="17">
        <v>0</v>
      </c>
      <c r="L24" s="17">
        <v>0</v>
      </c>
      <c r="M24" s="18">
        <v>0</v>
      </c>
    </row>
    <row r="25" spans="2:35" ht="21" customHeight="1" thickBot="1">
      <c r="B25" s="58" t="s">
        <v>383</v>
      </c>
      <c r="C25" s="49" t="s">
        <v>91</v>
      </c>
      <c r="D25" s="40">
        <f>VLOOKUP(C25,'JR-CSF Haplotypes'!$A$10:$K$36,4,FALSE)</f>
        <v>54.849800000000002</v>
      </c>
      <c r="E25" s="57">
        <f>D25</f>
        <v>54.849800000000002</v>
      </c>
      <c r="F25" s="40">
        <f>VLOOKUP(C25,'JR-CSF Haplotypes'!$A$10:$K$36,5,FALSE)</f>
        <v>3</v>
      </c>
      <c r="G25" s="36"/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8">
        <v>0.99717206874048203</v>
      </c>
    </row>
    <row r="26" spans="2:35" ht="21" customHeight="1">
      <c r="B26" s="41"/>
      <c r="C26" s="38"/>
      <c r="D26" s="39"/>
      <c r="E26" s="39"/>
      <c r="F26" s="39"/>
      <c r="G26" s="34"/>
      <c r="H26" s="33"/>
      <c r="I26" s="33"/>
      <c r="J26" s="33"/>
    </row>
    <row r="27" spans="2:35" ht="19" customHeight="1">
      <c r="C27" s="11"/>
      <c r="D27" s="11"/>
      <c r="E27" s="11"/>
      <c r="F27" s="11"/>
    </row>
  </sheetData>
  <mergeCells count="15">
    <mergeCell ref="D7:E10"/>
    <mergeCell ref="F7:F10"/>
    <mergeCell ref="H7:M7"/>
    <mergeCell ref="B8:B10"/>
    <mergeCell ref="C8:C10"/>
    <mergeCell ref="H8:M8"/>
    <mergeCell ref="H9:M9"/>
    <mergeCell ref="B22:B24"/>
    <mergeCell ref="E22:E24"/>
    <mergeCell ref="B11:B14"/>
    <mergeCell ref="E11:E14"/>
    <mergeCell ref="B15:B18"/>
    <mergeCell ref="E15:E18"/>
    <mergeCell ref="B19:B21"/>
    <mergeCell ref="E19:E21"/>
  </mergeCells>
  <conditionalFormatting sqref="D26:E26 D22:E22 D19:E19 D15:E15 D11:E11 D12:D14 D16:D18 D20:D21 D23:D25">
    <cfRule type="colorScale" priority="86">
      <colorScale>
        <cfvo type="min"/>
        <cfvo type="max"/>
        <color rgb="FFFF7128"/>
        <color rgb="FFFFEF9C"/>
      </colorScale>
    </cfRule>
  </conditionalFormatting>
  <conditionalFormatting sqref="E11:E25">
    <cfRule type="colorScale" priority="96">
      <colorScale>
        <cfvo type="min"/>
        <cfvo type="max"/>
        <color rgb="FFFF7128"/>
        <color rgb="FFFFEF9C"/>
      </colorScale>
    </cfRule>
  </conditionalFormatting>
  <conditionalFormatting sqref="F11:F25">
    <cfRule type="colorScale" priority="97">
      <colorScale>
        <cfvo type="min"/>
        <cfvo type="max"/>
        <color rgb="FFFF7128"/>
        <color rgb="FFFFEF9C"/>
      </colorScale>
    </cfRule>
  </conditionalFormatting>
  <conditionalFormatting sqref="F12:F26">
    <cfRule type="colorScale" priority="98">
      <colorScale>
        <cfvo type="min"/>
        <cfvo type="max"/>
        <color rgb="FFFF7128"/>
        <color rgb="FFFFEF9C"/>
      </colorScale>
    </cfRule>
  </conditionalFormatting>
  <conditionalFormatting sqref="H26:I26">
    <cfRule type="colorScale" priority="9">
      <colorScale>
        <cfvo type="min"/>
        <cfvo type="max"/>
        <color rgb="FFFF7128"/>
        <color rgb="FFFFEF9C"/>
      </colorScale>
    </cfRule>
  </conditionalFormatting>
  <conditionalFormatting sqref="H11:M25">
    <cfRule type="colorScale" priority="100">
      <colorScale>
        <cfvo type="min"/>
        <cfvo type="max"/>
        <color rgb="FFFF7128"/>
        <color rgb="FFFFEF9C"/>
      </colorScale>
    </cfRule>
  </conditionalFormatting>
  <conditionalFormatting sqref="J26">
    <cfRule type="colorScale" priority="6">
      <colorScale>
        <cfvo type="min"/>
        <cfvo type="max"/>
        <color rgb="FFFF7128"/>
        <color rgb="FFFFEF9C"/>
      </colorScale>
    </cfRule>
  </conditionalFormatting>
  <conditionalFormatting sqref="K26:AA26 N11:AA25">
    <cfRule type="colorScale" priority="8">
      <colorScale>
        <cfvo type="min"/>
        <cfvo type="max"/>
        <color rgb="FFFF7128"/>
        <color rgb="FFFFEF9C"/>
      </colorScale>
    </cfRule>
  </conditionalFormatting>
  <conditionalFormatting sqref="K27:AA27">
    <cfRule type="colorScale" priority="7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F931-DC09-4B46-8E97-C97FD836D4A7}">
  <dimension ref="B2:AI38"/>
  <sheetViews>
    <sheetView zoomScale="90" zoomScaleNormal="90" workbookViewId="0">
      <selection activeCell="F13" sqref="F13"/>
    </sheetView>
  </sheetViews>
  <sheetFormatPr baseColWidth="10" defaultRowHeight="16"/>
  <cols>
    <col min="2" max="2" width="15.33203125" customWidth="1"/>
    <col min="3" max="3" width="16.6640625" bestFit="1" customWidth="1"/>
    <col min="4" max="5" width="13.6640625" customWidth="1"/>
    <col min="6" max="6" width="10" bestFit="1" customWidth="1"/>
    <col min="7" max="7" width="16" customWidth="1"/>
    <col min="8" max="10" width="8.1640625" bestFit="1" customWidth="1"/>
    <col min="11" max="11" width="9.1640625" bestFit="1" customWidth="1"/>
    <col min="12" max="12" width="9" customWidth="1"/>
    <col min="13" max="18" width="9.1640625" bestFit="1" customWidth="1"/>
  </cols>
  <sheetData>
    <row r="2" spans="2:17" ht="19">
      <c r="L2" s="12"/>
    </row>
    <row r="3" spans="2:17" ht="19">
      <c r="L3" s="12"/>
      <c r="M3" s="1"/>
      <c r="N3" s="1"/>
      <c r="O3" s="1"/>
    </row>
    <row r="4" spans="2:17" ht="19">
      <c r="L4" s="12"/>
      <c r="M4" s="1"/>
      <c r="N4" s="1"/>
      <c r="O4" s="1"/>
    </row>
    <row r="5" spans="2:17">
      <c r="M5" s="1"/>
      <c r="N5" s="1"/>
      <c r="O5" s="1"/>
    </row>
    <row r="6" spans="2:17">
      <c r="M6" s="1"/>
      <c r="N6" s="1"/>
      <c r="O6" s="1"/>
    </row>
    <row r="7" spans="2:17" ht="21" customHeight="1">
      <c r="C7" s="34"/>
      <c r="D7" s="68" t="s">
        <v>382</v>
      </c>
      <c r="E7" s="68"/>
      <c r="F7" s="68" t="s">
        <v>364</v>
      </c>
      <c r="G7" s="42" t="s">
        <v>366</v>
      </c>
      <c r="H7" s="70">
        <v>277</v>
      </c>
      <c r="I7" s="70"/>
      <c r="J7" s="70"/>
      <c r="K7" s="70"/>
      <c r="L7" s="70"/>
      <c r="M7" s="70"/>
    </row>
    <row r="8" spans="2:17" ht="21" customHeight="1">
      <c r="B8" s="68" t="s">
        <v>51</v>
      </c>
      <c r="C8" s="68" t="s">
        <v>365</v>
      </c>
      <c r="D8" s="68"/>
      <c r="E8" s="68"/>
      <c r="F8" s="68"/>
      <c r="G8" s="43" t="s">
        <v>367</v>
      </c>
      <c r="H8" s="70">
        <v>279</v>
      </c>
      <c r="I8" s="70"/>
      <c r="J8" s="70"/>
      <c r="K8" s="70"/>
      <c r="L8" s="70"/>
      <c r="M8" s="70"/>
    </row>
    <row r="9" spans="2:17" ht="19" customHeight="1">
      <c r="B9" s="68"/>
      <c r="C9" s="68"/>
      <c r="D9" s="68"/>
      <c r="E9" s="68"/>
      <c r="F9" s="68"/>
      <c r="G9" s="43" t="s">
        <v>368</v>
      </c>
      <c r="H9" s="70" t="s">
        <v>5</v>
      </c>
      <c r="I9" s="70"/>
      <c r="J9" s="70"/>
      <c r="K9" s="70"/>
      <c r="L9" s="70"/>
      <c r="M9" s="70"/>
    </row>
    <row r="10" spans="2:17" ht="21" customHeight="1" thickBot="1">
      <c r="B10" s="68"/>
      <c r="C10" s="68"/>
      <c r="D10" s="69"/>
      <c r="E10" s="69"/>
      <c r="F10" s="68"/>
      <c r="G10" s="44" t="s">
        <v>369</v>
      </c>
      <c r="H10" s="1" t="s">
        <v>1</v>
      </c>
      <c r="I10" s="1" t="s">
        <v>6</v>
      </c>
      <c r="J10" s="1" t="s">
        <v>9</v>
      </c>
      <c r="K10" s="1" t="s">
        <v>8</v>
      </c>
      <c r="L10" s="1" t="s">
        <v>3</v>
      </c>
      <c r="M10" s="1" t="s">
        <v>61</v>
      </c>
      <c r="O10" s="1" t="s">
        <v>381</v>
      </c>
    </row>
    <row r="11" spans="2:17" ht="21" customHeight="1">
      <c r="B11" s="65" t="str">
        <f>VLOOKUP(C11,'JR-CSF Haplotypes'!$A$11:$C$36,3,FALSE)</f>
        <v>A: D279A</v>
      </c>
      <c r="C11" s="46" t="s">
        <v>78</v>
      </c>
      <c r="D11" s="37">
        <f>VLOOKUP(C11,'JR-CSF Haplotypes'!$A$10:$K$36,4,FALSE)</f>
        <v>182.155</v>
      </c>
      <c r="E11" s="71">
        <f>GEOMEAN(D11:D19)</f>
        <v>196.07421637008039</v>
      </c>
      <c r="F11" s="37">
        <f>VLOOKUP(C11,'JR-CSF Haplotypes'!$A$10:$K$36,5,FALSE)</f>
        <v>2</v>
      </c>
      <c r="G11" s="35"/>
      <c r="H11" s="47">
        <v>0.46604361370716402</v>
      </c>
      <c r="I11" s="47">
        <v>0</v>
      </c>
      <c r="J11" s="47">
        <v>0</v>
      </c>
      <c r="K11" s="47">
        <v>0.103426791277258</v>
      </c>
      <c r="L11" s="47">
        <v>0.42554517133956299</v>
      </c>
      <c r="M11" s="48">
        <v>0</v>
      </c>
      <c r="O11">
        <f>GEOMEAN(D11:D19)</f>
        <v>196.07421637008039</v>
      </c>
      <c r="Q11">
        <f>GEOMEAN(D11:D36)</f>
        <v>172.06076120448276</v>
      </c>
    </row>
    <row r="12" spans="2:17" ht="21" customHeight="1">
      <c r="B12" s="67"/>
      <c r="C12" s="45" t="s">
        <v>79</v>
      </c>
      <c r="D12" s="39">
        <f>VLOOKUP(C12,'JR-CSF Haplotypes'!$A$10:$K$36,4,FALSE)</f>
        <v>204.03909999999999</v>
      </c>
      <c r="E12" s="63"/>
      <c r="F12" s="39">
        <f>VLOOKUP(C12,'JR-CSF Haplotypes'!$A$10:$K$36,5,FALSE)</f>
        <v>2</v>
      </c>
      <c r="G12" s="34"/>
      <c r="H12" s="14">
        <v>0.26298044504383</v>
      </c>
      <c r="I12" s="14">
        <v>0.25758597437626402</v>
      </c>
      <c r="J12" s="14">
        <v>0</v>
      </c>
      <c r="K12" s="14">
        <v>0.13081591368846901</v>
      </c>
      <c r="L12" s="14">
        <v>0.34052596089008702</v>
      </c>
      <c r="M12" s="15">
        <v>0</v>
      </c>
    </row>
    <row r="13" spans="2:17" ht="21" customHeight="1">
      <c r="B13" s="67"/>
      <c r="C13" s="45" t="s">
        <v>80</v>
      </c>
      <c r="D13" s="39">
        <f>VLOOKUP(C13,'JR-CSF Haplotypes'!$A$10:$K$36,4,FALSE)</f>
        <v>181.98429999999999</v>
      </c>
      <c r="E13" s="63"/>
      <c r="F13" s="39">
        <f>VLOOKUP(C13,'JR-CSF Haplotypes'!$A$10:$K$36,5,FALSE)</f>
        <v>2</v>
      </c>
      <c r="G13" s="34"/>
      <c r="H13" s="14">
        <v>0.99515612836259804</v>
      </c>
      <c r="I13" s="14">
        <v>0</v>
      </c>
      <c r="J13" s="14">
        <v>0</v>
      </c>
      <c r="K13" s="14">
        <v>0</v>
      </c>
      <c r="L13" s="14">
        <v>0</v>
      </c>
      <c r="M13" s="15">
        <v>0</v>
      </c>
    </row>
    <row r="14" spans="2:17" ht="21" customHeight="1">
      <c r="B14" s="67"/>
      <c r="C14" s="45" t="s">
        <v>84</v>
      </c>
      <c r="D14" s="39">
        <f>VLOOKUP(C14,'JR-CSF Haplotypes'!$A$10:$K$36,4,FALSE)</f>
        <v>253.77510000000001</v>
      </c>
      <c r="E14" s="63"/>
      <c r="F14" s="39">
        <f>VLOOKUP(C14,'JR-CSF Haplotypes'!$A$10:$K$36,5,FALSE)</f>
        <v>4</v>
      </c>
      <c r="G14" s="34"/>
      <c r="H14" s="14">
        <v>0.99348837209302299</v>
      </c>
      <c r="I14" s="14">
        <v>0</v>
      </c>
      <c r="J14" s="14">
        <v>0</v>
      </c>
      <c r="K14" s="14">
        <v>0</v>
      </c>
      <c r="L14" s="14">
        <v>0</v>
      </c>
      <c r="M14" s="15">
        <v>0</v>
      </c>
    </row>
    <row r="15" spans="2:17" ht="21" customHeight="1">
      <c r="B15" s="67"/>
      <c r="C15" s="45" t="s">
        <v>85</v>
      </c>
      <c r="D15" s="39">
        <f>VLOOKUP(C15,'JR-CSF Haplotypes'!$A$10:$K$36,4,FALSE)</f>
        <v>488.88589999999999</v>
      </c>
      <c r="E15" s="63"/>
      <c r="F15" s="39">
        <f>VLOOKUP(C15,'JR-CSF Haplotypes'!$A$10:$K$36,5,FALSE)</f>
        <v>2</v>
      </c>
      <c r="G15" s="34"/>
      <c r="H15" s="14">
        <v>0.74143985952589897</v>
      </c>
      <c r="I15" s="14">
        <v>0.25422519754170297</v>
      </c>
      <c r="J15" s="14">
        <v>0</v>
      </c>
      <c r="K15" s="14">
        <v>0</v>
      </c>
      <c r="L15" s="14">
        <v>0</v>
      </c>
      <c r="M15" s="15">
        <v>0</v>
      </c>
    </row>
    <row r="16" spans="2:17" ht="21" customHeight="1">
      <c r="B16" s="67"/>
      <c r="C16" s="45" t="s">
        <v>89</v>
      </c>
      <c r="D16" s="39">
        <f>VLOOKUP(C16,'JR-CSF Haplotypes'!$A$10:$K$36,4,FALSE)</f>
        <v>307.74650000000003</v>
      </c>
      <c r="E16" s="63"/>
      <c r="F16" s="39">
        <f>VLOOKUP(C16,'JR-CSF Haplotypes'!$A$10:$K$36,5,FALSE)</f>
        <v>2</v>
      </c>
      <c r="G16" s="34"/>
      <c r="H16" s="14">
        <v>0.99336335624555505</v>
      </c>
      <c r="I16" s="14">
        <v>0</v>
      </c>
      <c r="J16" s="14">
        <v>0</v>
      </c>
      <c r="K16" s="14">
        <v>0</v>
      </c>
      <c r="L16" s="14">
        <v>0</v>
      </c>
      <c r="M16" s="15">
        <v>0</v>
      </c>
    </row>
    <row r="17" spans="2:35" ht="21" customHeight="1">
      <c r="B17" s="67"/>
      <c r="C17" s="45" t="s">
        <v>90</v>
      </c>
      <c r="D17" s="39">
        <f>VLOOKUP(C17,'JR-CSF Haplotypes'!$A$10:$K$36,4,FALSE)</f>
        <v>396.31380000000001</v>
      </c>
      <c r="E17" s="63"/>
      <c r="F17" s="39">
        <f>VLOOKUP(C17,'JR-CSF Haplotypes'!$A$10:$K$36,5,FALSE)</f>
        <v>3</v>
      </c>
      <c r="G17" s="34"/>
      <c r="H17" s="14">
        <v>0.99438269391657597</v>
      </c>
      <c r="I17" s="14">
        <v>0</v>
      </c>
      <c r="J17" s="14">
        <v>0</v>
      </c>
      <c r="K17" s="14">
        <v>0</v>
      </c>
      <c r="L17" s="14">
        <v>0</v>
      </c>
      <c r="M17" s="15">
        <v>0</v>
      </c>
    </row>
    <row r="18" spans="2:35" ht="21" customHeight="1">
      <c r="B18" s="67"/>
      <c r="C18" s="45" t="s">
        <v>93</v>
      </c>
      <c r="D18" s="39">
        <f>VLOOKUP(C18,'JR-CSF Haplotypes'!$A$10:$K$36,4,FALSE)</f>
        <v>66.062399999999997</v>
      </c>
      <c r="E18" s="63"/>
      <c r="F18" s="39">
        <f>VLOOKUP(C18,'JR-CSF Haplotypes'!$A$10:$K$36,5,FALSE)</f>
        <v>3</v>
      </c>
      <c r="G18" s="34"/>
      <c r="H18" s="14">
        <v>0.99504809607831901</v>
      </c>
      <c r="I18" s="14">
        <v>0</v>
      </c>
      <c r="J18" s="14">
        <v>0</v>
      </c>
      <c r="K18" s="14">
        <v>0</v>
      </c>
      <c r="L18" s="14">
        <v>0</v>
      </c>
      <c r="M18" s="15">
        <v>0</v>
      </c>
      <c r="AI18" s="8"/>
    </row>
    <row r="19" spans="2:35" ht="21" customHeight="1" thickBot="1">
      <c r="B19" s="66"/>
      <c r="C19" s="49" t="s">
        <v>96</v>
      </c>
      <c r="D19" s="40">
        <f>VLOOKUP(C19,'JR-CSF Haplotypes'!$A$10:$K$36,4,FALSE)</f>
        <v>63.350900000000003</v>
      </c>
      <c r="E19" s="64"/>
      <c r="F19" s="40">
        <f>VLOOKUP(C19,'JR-CSF Haplotypes'!$A$10:$K$36,5,FALSE)</f>
        <v>3</v>
      </c>
      <c r="G19" s="36"/>
      <c r="H19" s="17">
        <v>0.86808466051969801</v>
      </c>
      <c r="I19" s="17">
        <v>0</v>
      </c>
      <c r="J19" s="17">
        <v>0.124266554903604</v>
      </c>
      <c r="K19" s="17">
        <v>0</v>
      </c>
      <c r="L19" s="17">
        <v>0</v>
      </c>
      <c r="M19" s="18">
        <v>0</v>
      </c>
      <c r="AI19" s="8"/>
    </row>
    <row r="20" spans="2:35" ht="21" customHeight="1">
      <c r="B20" s="65" t="str">
        <f>VLOOKUP(C20,'JR-CSF Haplotypes'!$A$11:$C$36,3,FALSE)</f>
        <v>B: D279H</v>
      </c>
      <c r="C20" s="46" t="s">
        <v>73</v>
      </c>
      <c r="D20" s="37">
        <f>VLOOKUP(C20,'JR-CSF Haplotypes'!$A$10:$K$36,4,FALSE)</f>
        <v>106.9328</v>
      </c>
      <c r="E20" s="71">
        <f>GEOMEAN(D20:D24)</f>
        <v>133.21628860791054</v>
      </c>
      <c r="F20" s="37">
        <f>VLOOKUP(C20,'JR-CSF Haplotypes'!$A$10:$K$36,5,FALSE)</f>
        <v>2</v>
      </c>
      <c r="G20" s="35"/>
      <c r="H20" s="47">
        <v>0</v>
      </c>
      <c r="I20" s="47">
        <v>0</v>
      </c>
      <c r="J20" s="47">
        <v>0.54836162652980602</v>
      </c>
      <c r="K20" s="47">
        <v>0.102092380576391</v>
      </c>
      <c r="L20" s="47">
        <v>0.34891433083300399</v>
      </c>
      <c r="M20" s="48">
        <v>0</v>
      </c>
      <c r="O20">
        <f>GEOMEAN(D20:D24)</f>
        <v>133.21628860791054</v>
      </c>
      <c r="AI20" s="8"/>
    </row>
    <row r="21" spans="2:35" ht="21" customHeight="1">
      <c r="B21" s="67"/>
      <c r="C21" s="45" t="s">
        <v>74</v>
      </c>
      <c r="D21" s="39">
        <f>VLOOKUP(C21,'JR-CSF Haplotypes'!$A$10:$K$36,4,FALSE)</f>
        <v>193.23</v>
      </c>
      <c r="E21" s="63"/>
      <c r="F21" s="39">
        <f>VLOOKUP(C21,'JR-CSF Haplotypes'!$A$10:$K$36,5,FALSE)</f>
        <v>2</v>
      </c>
      <c r="G21" s="34"/>
      <c r="H21" s="14">
        <v>0</v>
      </c>
      <c r="I21" s="14">
        <v>0</v>
      </c>
      <c r="J21" s="14">
        <v>0.99202551834130703</v>
      </c>
      <c r="K21" s="14">
        <v>0</v>
      </c>
      <c r="L21" s="14">
        <v>0</v>
      </c>
      <c r="M21" s="15">
        <v>0</v>
      </c>
      <c r="AI21" s="8"/>
    </row>
    <row r="22" spans="2:35" ht="21" customHeight="1">
      <c r="B22" s="67"/>
      <c r="C22" s="45" t="s">
        <v>75</v>
      </c>
      <c r="D22" s="39">
        <f>VLOOKUP(C22,'JR-CSF Haplotypes'!$A$10:$K$36,4,FALSE)</f>
        <v>149.745</v>
      </c>
      <c r="E22" s="63"/>
      <c r="F22" s="39">
        <f>VLOOKUP(C22,'JR-CSF Haplotypes'!$A$10:$K$36,5,FALSE)</f>
        <v>2</v>
      </c>
      <c r="G22" s="34"/>
      <c r="H22" s="14">
        <v>0</v>
      </c>
      <c r="I22" s="14">
        <v>0</v>
      </c>
      <c r="J22" s="14">
        <v>0.98687214611872098</v>
      </c>
      <c r="K22" s="14">
        <v>0</v>
      </c>
      <c r="L22" s="14">
        <v>0</v>
      </c>
      <c r="M22" s="15">
        <v>0</v>
      </c>
      <c r="AI22" s="8"/>
    </row>
    <row r="23" spans="2:35" ht="21" customHeight="1">
      <c r="B23" s="67"/>
      <c r="C23" s="45" t="s">
        <v>82</v>
      </c>
      <c r="D23" s="39">
        <f>VLOOKUP(C23,'JR-CSF Haplotypes'!$A$10:$K$36,4,FALSE)</f>
        <v>347.66399999999999</v>
      </c>
      <c r="E23" s="63"/>
      <c r="F23" s="39">
        <f>VLOOKUP(C23,'JR-CSF Haplotypes'!$A$10:$K$36,5,FALSE)</f>
        <v>3</v>
      </c>
      <c r="G23" s="34"/>
      <c r="H23" s="14">
        <v>0</v>
      </c>
      <c r="I23" s="14">
        <v>0.53854029545122095</v>
      </c>
      <c r="J23" s="14">
        <v>0.45275705718882497</v>
      </c>
      <c r="K23" s="14">
        <v>0</v>
      </c>
      <c r="L23" s="14">
        <v>0</v>
      </c>
      <c r="M23" s="15">
        <v>0</v>
      </c>
      <c r="AI23" s="8"/>
    </row>
    <row r="24" spans="2:35" ht="21" customHeight="1" thickBot="1">
      <c r="B24" s="66"/>
      <c r="C24" s="49" t="s">
        <v>92</v>
      </c>
      <c r="D24" s="40">
        <f>VLOOKUP(C24,'JR-CSF Haplotypes'!$A$10:$K$36,4,FALSE)</f>
        <v>39.002200000000002</v>
      </c>
      <c r="E24" s="64"/>
      <c r="F24" s="40">
        <f>VLOOKUP(C24,'JR-CSF Haplotypes'!$A$10:$K$36,5,FALSE)</f>
        <v>2</v>
      </c>
      <c r="G24" s="36"/>
      <c r="H24" s="17">
        <v>0</v>
      </c>
      <c r="I24" s="17">
        <v>0</v>
      </c>
      <c r="J24" s="17">
        <v>1</v>
      </c>
      <c r="K24" s="17">
        <v>0</v>
      </c>
      <c r="L24" s="17">
        <v>0</v>
      </c>
      <c r="M24" s="18">
        <v>0</v>
      </c>
    </row>
    <row r="25" spans="2:35" ht="21" customHeight="1">
      <c r="B25" s="65" t="str">
        <f>VLOOKUP(C25,'JR-CSF Haplotypes'!$A$11:$C$36,3,FALSE)</f>
        <v>C: D279N + Other</v>
      </c>
      <c r="C25" s="46" t="s">
        <v>72</v>
      </c>
      <c r="D25" s="37">
        <f>VLOOKUP(C25,'JR-CSF Haplotypes'!$A$10:$K$36,4,FALSE)</f>
        <v>159.57749999999999</v>
      </c>
      <c r="E25" s="71">
        <f>GEOMEAN(D25:D28)</f>
        <v>150.52025977893362</v>
      </c>
      <c r="F25" s="37">
        <f>VLOOKUP(C25,'JR-CSF Haplotypes'!$A$10:$K$36,5,FALSE)</f>
        <v>2</v>
      </c>
      <c r="G25" s="35"/>
      <c r="H25" s="47">
        <v>0</v>
      </c>
      <c r="I25" s="47">
        <v>0</v>
      </c>
      <c r="J25" s="47">
        <v>0</v>
      </c>
      <c r="K25" s="47">
        <v>0</v>
      </c>
      <c r="L25" s="47">
        <v>0.99399849962490605</v>
      </c>
      <c r="M25" s="48">
        <v>0</v>
      </c>
    </row>
    <row r="26" spans="2:35" ht="21" customHeight="1">
      <c r="B26" s="67"/>
      <c r="C26" s="45" t="s">
        <v>77</v>
      </c>
      <c r="D26" s="39">
        <f>VLOOKUP(C26,'JR-CSF Haplotypes'!$A$10:$K$36,4,FALSE)</f>
        <v>189.24</v>
      </c>
      <c r="E26" s="63"/>
      <c r="F26" s="39">
        <f>VLOOKUP(C26,'JR-CSF Haplotypes'!$A$10:$K$36,5,FALSE)</f>
        <v>2</v>
      </c>
      <c r="G26" s="34"/>
      <c r="H26" s="14">
        <v>0</v>
      </c>
      <c r="I26" s="14">
        <v>0</v>
      </c>
      <c r="J26" s="14">
        <v>0</v>
      </c>
      <c r="K26" s="14">
        <v>0</v>
      </c>
      <c r="L26" s="14">
        <v>0.99109062980030704</v>
      </c>
      <c r="M26" s="15">
        <v>0</v>
      </c>
    </row>
    <row r="27" spans="2:35" ht="21" customHeight="1">
      <c r="B27" s="67"/>
      <c r="C27" s="45" t="s">
        <v>83</v>
      </c>
      <c r="D27" s="39">
        <f>VLOOKUP(C27,'JR-CSF Haplotypes'!$A$10:$K$36,4,FALSE)</f>
        <v>347.61880000000002</v>
      </c>
      <c r="E27" s="63"/>
      <c r="F27" s="39">
        <f>VLOOKUP(C27,'JR-CSF Haplotypes'!$A$10:$K$36,5,FALSE)</f>
        <v>3</v>
      </c>
      <c r="G27" s="34"/>
      <c r="H27" s="14">
        <v>0</v>
      </c>
      <c r="I27" s="14">
        <v>0</v>
      </c>
      <c r="J27" s="14">
        <v>0</v>
      </c>
      <c r="K27" s="14">
        <v>0</v>
      </c>
      <c r="L27" s="14">
        <v>0.98931516069325198</v>
      </c>
      <c r="M27" s="15">
        <v>0</v>
      </c>
    </row>
    <row r="28" spans="2:35" ht="21" customHeight="1" thickBot="1">
      <c r="B28" s="66"/>
      <c r="C28" s="49" t="s">
        <v>94</v>
      </c>
      <c r="D28" s="40">
        <f>VLOOKUP(C28,'JR-CSF Haplotypes'!$A$10:$K$36,4,FALSE)</f>
        <v>48.898099999999999</v>
      </c>
      <c r="E28" s="64"/>
      <c r="F28" s="40">
        <f>VLOOKUP(C28,'JR-CSF Haplotypes'!$A$10:$K$36,5,FALSE)</f>
        <v>2</v>
      </c>
      <c r="G28" s="36"/>
      <c r="H28" s="17">
        <v>0</v>
      </c>
      <c r="I28" s="17">
        <v>0</v>
      </c>
      <c r="J28" s="17">
        <v>0</v>
      </c>
      <c r="K28" s="17">
        <v>0</v>
      </c>
      <c r="L28" s="17">
        <v>0.82499999999999996</v>
      </c>
      <c r="M28" s="18">
        <v>0</v>
      </c>
    </row>
    <row r="29" spans="2:35" ht="21" customHeight="1">
      <c r="B29" s="65" t="str">
        <f>VLOOKUP(C29,'JR-CSF Haplotypes'!$A$11:$C$36,3,FALSE)</f>
        <v>D: D279E + Other</v>
      </c>
      <c r="C29" s="46" t="s">
        <v>71</v>
      </c>
      <c r="D29" s="37">
        <f>VLOOKUP(C29,'JR-CSF Haplotypes'!$A$10:$K$36,4,FALSE)</f>
        <v>152.66999999999999</v>
      </c>
      <c r="E29" s="71">
        <f>GEOMEAN(D29:D31)</f>
        <v>122.33874862583669</v>
      </c>
      <c r="F29" s="37">
        <f>VLOOKUP(C29,'JR-CSF Haplotypes'!$A$10:$K$36,5,FALSE)</f>
        <v>2</v>
      </c>
      <c r="G29" s="35"/>
      <c r="H29" s="47">
        <v>0</v>
      </c>
      <c r="I29" s="47">
        <v>0.52070879590093899</v>
      </c>
      <c r="J29" s="47">
        <v>0</v>
      </c>
      <c r="K29" s="47">
        <v>0.28821520068317602</v>
      </c>
      <c r="L29" s="47">
        <v>0.16076003415883799</v>
      </c>
      <c r="M29" s="48">
        <v>0</v>
      </c>
    </row>
    <row r="30" spans="2:35" ht="21" customHeight="1">
      <c r="B30" s="67"/>
      <c r="C30" s="45" t="s">
        <v>76</v>
      </c>
      <c r="D30" s="39">
        <f>VLOOKUP(C30,'JR-CSF Haplotypes'!$A$10:$K$36,4,FALSE)</f>
        <v>157.4675</v>
      </c>
      <c r="E30" s="63"/>
      <c r="F30" s="39">
        <f>VLOOKUP(C30,'JR-CSF Haplotypes'!$A$10:$K$36,5,FALSE)</f>
        <v>2</v>
      </c>
      <c r="G30" s="34"/>
      <c r="H30" s="14">
        <v>0</v>
      </c>
      <c r="I30" s="14">
        <v>0.49300322927879398</v>
      </c>
      <c r="J30" s="14">
        <v>0</v>
      </c>
      <c r="K30" s="14">
        <v>0</v>
      </c>
      <c r="L30" s="14">
        <v>0</v>
      </c>
      <c r="M30" s="15">
        <v>0</v>
      </c>
    </row>
    <row r="31" spans="2:35" ht="21" customHeight="1" thickBot="1">
      <c r="B31" s="66"/>
      <c r="C31" s="49" t="s">
        <v>95</v>
      </c>
      <c r="D31" s="40">
        <f>VLOOKUP(C31,'JR-CSF Haplotypes'!$A$10:$K$36,4,FALSE)</f>
        <v>76.163600000000002</v>
      </c>
      <c r="E31" s="64"/>
      <c r="F31" s="40">
        <f>VLOOKUP(C31,'JR-CSF Haplotypes'!$A$10:$K$36,5,FALSE)</f>
        <v>3</v>
      </c>
      <c r="G31" s="36"/>
      <c r="H31" s="17">
        <v>0</v>
      </c>
      <c r="I31" s="17">
        <v>0.98470994615462704</v>
      </c>
      <c r="J31" s="17">
        <v>0</v>
      </c>
      <c r="K31" s="17">
        <v>0</v>
      </c>
      <c r="L31" s="17">
        <v>0</v>
      </c>
      <c r="M31" s="18">
        <v>0</v>
      </c>
    </row>
    <row r="32" spans="2:35" ht="21" customHeight="1" thickBot="1">
      <c r="B32" s="56" t="str">
        <f>VLOOKUP(C32,'JR-CSF Haplotypes'!$A$11:$C$36,3,FALSE)</f>
        <v>E: D279K</v>
      </c>
      <c r="C32" s="51" t="s">
        <v>87</v>
      </c>
      <c r="D32" s="52">
        <f>VLOOKUP(C32,'JR-CSF Haplotypes'!$A$10:$K$36,4,FALSE)</f>
        <v>520.05820000000006</v>
      </c>
      <c r="E32" s="52">
        <f>D32</f>
        <v>520.05820000000006</v>
      </c>
      <c r="F32" s="52">
        <f>VLOOKUP(C32,'JR-CSF Haplotypes'!$A$10:$K$36,5,FALSE)</f>
        <v>3</v>
      </c>
      <c r="G32" s="53"/>
      <c r="H32" s="54">
        <v>0</v>
      </c>
      <c r="I32" s="54">
        <v>0</v>
      </c>
      <c r="J32" s="54">
        <v>0</v>
      </c>
      <c r="K32" s="54">
        <v>0.99758362908706399</v>
      </c>
      <c r="L32" s="54">
        <v>0</v>
      </c>
      <c r="M32" s="55">
        <v>0</v>
      </c>
    </row>
    <row r="33" spans="2:13" ht="21" customHeight="1">
      <c r="B33" s="65" t="str">
        <f>VLOOKUP(C33,'JR-CSF Haplotypes'!$A$11:$C$36,3,FALSE)</f>
        <v>F: D279Y</v>
      </c>
      <c r="C33" s="46" t="s">
        <v>81</v>
      </c>
      <c r="D33" s="37">
        <f>VLOOKUP(C33,'JR-CSF Haplotypes'!$A$10:$K$36,4,FALSE)</f>
        <v>235.21420000000001</v>
      </c>
      <c r="E33" s="71">
        <f>GEOMEAN(D33:D35)</f>
        <v>172.50025058440866</v>
      </c>
      <c r="F33" s="37">
        <f>VLOOKUP(C33,'JR-CSF Haplotypes'!$A$10:$K$36,5,FALSE)</f>
        <v>2</v>
      </c>
      <c r="G33" s="35"/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8">
        <v>0.99007092198581503</v>
      </c>
    </row>
    <row r="34" spans="2:13" ht="21" customHeight="1">
      <c r="B34" s="67"/>
      <c r="C34" s="45" t="s">
        <v>88</v>
      </c>
      <c r="D34" s="39">
        <f>VLOOKUP(C34,'JR-CSF Haplotypes'!$A$10:$K$36,4,FALSE)</f>
        <v>397.8603</v>
      </c>
      <c r="E34" s="63"/>
      <c r="F34" s="39">
        <f>VLOOKUP(C34,'JR-CSF Haplotypes'!$A$10:$K$36,5,FALSE)</f>
        <v>3</v>
      </c>
      <c r="G34" s="34"/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5">
        <v>0.93549049820236196</v>
      </c>
    </row>
    <row r="35" spans="2:13" ht="21" customHeight="1" thickBot="1">
      <c r="B35" s="66"/>
      <c r="C35" s="49" t="s">
        <v>91</v>
      </c>
      <c r="D35" s="40">
        <f>VLOOKUP(C35,'JR-CSF Haplotypes'!$A$10:$K$36,4,FALSE)</f>
        <v>54.849800000000002</v>
      </c>
      <c r="E35" s="64"/>
      <c r="F35" s="40">
        <f>VLOOKUP(C35,'JR-CSF Haplotypes'!$A$10:$K$36,5,FALSE)</f>
        <v>3</v>
      </c>
      <c r="G35" s="36"/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8">
        <v>0.99717206874048203</v>
      </c>
    </row>
    <row r="36" spans="2:13" ht="21" customHeight="1" thickBot="1">
      <c r="B36" s="50" t="str">
        <f>VLOOKUP(C36,'JR-CSF Haplotypes'!$A$11:$C$36,3,FALSE)</f>
        <v>Other</v>
      </c>
      <c r="C36" s="51" t="s">
        <v>86</v>
      </c>
      <c r="D36" s="52">
        <f>VLOOKUP(C36,'JR-CSF Haplotypes'!$A$10:$K$36,4,FALSE)</f>
        <v>297.62110000000001</v>
      </c>
      <c r="E36" s="52">
        <f>D36</f>
        <v>297.62110000000001</v>
      </c>
      <c r="F36" s="52">
        <f>VLOOKUP(C36,'JR-CSF Haplotypes'!$A$10:$K$36,5,FALSE)</f>
        <v>3</v>
      </c>
      <c r="G36" s="53"/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5">
        <v>0</v>
      </c>
    </row>
    <row r="37" spans="2:13" ht="21" customHeight="1">
      <c r="B37" s="41"/>
      <c r="C37" s="38"/>
      <c r="D37" s="39"/>
      <c r="E37" s="39"/>
      <c r="F37" s="39"/>
      <c r="G37" s="34"/>
      <c r="H37" s="33"/>
      <c r="I37" s="33"/>
      <c r="J37" s="33"/>
    </row>
    <row r="38" spans="2:13" ht="19" customHeight="1">
      <c r="C38" s="11"/>
      <c r="D38" s="11"/>
      <c r="E38" s="11"/>
      <c r="F38" s="11"/>
    </row>
  </sheetData>
  <mergeCells count="17">
    <mergeCell ref="H7:M7"/>
    <mergeCell ref="H8:M8"/>
    <mergeCell ref="H9:M9"/>
    <mergeCell ref="B8:B10"/>
    <mergeCell ref="B11:B19"/>
    <mergeCell ref="E11:E19"/>
    <mergeCell ref="D7:E10"/>
    <mergeCell ref="E33:E35"/>
    <mergeCell ref="B33:B35"/>
    <mergeCell ref="F7:F10"/>
    <mergeCell ref="C8:C10"/>
    <mergeCell ref="B20:B24"/>
    <mergeCell ref="B25:B28"/>
    <mergeCell ref="B29:B31"/>
    <mergeCell ref="E20:E24"/>
    <mergeCell ref="E25:E28"/>
    <mergeCell ref="E29:E31"/>
  </mergeCells>
  <conditionalFormatting sqref="D11:E11 D20:E20 D12:D19 D25:E25 D21:D24 D29:E29 D26:D28 D32:E33 D30:D31 D36:E37 D34:D35">
    <cfRule type="colorScale" priority="5">
      <colorScale>
        <cfvo type="min"/>
        <cfvo type="max"/>
        <color rgb="FFFF7128"/>
        <color rgb="FFFFEF9C"/>
      </colorScale>
    </cfRule>
  </conditionalFormatting>
  <conditionalFormatting sqref="E11:E36">
    <cfRule type="colorScale" priority="1">
      <colorScale>
        <cfvo type="min"/>
        <cfvo type="max"/>
        <color rgb="FFFF7128"/>
        <color rgb="FFFFEF9C"/>
      </colorScale>
    </cfRule>
  </conditionalFormatting>
  <conditionalFormatting sqref="F11:F36">
    <cfRule type="colorScale" priority="2">
      <colorScale>
        <cfvo type="min"/>
        <cfvo type="max"/>
        <color rgb="FFFF7128"/>
        <color rgb="FFFFEF9C"/>
      </colorScale>
    </cfRule>
  </conditionalFormatting>
  <conditionalFormatting sqref="F12:F37">
    <cfRule type="colorScale" priority="4">
      <colorScale>
        <cfvo type="min"/>
        <cfvo type="max"/>
        <color rgb="FFFF7128"/>
        <color rgb="FFFFEF9C"/>
      </colorScale>
    </cfRule>
  </conditionalFormatting>
  <conditionalFormatting sqref="H37:I37">
    <cfRule type="colorScale" priority="9">
      <colorScale>
        <cfvo type="min"/>
        <cfvo type="max"/>
        <color rgb="FFFF7128"/>
        <color rgb="FFFFEF9C"/>
      </colorScale>
    </cfRule>
  </conditionalFormatting>
  <conditionalFormatting sqref="H11:M36">
    <cfRule type="colorScale" priority="3">
      <colorScale>
        <cfvo type="min"/>
        <cfvo type="max"/>
        <color rgb="FFFF7128"/>
        <color rgb="FFFFEF9C"/>
      </colorScale>
    </cfRule>
  </conditionalFormatting>
  <conditionalFormatting sqref="J37">
    <cfRule type="colorScale" priority="6">
      <colorScale>
        <cfvo type="min"/>
        <cfvo type="max"/>
        <color rgb="FFFF7128"/>
        <color rgb="FFFFEF9C"/>
      </colorScale>
    </cfRule>
  </conditionalFormatting>
  <conditionalFormatting sqref="K37:AA37 N11:AA36">
    <cfRule type="colorScale" priority="8">
      <colorScale>
        <cfvo type="min"/>
        <cfvo type="max"/>
        <color rgb="FFFF7128"/>
        <color rgb="FFFFEF9C"/>
      </colorScale>
    </cfRule>
  </conditionalFormatting>
  <conditionalFormatting sqref="K38:AA38">
    <cfRule type="colorScale" priority="7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CBCB-1305-F14B-BFA7-CE7645247C96}">
  <dimension ref="A6:EM44"/>
  <sheetViews>
    <sheetView topLeftCell="A9" zoomScale="121" zoomScaleNormal="121" workbookViewId="0">
      <selection activeCell="BJ11" sqref="BJ11:BJ20"/>
    </sheetView>
  </sheetViews>
  <sheetFormatPr baseColWidth="10" defaultRowHeight="16"/>
  <cols>
    <col min="1" max="1" width="14.33203125" customWidth="1"/>
    <col min="2" max="2" width="15.1640625" bestFit="1" customWidth="1"/>
    <col min="3" max="3" width="17.1640625" customWidth="1"/>
    <col min="4" max="4" width="18.6640625" customWidth="1"/>
    <col min="5" max="5" width="15.33203125" customWidth="1"/>
    <col min="6" max="6" width="14.5" bestFit="1" customWidth="1"/>
    <col min="7" max="10" width="13.83203125" customWidth="1"/>
    <col min="11" max="11" width="14" customWidth="1"/>
    <col min="12" max="143" width="6.83203125" customWidth="1"/>
  </cols>
  <sheetData>
    <row r="6" spans="1:143" ht="17" thickBot="1"/>
    <row r="7" spans="1:143">
      <c r="K7" t="s">
        <v>53</v>
      </c>
      <c r="L7" s="1">
        <v>2</v>
      </c>
      <c r="M7" s="1">
        <v>15</v>
      </c>
      <c r="N7" s="1">
        <v>16</v>
      </c>
      <c r="O7" s="1">
        <v>23</v>
      </c>
      <c r="P7" s="1">
        <v>30</v>
      </c>
      <c r="Q7" s="1">
        <v>31</v>
      </c>
      <c r="R7" s="1">
        <v>37</v>
      </c>
      <c r="S7" s="1">
        <v>41</v>
      </c>
      <c r="T7" s="1">
        <v>91</v>
      </c>
      <c r="U7" s="1">
        <v>94</v>
      </c>
      <c r="V7" s="1">
        <v>104</v>
      </c>
      <c r="W7" s="1">
        <v>109</v>
      </c>
      <c r="X7" s="1">
        <v>112</v>
      </c>
      <c r="Y7" s="1">
        <v>127</v>
      </c>
      <c r="Z7" s="1">
        <v>129</v>
      </c>
      <c r="AA7" s="1">
        <v>144</v>
      </c>
      <c r="AB7" s="1">
        <v>157</v>
      </c>
      <c r="AC7" s="1">
        <v>158</v>
      </c>
      <c r="AD7" s="1">
        <v>159</v>
      </c>
      <c r="AE7" s="1">
        <v>160</v>
      </c>
      <c r="AF7" s="1">
        <v>160</v>
      </c>
      <c r="AG7" s="1">
        <v>161</v>
      </c>
      <c r="AH7" s="1">
        <v>162</v>
      </c>
      <c r="AI7" s="1">
        <v>162</v>
      </c>
      <c r="AJ7" s="1">
        <v>163</v>
      </c>
      <c r="AK7" s="1">
        <v>164</v>
      </c>
      <c r="AL7" s="1">
        <v>164</v>
      </c>
      <c r="AM7" s="1">
        <v>169</v>
      </c>
      <c r="AN7" s="1">
        <v>174</v>
      </c>
      <c r="AO7" s="1">
        <v>174</v>
      </c>
      <c r="AP7" s="1">
        <v>176</v>
      </c>
      <c r="AQ7" s="1">
        <v>176</v>
      </c>
      <c r="AR7" s="1">
        <v>178</v>
      </c>
      <c r="AS7" s="1">
        <v>184</v>
      </c>
      <c r="AT7" s="1">
        <v>188</v>
      </c>
      <c r="AU7" s="1">
        <v>188</v>
      </c>
      <c r="AV7" s="1">
        <v>190</v>
      </c>
      <c r="AW7" s="1">
        <v>199</v>
      </c>
      <c r="AX7" s="1">
        <v>201</v>
      </c>
      <c r="AY7" s="1">
        <v>206</v>
      </c>
      <c r="AZ7" s="1">
        <v>228</v>
      </c>
      <c r="BA7" s="1">
        <v>253</v>
      </c>
      <c r="BB7" s="1">
        <v>264</v>
      </c>
      <c r="BC7" s="1">
        <v>273</v>
      </c>
      <c r="BD7" s="1">
        <v>274</v>
      </c>
      <c r="BE7" s="1">
        <v>276</v>
      </c>
      <c r="BF7" s="19">
        <v>277</v>
      </c>
      <c r="BG7" s="20">
        <v>277</v>
      </c>
      <c r="BH7" s="20">
        <v>277</v>
      </c>
      <c r="BI7" s="20">
        <v>277</v>
      </c>
      <c r="BJ7" s="20">
        <v>277</v>
      </c>
      <c r="BK7" s="21">
        <v>277</v>
      </c>
      <c r="BL7" s="1">
        <v>278</v>
      </c>
      <c r="BM7" s="1">
        <v>279</v>
      </c>
      <c r="BN7" s="1">
        <v>295</v>
      </c>
      <c r="BO7" s="1">
        <v>298</v>
      </c>
      <c r="BP7" s="1">
        <v>303</v>
      </c>
      <c r="BQ7" s="1">
        <v>304</v>
      </c>
      <c r="BR7" s="1">
        <v>307</v>
      </c>
      <c r="BS7" s="1">
        <v>307</v>
      </c>
      <c r="BT7" s="1">
        <v>313</v>
      </c>
      <c r="BU7" s="1">
        <v>313</v>
      </c>
      <c r="BV7" s="1">
        <v>315</v>
      </c>
      <c r="BW7" s="1">
        <v>315</v>
      </c>
      <c r="BX7" s="1">
        <v>332</v>
      </c>
      <c r="BY7" s="1">
        <v>336</v>
      </c>
      <c r="BZ7" s="1">
        <v>336</v>
      </c>
      <c r="CA7" s="1">
        <v>336</v>
      </c>
      <c r="CB7" s="1">
        <v>336</v>
      </c>
      <c r="CC7" s="1">
        <v>336</v>
      </c>
      <c r="CD7" s="1">
        <v>338</v>
      </c>
      <c r="CE7" s="1">
        <v>341</v>
      </c>
      <c r="CF7" s="1">
        <v>342</v>
      </c>
      <c r="CG7" s="1">
        <v>351</v>
      </c>
      <c r="CH7" s="1">
        <v>361</v>
      </c>
      <c r="CI7" s="1">
        <v>367</v>
      </c>
      <c r="CJ7" s="1">
        <v>382</v>
      </c>
      <c r="CK7" s="1">
        <v>384</v>
      </c>
      <c r="CL7" s="1">
        <v>388</v>
      </c>
      <c r="CM7" s="1">
        <v>390</v>
      </c>
      <c r="CN7" s="1">
        <v>395</v>
      </c>
      <c r="CO7" s="1">
        <v>399</v>
      </c>
      <c r="CP7" s="1">
        <v>399</v>
      </c>
      <c r="CQ7" s="1">
        <v>402</v>
      </c>
      <c r="CR7" s="1">
        <v>403</v>
      </c>
      <c r="CS7" s="1">
        <v>403</v>
      </c>
      <c r="CT7" s="1">
        <v>405</v>
      </c>
      <c r="CU7" s="1">
        <v>420</v>
      </c>
      <c r="CV7" s="1">
        <v>421</v>
      </c>
      <c r="CW7" s="1">
        <v>421</v>
      </c>
      <c r="CX7" s="1">
        <v>426</v>
      </c>
      <c r="CY7" s="1">
        <v>428</v>
      </c>
      <c r="CZ7" s="1">
        <v>450</v>
      </c>
      <c r="DA7" s="1">
        <v>451</v>
      </c>
      <c r="DB7" s="1">
        <v>453</v>
      </c>
      <c r="DC7" s="1">
        <v>455</v>
      </c>
      <c r="DD7" s="1">
        <v>455</v>
      </c>
      <c r="DE7" s="1">
        <v>466</v>
      </c>
      <c r="DF7" s="1">
        <v>486</v>
      </c>
      <c r="DG7" s="1">
        <v>526</v>
      </c>
      <c r="DH7" s="1">
        <v>531</v>
      </c>
      <c r="DI7" s="1">
        <v>540</v>
      </c>
      <c r="DJ7" s="1">
        <v>547</v>
      </c>
      <c r="DK7" s="1">
        <v>575</v>
      </c>
      <c r="DL7" s="1">
        <v>585</v>
      </c>
      <c r="DM7" s="1">
        <v>604</v>
      </c>
      <c r="DN7" s="1">
        <v>660</v>
      </c>
      <c r="DO7" s="1">
        <v>675</v>
      </c>
      <c r="DP7" s="1">
        <v>679</v>
      </c>
      <c r="DQ7" s="1">
        <v>688</v>
      </c>
      <c r="DR7" s="1">
        <v>691</v>
      </c>
      <c r="DS7" s="1">
        <v>693</v>
      </c>
      <c r="DT7" s="1">
        <v>715</v>
      </c>
      <c r="DU7" s="1">
        <v>718</v>
      </c>
      <c r="DV7" s="1">
        <v>728</v>
      </c>
      <c r="DW7" s="1">
        <v>738</v>
      </c>
      <c r="DX7" s="1">
        <v>750</v>
      </c>
      <c r="DY7" s="1">
        <v>762</v>
      </c>
      <c r="DZ7" s="1">
        <v>771</v>
      </c>
      <c r="EA7" s="1">
        <v>779</v>
      </c>
      <c r="EB7" s="1">
        <v>779</v>
      </c>
      <c r="EC7" s="1">
        <v>780</v>
      </c>
      <c r="ED7" s="1">
        <v>783</v>
      </c>
      <c r="EE7" s="1">
        <v>783</v>
      </c>
      <c r="EF7" s="1">
        <v>783</v>
      </c>
      <c r="EG7" s="1">
        <v>784</v>
      </c>
      <c r="EH7" s="1">
        <v>784</v>
      </c>
      <c r="EI7" s="1">
        <v>788</v>
      </c>
      <c r="EJ7" s="1">
        <v>793</v>
      </c>
      <c r="EK7" s="1">
        <v>809</v>
      </c>
      <c r="EL7" s="1">
        <v>814</v>
      </c>
      <c r="EM7" s="1">
        <v>824</v>
      </c>
    </row>
    <row r="8" spans="1:143">
      <c r="K8" t="s">
        <v>54</v>
      </c>
      <c r="L8" s="1">
        <v>2</v>
      </c>
      <c r="M8" s="1">
        <v>12</v>
      </c>
      <c r="N8" s="1">
        <v>17</v>
      </c>
      <c r="O8" s="1">
        <v>24</v>
      </c>
      <c r="P8" s="1">
        <v>31</v>
      </c>
      <c r="Q8" s="1">
        <v>32</v>
      </c>
      <c r="R8" s="1">
        <v>38</v>
      </c>
      <c r="S8" s="1">
        <v>42</v>
      </c>
      <c r="T8" s="1">
        <v>92</v>
      </c>
      <c r="U8" s="1">
        <v>95</v>
      </c>
      <c r="V8" s="1">
        <v>105</v>
      </c>
      <c r="W8" s="1">
        <v>110</v>
      </c>
      <c r="X8" s="1">
        <v>113</v>
      </c>
      <c r="Y8" s="1">
        <v>128</v>
      </c>
      <c r="Z8" s="1">
        <v>130</v>
      </c>
      <c r="AA8" s="1">
        <v>146</v>
      </c>
      <c r="AB8" s="1">
        <v>160</v>
      </c>
      <c r="AC8" s="1">
        <v>161</v>
      </c>
      <c r="AD8" s="1">
        <v>162</v>
      </c>
      <c r="AE8" s="1">
        <v>163</v>
      </c>
      <c r="AF8" s="1">
        <v>163</v>
      </c>
      <c r="AG8" s="1">
        <v>164</v>
      </c>
      <c r="AH8" s="1">
        <v>165</v>
      </c>
      <c r="AI8" s="1">
        <v>165</v>
      </c>
      <c r="AJ8" s="1">
        <v>166</v>
      </c>
      <c r="AK8" s="1">
        <v>167</v>
      </c>
      <c r="AL8" s="1">
        <v>167</v>
      </c>
      <c r="AM8" s="1">
        <v>172</v>
      </c>
      <c r="AN8" s="1">
        <v>177</v>
      </c>
      <c r="AO8" s="1">
        <v>177</v>
      </c>
      <c r="AP8" s="1">
        <v>179</v>
      </c>
      <c r="AQ8" s="1">
        <v>179</v>
      </c>
      <c r="AR8" s="1">
        <v>181</v>
      </c>
      <c r="AS8" s="1">
        <v>187</v>
      </c>
      <c r="AT8" s="1">
        <v>190</v>
      </c>
      <c r="AU8" s="1">
        <v>190</v>
      </c>
      <c r="AV8" s="1">
        <v>192</v>
      </c>
      <c r="AW8" s="1">
        <v>201</v>
      </c>
      <c r="AX8" s="1">
        <v>203</v>
      </c>
      <c r="AY8" s="1">
        <v>208</v>
      </c>
      <c r="AZ8" s="1">
        <v>230</v>
      </c>
      <c r="BA8" s="1">
        <v>255</v>
      </c>
      <c r="BB8" s="1">
        <v>266</v>
      </c>
      <c r="BC8" s="1">
        <v>275</v>
      </c>
      <c r="BD8" s="1">
        <v>276</v>
      </c>
      <c r="BE8" s="1">
        <v>278</v>
      </c>
      <c r="BF8" s="2">
        <v>279</v>
      </c>
      <c r="BG8" s="1">
        <v>279</v>
      </c>
      <c r="BH8" s="1">
        <v>279</v>
      </c>
      <c r="BI8" s="1">
        <v>279</v>
      </c>
      <c r="BJ8" s="1">
        <v>279</v>
      </c>
      <c r="BK8" s="3">
        <v>279</v>
      </c>
      <c r="BL8" s="1">
        <v>280</v>
      </c>
      <c r="BM8" s="1">
        <v>281</v>
      </c>
      <c r="BN8" s="1">
        <v>297</v>
      </c>
      <c r="BO8" s="1">
        <v>300</v>
      </c>
      <c r="BP8" s="1">
        <v>305</v>
      </c>
      <c r="BQ8" s="1">
        <v>306</v>
      </c>
      <c r="BR8" s="1">
        <v>309</v>
      </c>
      <c r="BS8" s="1">
        <v>309</v>
      </c>
      <c r="BT8" s="1">
        <v>317</v>
      </c>
      <c r="BU8" s="1">
        <v>317</v>
      </c>
      <c r="BV8" s="1">
        <v>319</v>
      </c>
      <c r="BW8" s="1">
        <v>319</v>
      </c>
      <c r="BX8" s="1">
        <v>335</v>
      </c>
      <c r="BY8" s="1">
        <v>339</v>
      </c>
      <c r="BZ8" s="1">
        <v>339</v>
      </c>
      <c r="CA8" s="1">
        <v>339</v>
      </c>
      <c r="CB8" s="1">
        <v>339</v>
      </c>
      <c r="CC8" s="1">
        <v>339</v>
      </c>
      <c r="CD8" s="1">
        <v>341</v>
      </c>
      <c r="CE8" s="1">
        <v>344</v>
      </c>
      <c r="CF8" s="1">
        <v>345</v>
      </c>
      <c r="CG8" s="1">
        <v>355</v>
      </c>
      <c r="CH8" s="1">
        <v>365</v>
      </c>
      <c r="CI8" s="1">
        <v>371</v>
      </c>
      <c r="CJ8" s="1">
        <v>386</v>
      </c>
      <c r="CK8" s="1">
        <v>388</v>
      </c>
      <c r="CL8" s="1">
        <v>392</v>
      </c>
      <c r="CM8" s="1">
        <v>394</v>
      </c>
      <c r="CN8" s="1">
        <v>403</v>
      </c>
      <c r="CO8" s="1">
        <v>407</v>
      </c>
      <c r="CP8" s="1">
        <v>407</v>
      </c>
      <c r="CQ8" s="1">
        <v>410</v>
      </c>
      <c r="CR8" s="1">
        <v>411</v>
      </c>
      <c r="CS8" s="1">
        <v>411</v>
      </c>
      <c r="CT8" s="1">
        <v>413</v>
      </c>
      <c r="CU8" s="1">
        <v>428</v>
      </c>
      <c r="CV8" s="1">
        <v>429</v>
      </c>
      <c r="CW8" s="1">
        <v>429</v>
      </c>
      <c r="CX8" s="1">
        <v>434</v>
      </c>
      <c r="CY8" s="1">
        <v>436</v>
      </c>
      <c r="CZ8" s="1">
        <v>458</v>
      </c>
      <c r="DA8" s="1">
        <v>459</v>
      </c>
      <c r="DB8" s="1">
        <v>461</v>
      </c>
      <c r="DC8" s="1">
        <v>463</v>
      </c>
      <c r="DD8" s="1">
        <v>463</v>
      </c>
      <c r="DE8" s="1">
        <v>474</v>
      </c>
      <c r="DF8" s="1">
        <v>494</v>
      </c>
      <c r="DG8" s="1">
        <v>534</v>
      </c>
      <c r="DH8" s="1">
        <v>539</v>
      </c>
      <c r="DI8" s="1">
        <v>548</v>
      </c>
      <c r="DJ8" s="1">
        <v>555</v>
      </c>
      <c r="DK8" s="1">
        <v>583</v>
      </c>
      <c r="DL8" s="1">
        <v>593</v>
      </c>
      <c r="DM8" s="1">
        <v>612</v>
      </c>
      <c r="DN8" s="1">
        <v>668</v>
      </c>
      <c r="DO8" s="1">
        <v>683</v>
      </c>
      <c r="DP8" s="1">
        <v>687</v>
      </c>
      <c r="DQ8" s="1">
        <v>696</v>
      </c>
      <c r="DR8" s="1">
        <v>699</v>
      </c>
      <c r="DS8" s="1">
        <v>701</v>
      </c>
      <c r="DT8" s="1">
        <v>723</v>
      </c>
      <c r="DU8" s="1">
        <v>726</v>
      </c>
      <c r="DV8" s="1">
        <v>736</v>
      </c>
      <c r="DW8" s="1">
        <v>746</v>
      </c>
      <c r="DX8" s="1">
        <v>758</v>
      </c>
      <c r="DY8" s="1">
        <v>770</v>
      </c>
      <c r="DZ8" s="1">
        <v>779</v>
      </c>
      <c r="EA8" s="1">
        <v>787</v>
      </c>
      <c r="EB8" s="1">
        <v>787</v>
      </c>
      <c r="EC8" s="1">
        <v>788</v>
      </c>
      <c r="ED8" s="1">
        <v>791</v>
      </c>
      <c r="EE8" s="1">
        <v>791</v>
      </c>
      <c r="EF8" s="1">
        <v>791</v>
      </c>
      <c r="EG8" s="1">
        <v>792</v>
      </c>
      <c r="EH8" s="1">
        <v>792</v>
      </c>
      <c r="EI8" s="1">
        <v>796</v>
      </c>
      <c r="EJ8" s="1">
        <v>801</v>
      </c>
      <c r="EK8" s="1">
        <v>817</v>
      </c>
      <c r="EL8" s="1">
        <v>822</v>
      </c>
      <c r="EM8" s="1">
        <v>832</v>
      </c>
    </row>
    <row r="9" spans="1:143">
      <c r="K9" t="s">
        <v>70</v>
      </c>
      <c r="L9" s="1" t="s">
        <v>10</v>
      </c>
      <c r="M9" s="1" t="s">
        <v>8</v>
      </c>
      <c r="N9" s="1" t="s">
        <v>4</v>
      </c>
      <c r="O9" s="1" t="s">
        <v>2</v>
      </c>
      <c r="P9" s="1" t="s">
        <v>47</v>
      </c>
      <c r="Q9" s="1" t="s">
        <v>6</v>
      </c>
      <c r="R9" s="1" t="s">
        <v>47</v>
      </c>
      <c r="S9" s="1" t="s">
        <v>47</v>
      </c>
      <c r="T9" s="1" t="s">
        <v>5</v>
      </c>
      <c r="U9" s="1" t="s">
        <v>43</v>
      </c>
      <c r="V9" s="1" t="s">
        <v>44</v>
      </c>
      <c r="W9" s="1" t="s">
        <v>3</v>
      </c>
      <c r="X9" s="1" t="s">
        <v>5</v>
      </c>
      <c r="Y9" s="1" t="s">
        <v>2</v>
      </c>
      <c r="Z9" s="1" t="s">
        <v>3</v>
      </c>
      <c r="AA9" s="1" t="s">
        <v>4</v>
      </c>
      <c r="AB9" s="1" t="s">
        <v>3</v>
      </c>
      <c r="AC9" s="1" t="s">
        <v>46</v>
      </c>
      <c r="AD9" s="1" t="s">
        <v>2</v>
      </c>
      <c r="AE9" s="1" t="s">
        <v>8</v>
      </c>
      <c r="AF9" s="1" t="s">
        <v>8</v>
      </c>
      <c r="AG9" s="1" t="s">
        <v>7</v>
      </c>
      <c r="AH9" s="1" t="s">
        <v>46</v>
      </c>
      <c r="AI9" s="1" t="s">
        <v>46</v>
      </c>
      <c r="AJ9" s="1" t="s">
        <v>10</v>
      </c>
      <c r="AK9" s="1" t="s">
        <v>5</v>
      </c>
      <c r="AL9" s="1" t="s">
        <v>5</v>
      </c>
      <c r="AM9" s="1" t="s">
        <v>6</v>
      </c>
      <c r="AN9" s="1" t="s">
        <v>61</v>
      </c>
      <c r="AO9" s="1" t="s">
        <v>61</v>
      </c>
      <c r="AP9" s="1" t="s">
        <v>42</v>
      </c>
      <c r="AQ9" s="1" t="s">
        <v>42</v>
      </c>
      <c r="AR9" s="1" t="s">
        <v>47</v>
      </c>
      <c r="AS9" s="1" t="s">
        <v>8</v>
      </c>
      <c r="AT9" s="1" t="s">
        <v>8</v>
      </c>
      <c r="AU9" s="1" t="s">
        <v>8</v>
      </c>
      <c r="AV9" s="1" t="s">
        <v>10</v>
      </c>
      <c r="AW9" s="1" t="s">
        <v>46</v>
      </c>
      <c r="AX9" s="1" t="s">
        <v>44</v>
      </c>
      <c r="AY9" s="1" t="s">
        <v>47</v>
      </c>
      <c r="AZ9" s="1" t="s">
        <v>3</v>
      </c>
      <c r="BA9" s="1" t="s">
        <v>47</v>
      </c>
      <c r="BB9" s="1" t="s">
        <v>1</v>
      </c>
      <c r="BC9" s="1" t="s">
        <v>5</v>
      </c>
      <c r="BD9" s="1" t="s">
        <v>3</v>
      </c>
      <c r="BE9" s="1" t="s">
        <v>2</v>
      </c>
      <c r="BF9" s="2" t="s">
        <v>5</v>
      </c>
      <c r="BG9" s="1" t="s">
        <v>5</v>
      </c>
      <c r="BH9" s="1" t="s">
        <v>5</v>
      </c>
      <c r="BI9" s="1" t="s">
        <v>5</v>
      </c>
      <c r="BJ9" s="1" t="s">
        <v>5</v>
      </c>
      <c r="BK9" s="3" t="s">
        <v>5</v>
      </c>
      <c r="BL9" s="1" t="s">
        <v>3</v>
      </c>
      <c r="BM9" s="1" t="s">
        <v>1</v>
      </c>
      <c r="BN9" s="1" t="s">
        <v>2</v>
      </c>
      <c r="BO9" s="1" t="s">
        <v>7</v>
      </c>
      <c r="BP9" s="1" t="s">
        <v>8</v>
      </c>
      <c r="BQ9" s="1" t="s">
        <v>7</v>
      </c>
      <c r="BR9" s="1" t="s">
        <v>46</v>
      </c>
      <c r="BS9" s="1" t="s">
        <v>46</v>
      </c>
      <c r="BT9" s="1" t="s">
        <v>48</v>
      </c>
      <c r="BU9" s="1" t="s">
        <v>48</v>
      </c>
      <c r="BV9" s="1" t="s">
        <v>2</v>
      </c>
      <c r="BW9" s="1" t="s">
        <v>2</v>
      </c>
      <c r="BX9" s="1" t="s">
        <v>10</v>
      </c>
      <c r="BY9" s="1" t="s">
        <v>3</v>
      </c>
      <c r="BZ9" s="1" t="s">
        <v>3</v>
      </c>
      <c r="CA9" s="1" t="s">
        <v>3</v>
      </c>
      <c r="CB9" s="1" t="s">
        <v>3</v>
      </c>
      <c r="CC9" s="1" t="s">
        <v>3</v>
      </c>
      <c r="CD9" s="1" t="s">
        <v>2</v>
      </c>
      <c r="CE9" s="1" t="s">
        <v>44</v>
      </c>
      <c r="CF9" s="1" t="s">
        <v>46</v>
      </c>
      <c r="CG9" s="1" t="s">
        <v>3</v>
      </c>
      <c r="CH9" s="1" t="s">
        <v>7</v>
      </c>
      <c r="CI9" s="1" t="s">
        <v>46</v>
      </c>
      <c r="CJ9" s="1" t="s">
        <v>3</v>
      </c>
      <c r="CK9" s="1" t="s">
        <v>2</v>
      </c>
      <c r="CL9" s="1" t="s">
        <v>3</v>
      </c>
      <c r="CM9" s="1" t="s">
        <v>2</v>
      </c>
      <c r="CN9" s="1" t="s">
        <v>6</v>
      </c>
      <c r="CO9" s="1" t="s">
        <v>4</v>
      </c>
      <c r="CP9" s="1" t="s">
        <v>4</v>
      </c>
      <c r="CQ9" s="1" t="s">
        <v>4</v>
      </c>
      <c r="CR9" s="1" t="s">
        <v>3</v>
      </c>
      <c r="CS9" s="1" t="s">
        <v>3</v>
      </c>
      <c r="CT9" s="1" t="s">
        <v>2</v>
      </c>
      <c r="CU9" s="1" t="s">
        <v>44</v>
      </c>
      <c r="CV9" s="1" t="s">
        <v>6</v>
      </c>
      <c r="CW9" s="1" t="s">
        <v>6</v>
      </c>
      <c r="CX9" s="1" t="s">
        <v>43</v>
      </c>
      <c r="CY9" s="1" t="s">
        <v>1</v>
      </c>
      <c r="CZ9" s="1" t="s">
        <v>4</v>
      </c>
      <c r="DA9" s="1" t="s">
        <v>4</v>
      </c>
      <c r="DB9" s="1" t="s">
        <v>3</v>
      </c>
      <c r="DC9" s="1" t="s">
        <v>7</v>
      </c>
      <c r="DD9" s="1" t="s">
        <v>7</v>
      </c>
      <c r="DE9" s="1" t="s">
        <v>5</v>
      </c>
      <c r="DF9" s="1" t="s">
        <v>42</v>
      </c>
      <c r="DG9" s="1" t="s">
        <v>7</v>
      </c>
      <c r="DH9" s="1" t="s">
        <v>47</v>
      </c>
      <c r="DI9" s="1" t="s">
        <v>46</v>
      </c>
      <c r="DJ9" s="1" t="s">
        <v>42</v>
      </c>
      <c r="DK9" s="1" t="s">
        <v>47</v>
      </c>
      <c r="DL9" s="1" t="s">
        <v>43</v>
      </c>
      <c r="DM9" s="1" t="s">
        <v>2</v>
      </c>
      <c r="DN9" s="1" t="s">
        <v>7</v>
      </c>
      <c r="DO9" s="1" t="s">
        <v>8</v>
      </c>
      <c r="DP9" s="1" t="s">
        <v>43</v>
      </c>
      <c r="DQ9" s="1" t="s">
        <v>10</v>
      </c>
      <c r="DR9" s="1" t="s">
        <v>48</v>
      </c>
      <c r="DS9" s="1" t="s">
        <v>47</v>
      </c>
      <c r="DT9" s="1" t="s">
        <v>1</v>
      </c>
      <c r="DU9" s="1" t="s">
        <v>4</v>
      </c>
      <c r="DV9" s="1" t="s">
        <v>6</v>
      </c>
      <c r="DW9" s="1" t="s">
        <v>4</v>
      </c>
      <c r="DX9" s="1" t="s">
        <v>47</v>
      </c>
      <c r="DY9" s="1" t="s">
        <v>10</v>
      </c>
      <c r="DZ9" s="1" t="s">
        <v>2</v>
      </c>
      <c r="EA9" s="1" t="s">
        <v>10</v>
      </c>
      <c r="EB9" s="1" t="s">
        <v>10</v>
      </c>
      <c r="EC9" s="1" t="s">
        <v>10</v>
      </c>
      <c r="ED9" s="1" t="s">
        <v>6</v>
      </c>
      <c r="EE9" s="1" t="s">
        <v>6</v>
      </c>
      <c r="EF9" s="1" t="s">
        <v>6</v>
      </c>
      <c r="EG9" s="1" t="s">
        <v>46</v>
      </c>
      <c r="EH9" s="1" t="s">
        <v>46</v>
      </c>
      <c r="EI9" s="1" t="s">
        <v>62</v>
      </c>
      <c r="EJ9" s="1" t="s">
        <v>44</v>
      </c>
      <c r="EK9" s="1" t="s">
        <v>1</v>
      </c>
      <c r="EL9" s="1" t="s">
        <v>47</v>
      </c>
      <c r="EM9" s="1" t="s">
        <v>47</v>
      </c>
    </row>
    <row r="10" spans="1:143" ht="60">
      <c r="A10" s="32" t="s">
        <v>0</v>
      </c>
      <c r="B10" s="32" t="s">
        <v>41</v>
      </c>
      <c r="C10" s="32" t="s">
        <v>51</v>
      </c>
      <c r="D10" s="32" t="s">
        <v>363</v>
      </c>
      <c r="E10" s="32" t="s">
        <v>364</v>
      </c>
      <c r="F10" s="32" t="s">
        <v>384</v>
      </c>
      <c r="G10" s="32" t="s">
        <v>362</v>
      </c>
      <c r="H10" s="62" t="s">
        <v>385</v>
      </c>
      <c r="I10" s="62" t="s">
        <v>386</v>
      </c>
      <c r="J10" s="62" t="s">
        <v>387</v>
      </c>
      <c r="K10" t="s">
        <v>56</v>
      </c>
      <c r="L10" s="1" t="s">
        <v>8</v>
      </c>
      <c r="M10" s="1" t="s">
        <v>2</v>
      </c>
      <c r="N10" s="1" t="s">
        <v>10</v>
      </c>
      <c r="O10" s="1" t="s">
        <v>46</v>
      </c>
      <c r="P10" s="1" t="s">
        <v>46</v>
      </c>
      <c r="Q10" s="1" t="s">
        <v>5</v>
      </c>
      <c r="R10" s="1" t="s">
        <v>46</v>
      </c>
      <c r="S10" s="1" t="s">
        <v>46</v>
      </c>
      <c r="T10" s="1" t="s">
        <v>3</v>
      </c>
      <c r="U10" s="1" t="s">
        <v>46</v>
      </c>
      <c r="V10" s="1" t="s">
        <v>9</v>
      </c>
      <c r="W10" s="1" t="s">
        <v>7</v>
      </c>
      <c r="X10" s="1" t="s">
        <v>3</v>
      </c>
      <c r="Y10" s="1" t="s">
        <v>1</v>
      </c>
      <c r="Z10" s="1" t="s">
        <v>5</v>
      </c>
      <c r="AA10" s="1" t="s">
        <v>6</v>
      </c>
      <c r="AB10" s="1" t="s">
        <v>11</v>
      </c>
      <c r="AC10" s="1" t="s">
        <v>11</v>
      </c>
      <c r="AD10" s="1" t="s">
        <v>11</v>
      </c>
      <c r="AE10" s="1" t="s">
        <v>3</v>
      </c>
      <c r="AF10" s="1" t="s">
        <v>11</v>
      </c>
      <c r="AG10" s="1" t="s">
        <v>11</v>
      </c>
      <c r="AH10" s="1" t="s">
        <v>10</v>
      </c>
      <c r="AI10" s="1" t="s">
        <v>2</v>
      </c>
      <c r="AJ10" s="1" t="s">
        <v>8</v>
      </c>
      <c r="AK10" s="1" t="s">
        <v>7</v>
      </c>
      <c r="AL10" s="1" t="s">
        <v>3</v>
      </c>
      <c r="AM10" s="1" t="s">
        <v>8</v>
      </c>
      <c r="AN10" s="1" t="s">
        <v>9</v>
      </c>
      <c r="AO10" s="1" t="s">
        <v>5</v>
      </c>
      <c r="AP10" s="1" t="s">
        <v>43</v>
      </c>
      <c r="AQ10" s="1" t="s">
        <v>10</v>
      </c>
      <c r="AR10" s="1" t="s">
        <v>46</v>
      </c>
      <c r="AS10" s="1" t="s">
        <v>6</v>
      </c>
      <c r="AT10" s="1" t="s">
        <v>3</v>
      </c>
      <c r="AU10" s="1" t="s">
        <v>6</v>
      </c>
      <c r="AV10" s="1" t="s">
        <v>8</v>
      </c>
      <c r="AW10" s="1" t="s">
        <v>47</v>
      </c>
      <c r="AX10" s="1" t="s">
        <v>9</v>
      </c>
      <c r="AY10" s="1" t="s">
        <v>46</v>
      </c>
      <c r="AZ10" s="1" t="s">
        <v>5</v>
      </c>
      <c r="BA10" s="1" t="s">
        <v>46</v>
      </c>
      <c r="BB10" s="1" t="s">
        <v>2</v>
      </c>
      <c r="BC10" s="1" t="s">
        <v>3</v>
      </c>
      <c r="BD10" s="1" t="s">
        <v>5</v>
      </c>
      <c r="BE10" s="1" t="s">
        <v>43</v>
      </c>
      <c r="BF10" s="2" t="s">
        <v>1</v>
      </c>
      <c r="BG10" s="1" t="s">
        <v>6</v>
      </c>
      <c r="BH10" s="1" t="s">
        <v>9</v>
      </c>
      <c r="BI10" s="1" t="s">
        <v>8</v>
      </c>
      <c r="BJ10" s="1" t="s">
        <v>3</v>
      </c>
      <c r="BK10" s="3" t="s">
        <v>61</v>
      </c>
      <c r="BL10" s="1" t="s">
        <v>5</v>
      </c>
      <c r="BM10" s="1" t="s">
        <v>2</v>
      </c>
      <c r="BN10" s="1" t="s">
        <v>46</v>
      </c>
      <c r="BO10" s="1" t="s">
        <v>3</v>
      </c>
      <c r="BP10" s="1" t="s">
        <v>10</v>
      </c>
      <c r="BQ10" s="1" t="s">
        <v>4</v>
      </c>
      <c r="BR10" s="1" t="s">
        <v>42</v>
      </c>
      <c r="BS10" s="1" t="s">
        <v>43</v>
      </c>
      <c r="BT10" s="1" t="s">
        <v>42</v>
      </c>
      <c r="BU10" s="1" t="s">
        <v>46</v>
      </c>
      <c r="BV10" s="1" t="s">
        <v>11</v>
      </c>
      <c r="BW10" s="1" t="s">
        <v>45</v>
      </c>
      <c r="BX10" s="1" t="s">
        <v>8</v>
      </c>
      <c r="BY10" s="1" t="s">
        <v>2</v>
      </c>
      <c r="BZ10" s="1" t="s">
        <v>5</v>
      </c>
      <c r="CA10" s="1" t="s">
        <v>9</v>
      </c>
      <c r="CB10" s="1" t="s">
        <v>8</v>
      </c>
      <c r="CC10" s="1" t="s">
        <v>7</v>
      </c>
      <c r="CD10" s="1" t="s">
        <v>1</v>
      </c>
      <c r="CE10" s="1" t="s">
        <v>8</v>
      </c>
      <c r="CF10" s="1" t="s">
        <v>2</v>
      </c>
      <c r="CG10" s="1" t="s">
        <v>5</v>
      </c>
      <c r="CH10" s="1" t="s">
        <v>45</v>
      </c>
      <c r="CI10" s="1" t="s">
        <v>47</v>
      </c>
      <c r="CJ10" s="1" t="s">
        <v>5</v>
      </c>
      <c r="CK10" s="1" t="s">
        <v>1</v>
      </c>
      <c r="CL10" s="1" t="s">
        <v>7</v>
      </c>
      <c r="CM10" s="1" t="s">
        <v>1</v>
      </c>
      <c r="CN10" s="1" t="s">
        <v>8</v>
      </c>
      <c r="CO10" s="1" t="s">
        <v>7</v>
      </c>
      <c r="CP10" s="1" t="s">
        <v>5</v>
      </c>
      <c r="CQ10" s="1" t="s">
        <v>6</v>
      </c>
      <c r="CR10" s="1" t="s">
        <v>5</v>
      </c>
      <c r="CS10" s="1" t="s">
        <v>7</v>
      </c>
      <c r="CT10" s="1" t="s">
        <v>46</v>
      </c>
      <c r="CU10" s="1" t="s">
        <v>62</v>
      </c>
      <c r="CV10" s="1" t="s">
        <v>4</v>
      </c>
      <c r="CW10" s="1" t="s">
        <v>8</v>
      </c>
      <c r="CX10" s="1" t="s">
        <v>10</v>
      </c>
      <c r="CY10" s="1" t="s">
        <v>3</v>
      </c>
      <c r="CZ10" s="1" t="s">
        <v>5</v>
      </c>
      <c r="DA10" s="1" t="s">
        <v>5</v>
      </c>
      <c r="DB10" s="1" t="s">
        <v>5</v>
      </c>
      <c r="DC10" s="1" t="s">
        <v>3</v>
      </c>
      <c r="DD10" s="1" t="s">
        <v>10</v>
      </c>
      <c r="DE10" s="1" t="s">
        <v>3</v>
      </c>
      <c r="DF10" s="1" t="s">
        <v>46</v>
      </c>
      <c r="DG10" s="1" t="s">
        <v>1</v>
      </c>
      <c r="DH10" s="1" t="s">
        <v>1</v>
      </c>
      <c r="DI10" s="1" t="s">
        <v>47</v>
      </c>
      <c r="DJ10" s="1" t="s">
        <v>43</v>
      </c>
      <c r="DK10" s="1" t="s">
        <v>43</v>
      </c>
      <c r="DL10" s="1" t="s">
        <v>42</v>
      </c>
      <c r="DM10" s="1" t="s">
        <v>7</v>
      </c>
      <c r="DN10" s="1" t="s">
        <v>3</v>
      </c>
      <c r="DO10" s="1" t="s">
        <v>10</v>
      </c>
      <c r="DP10" s="1" t="s">
        <v>46</v>
      </c>
      <c r="DQ10" s="1" t="s">
        <v>8</v>
      </c>
      <c r="DR10" s="1" t="s">
        <v>42</v>
      </c>
      <c r="DS10" s="1" t="s">
        <v>46</v>
      </c>
      <c r="DT10" s="1" t="s">
        <v>2</v>
      </c>
      <c r="DU10" s="1" t="s">
        <v>6</v>
      </c>
      <c r="DV10" s="1" t="s">
        <v>4</v>
      </c>
      <c r="DW10" s="1" t="s">
        <v>10</v>
      </c>
      <c r="DX10" s="1" t="s">
        <v>46</v>
      </c>
      <c r="DY10" s="1" t="s">
        <v>9</v>
      </c>
      <c r="DZ10" s="1" t="s">
        <v>8</v>
      </c>
      <c r="EA10" s="1" t="s">
        <v>9</v>
      </c>
      <c r="EB10" s="1" t="s">
        <v>7</v>
      </c>
      <c r="EC10" s="1" t="s">
        <v>62</v>
      </c>
      <c r="ED10" s="1" t="s">
        <v>5</v>
      </c>
      <c r="EE10" s="1" t="s">
        <v>4</v>
      </c>
      <c r="EF10" s="1" t="s">
        <v>10</v>
      </c>
      <c r="EG10" s="1" t="s">
        <v>7</v>
      </c>
      <c r="EH10" s="1" t="s">
        <v>47</v>
      </c>
      <c r="EI10" s="1" t="s">
        <v>4</v>
      </c>
      <c r="EJ10" s="1" t="s">
        <v>10</v>
      </c>
      <c r="EK10" s="1" t="s">
        <v>2</v>
      </c>
      <c r="EL10" s="1" t="s">
        <v>46</v>
      </c>
      <c r="EM10" s="1" t="s">
        <v>46</v>
      </c>
    </row>
    <row r="11" spans="1:143">
      <c r="A11" t="s">
        <v>78</v>
      </c>
      <c r="B11" t="s">
        <v>1</v>
      </c>
      <c r="C11" t="s">
        <v>107</v>
      </c>
      <c r="D11" s="7">
        <f>VLOOKUP(A11,Expression!$C$1:$D$462,2,FALSE)</f>
        <v>182.155</v>
      </c>
      <c r="E11" s="6">
        <f>VLOOKUP(A11,'JRCSF Survival Analysis'!$A$1:$B$50,2,FALSE)</f>
        <v>2</v>
      </c>
      <c r="F11">
        <f>VLOOKUP(A11,'sequencing metadata'!$A$1:$B$100,2,FALSE)</f>
        <v>24</v>
      </c>
      <c r="G11" s="7">
        <f t="shared" ref="G11:G36" si="0">F11-E11</f>
        <v>22</v>
      </c>
      <c r="H11" s="7">
        <f>COUNTIF(L11:EM11,"&gt;0.1")</f>
        <v>20</v>
      </c>
      <c r="I11" s="7">
        <f>COUNTIF(L11:EM11,"&gt;0.5")</f>
        <v>4</v>
      </c>
      <c r="J11" s="7">
        <f>COUNTIF(L11:EM11,"&gt;0.9")</f>
        <v>1</v>
      </c>
      <c r="K11" t="s">
        <v>78</v>
      </c>
      <c r="L11" s="5">
        <v>0</v>
      </c>
      <c r="M11" s="5">
        <v>0</v>
      </c>
      <c r="N11" s="5">
        <v>0.16591928251120999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0.43267108167770402</v>
      </c>
      <c r="AC11" s="5">
        <v>0.45413870246084997</v>
      </c>
      <c r="AD11" s="5">
        <v>0.43721973094170402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0.50929368029739697</v>
      </c>
      <c r="AM11" s="5">
        <v>0</v>
      </c>
      <c r="AN11" s="5">
        <v>0</v>
      </c>
      <c r="AO11" s="5">
        <v>0</v>
      </c>
      <c r="AP11" s="5">
        <v>0</v>
      </c>
      <c r="AQ11" s="5">
        <v>0.34347048300536598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0.37943925233644799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13">
        <v>0.46604361370716402</v>
      </c>
      <c r="BG11" s="14">
        <v>0</v>
      </c>
      <c r="BH11" s="14">
        <v>0</v>
      </c>
      <c r="BI11" s="14">
        <v>0.103426791277258</v>
      </c>
      <c r="BJ11" s="14">
        <v>0.42554517133956299</v>
      </c>
      <c r="BK11" s="1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0.110863095238095</v>
      </c>
      <c r="BR11" s="5">
        <v>0</v>
      </c>
      <c r="BS11" s="5">
        <v>0</v>
      </c>
      <c r="BT11" s="5">
        <v>0.12539184952978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0.33381502890173398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0.467811158798283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0.99651871192341102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0.182174338883447</v>
      </c>
      <c r="CY11" s="5">
        <v>0</v>
      </c>
      <c r="CZ11" s="5">
        <v>0.16856780735107699</v>
      </c>
      <c r="DA11" s="5">
        <v>0.62770012706480305</v>
      </c>
      <c r="DB11" s="5">
        <v>0</v>
      </c>
      <c r="DC11" s="5">
        <v>0</v>
      </c>
      <c r="DD11" s="5">
        <v>0</v>
      </c>
      <c r="DE11" s="5">
        <v>0.197547683923705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0.72977624784853601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</row>
    <row r="12" spans="1:143">
      <c r="A12" t="s">
        <v>79</v>
      </c>
      <c r="B12" t="s">
        <v>1</v>
      </c>
      <c r="C12" t="s">
        <v>107</v>
      </c>
      <c r="D12" s="7">
        <f>VLOOKUP(A12,Expression!$C$1:$D$462,2,FALSE)</f>
        <v>204.03909999999999</v>
      </c>
      <c r="E12" s="6">
        <f>VLOOKUP(A12,'JRCSF Survival Analysis'!$A$1:$B$50,2,FALSE)</f>
        <v>2</v>
      </c>
      <c r="F12">
        <f>VLOOKUP(A12,'sequencing metadata'!$A$1:$B$100,2,FALSE)</f>
        <v>24</v>
      </c>
      <c r="G12" s="7">
        <f t="shared" si="0"/>
        <v>22</v>
      </c>
      <c r="H12" s="7">
        <f t="shared" ref="H12:H36" si="1">COUNTIF(L12:EM12,"&gt;0.1")</f>
        <v>23</v>
      </c>
      <c r="I12" s="7">
        <f t="shared" ref="I12:I36" si="2">COUNTIF(L12:EM12,"&gt;0.5")</f>
        <v>1</v>
      </c>
      <c r="J12" s="7">
        <f t="shared" ref="J12:J36" si="3">COUNTIF(L12:EM12,"&gt;0.9")</f>
        <v>0</v>
      </c>
      <c r="K12" t="s">
        <v>79</v>
      </c>
      <c r="L12" s="5">
        <v>0.29861111111111099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0.215962441314553</v>
      </c>
      <c r="Y12" s="5">
        <v>0</v>
      </c>
      <c r="Z12" s="5">
        <v>0</v>
      </c>
      <c r="AA12" s="5">
        <v>0.425850340136054</v>
      </c>
      <c r="AB12" s="5">
        <v>0.260677466863033</v>
      </c>
      <c r="AC12" s="5">
        <v>0.261061946902654</v>
      </c>
      <c r="AD12" s="5">
        <v>0.259911894273127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0.34412955465586997</v>
      </c>
      <c r="AW12" s="5">
        <v>0</v>
      </c>
      <c r="AX12" s="5">
        <v>0.27858439201451901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13">
        <v>0.26298044504383</v>
      </c>
      <c r="BG12" s="14">
        <v>0.25758597437626402</v>
      </c>
      <c r="BH12" s="14">
        <v>0</v>
      </c>
      <c r="BI12" s="14">
        <v>0.13081591368846901</v>
      </c>
      <c r="BJ12" s="14">
        <v>0.34052596089008702</v>
      </c>
      <c r="BK12" s="15">
        <v>0</v>
      </c>
      <c r="BL12" s="5">
        <v>0</v>
      </c>
      <c r="BM12" s="5">
        <v>0</v>
      </c>
      <c r="BN12" s="5">
        <v>0</v>
      </c>
      <c r="BO12" s="5">
        <v>0.24557522123893799</v>
      </c>
      <c r="BP12" s="5">
        <v>0</v>
      </c>
      <c r="BQ12" s="5">
        <v>0</v>
      </c>
      <c r="BR12" s="5">
        <v>0</v>
      </c>
      <c r="BS12" s="5">
        <v>0</v>
      </c>
      <c r="BT12" s="5">
        <v>0.25688756515264299</v>
      </c>
      <c r="BU12" s="5">
        <v>0</v>
      </c>
      <c r="BV12" s="5">
        <v>0</v>
      </c>
      <c r="BW12" s="5">
        <v>0</v>
      </c>
      <c r="BX12" s="5">
        <v>0.287333333333333</v>
      </c>
      <c r="BY12" s="5">
        <v>0</v>
      </c>
      <c r="BZ12" s="5">
        <v>0</v>
      </c>
      <c r="CA12" s="5">
        <v>0</v>
      </c>
      <c r="CB12" s="5">
        <v>0</v>
      </c>
      <c r="CC12" s="5">
        <v>0.25361366622864601</v>
      </c>
      <c r="CD12" s="5">
        <v>0.38921282798833801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0.12604403948367501</v>
      </c>
      <c r="CQ12" s="5">
        <v>0.426260112009956</v>
      </c>
      <c r="CR12" s="5">
        <v>0</v>
      </c>
      <c r="CS12" s="5">
        <v>0.10318949343339499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0.86363636363636298</v>
      </c>
      <c r="DB12" s="5">
        <v>0</v>
      </c>
      <c r="DC12" s="5">
        <v>0.10237203495630399</v>
      </c>
      <c r="DD12" s="5">
        <v>0.19975031210986199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</row>
    <row r="13" spans="1:143">
      <c r="A13" t="s">
        <v>80</v>
      </c>
      <c r="B13" t="s">
        <v>1</v>
      </c>
      <c r="C13" t="s">
        <v>107</v>
      </c>
      <c r="D13" s="7">
        <f>VLOOKUP(A13,Expression!$C$1:$D$462,2,FALSE)</f>
        <v>181.98429999999999</v>
      </c>
      <c r="E13" s="6">
        <f>VLOOKUP(A13,'JRCSF Survival Analysis'!$A$1:$B$50,2,FALSE)</f>
        <v>2</v>
      </c>
      <c r="F13">
        <f>VLOOKUP(A13,'sequencing metadata'!$A$1:$B$100,2,FALSE)</f>
        <v>20</v>
      </c>
      <c r="G13" s="7">
        <f t="shared" si="0"/>
        <v>18</v>
      </c>
      <c r="H13" s="7">
        <f t="shared" si="1"/>
        <v>16</v>
      </c>
      <c r="I13" s="7">
        <f t="shared" si="2"/>
        <v>5</v>
      </c>
      <c r="J13" s="7">
        <f t="shared" si="3"/>
        <v>1</v>
      </c>
      <c r="K13" t="s">
        <v>80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0.273056952114069</v>
      </c>
      <c r="W13" s="5">
        <v>0.70399785829020101</v>
      </c>
      <c r="X13" s="5">
        <v>0</v>
      </c>
      <c r="Y13" s="5">
        <v>0</v>
      </c>
      <c r="Z13" s="5">
        <v>0</v>
      </c>
      <c r="AA13" s="5">
        <v>0.27309515550930702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0.27307692307692299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0.36456631995186101</v>
      </c>
      <c r="BF13" s="13">
        <v>0.99515612836259804</v>
      </c>
      <c r="BG13" s="14">
        <v>0</v>
      </c>
      <c r="BH13" s="14">
        <v>0</v>
      </c>
      <c r="BI13" s="14">
        <v>0</v>
      </c>
      <c r="BJ13" s="14">
        <v>0</v>
      </c>
      <c r="BK13" s="1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0.378664669377273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0.34625191228964802</v>
      </c>
      <c r="CA13" s="5">
        <v>0</v>
      </c>
      <c r="CB13" s="5">
        <v>0</v>
      </c>
      <c r="CC13" s="5">
        <v>0</v>
      </c>
      <c r="CD13" s="5">
        <v>0.75730713943459504</v>
      </c>
      <c r="CE13" s="5">
        <v>0</v>
      </c>
      <c r="CF13" s="5">
        <v>0.39909751817498101</v>
      </c>
      <c r="CG13" s="5">
        <v>0</v>
      </c>
      <c r="CH13" s="5">
        <v>0</v>
      </c>
      <c r="CI13" s="5">
        <v>0</v>
      </c>
      <c r="CJ13" s="5">
        <v>0.34294252065389302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0.64864443751947598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0.34576023391812799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0.294290892614408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0.69622751015670303</v>
      </c>
      <c r="EB13" s="5">
        <v>0</v>
      </c>
      <c r="EC13" s="5">
        <v>0</v>
      </c>
      <c r="ED13" s="5">
        <v>0</v>
      </c>
      <c r="EE13" s="5">
        <v>0.29468372256777298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</row>
    <row r="14" spans="1:143">
      <c r="A14" t="s">
        <v>84</v>
      </c>
      <c r="B14" t="s">
        <v>1</v>
      </c>
      <c r="C14" t="s">
        <v>107</v>
      </c>
      <c r="D14" s="7">
        <f>VLOOKUP(A14,Expression!$C$1:$D$462,2,FALSE)</f>
        <v>253.77510000000001</v>
      </c>
      <c r="E14" s="6">
        <f>VLOOKUP(A14,'JRCSF Survival Analysis'!$A$1:$B$50,2,FALSE)</f>
        <v>4</v>
      </c>
      <c r="F14">
        <f>VLOOKUP(A14,'sequencing metadata'!$A$1:$B$100,2,FALSE)</f>
        <v>20</v>
      </c>
      <c r="G14" s="7">
        <f t="shared" si="0"/>
        <v>16</v>
      </c>
      <c r="H14" s="7">
        <f t="shared" si="1"/>
        <v>13</v>
      </c>
      <c r="I14" s="7">
        <f t="shared" si="2"/>
        <v>6</v>
      </c>
      <c r="J14" s="7">
        <f t="shared" si="3"/>
        <v>4</v>
      </c>
      <c r="K14" t="s">
        <v>84</v>
      </c>
      <c r="L14" s="5">
        <v>0</v>
      </c>
      <c r="M14" s="5">
        <v>0</v>
      </c>
      <c r="N14" s="5">
        <v>0</v>
      </c>
      <c r="O14" s="5">
        <v>0</v>
      </c>
      <c r="P14" s="5">
        <v>0.31122900088417299</v>
      </c>
      <c r="Q14" s="5">
        <v>0</v>
      </c>
      <c r="R14" s="5">
        <v>0.99593165174938902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0.98721227621483298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0.44354110207768699</v>
      </c>
      <c r="BD14" s="5">
        <v>0</v>
      </c>
      <c r="BE14" s="5">
        <v>0</v>
      </c>
      <c r="BF14" s="13">
        <v>0.99348837209302299</v>
      </c>
      <c r="BG14" s="14">
        <v>0</v>
      </c>
      <c r="BH14" s="14">
        <v>0</v>
      </c>
      <c r="BI14" s="14">
        <v>0</v>
      </c>
      <c r="BJ14" s="14">
        <v>0</v>
      </c>
      <c r="BK14" s="1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0.42412060301507498</v>
      </c>
      <c r="BU14" s="5">
        <v>0</v>
      </c>
      <c r="BV14" s="5">
        <v>0</v>
      </c>
      <c r="BW14" s="5">
        <v>0</v>
      </c>
      <c r="BX14" s="5">
        <v>0</v>
      </c>
      <c r="BY14" s="5">
        <v>0.41046831955922802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0.53558052434456904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0.99270072992700698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0.39457013574660599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0.43195541105434199</v>
      </c>
      <c r="DP14" s="5">
        <v>0</v>
      </c>
      <c r="DQ14" s="5">
        <v>0</v>
      </c>
      <c r="DR14" s="5">
        <v>0</v>
      </c>
      <c r="DS14" s="5">
        <v>0</v>
      </c>
      <c r="DT14" s="5">
        <v>0.68370986920332899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0.33420707732634303</v>
      </c>
      <c r="EK14" s="5">
        <v>0</v>
      </c>
      <c r="EL14" s="5">
        <v>0</v>
      </c>
      <c r="EM14" s="5">
        <v>0</v>
      </c>
    </row>
    <row r="15" spans="1:143">
      <c r="A15" t="s">
        <v>85</v>
      </c>
      <c r="B15" t="s">
        <v>1</v>
      </c>
      <c r="C15" t="s">
        <v>107</v>
      </c>
      <c r="D15" s="7">
        <f>VLOOKUP(A15,Expression!$C$1:$D$462,2,FALSE)</f>
        <v>488.88589999999999</v>
      </c>
      <c r="E15" s="6">
        <f>VLOOKUP(A15,'JRCSF Survival Analysis'!$A$1:$B$50,2,FALSE)</f>
        <v>2</v>
      </c>
      <c r="F15">
        <f>VLOOKUP(A15,'sequencing metadata'!$A$1:$B$100,2,FALSE)</f>
        <v>20</v>
      </c>
      <c r="G15" s="7">
        <f t="shared" si="0"/>
        <v>18</v>
      </c>
      <c r="H15" s="7">
        <f t="shared" si="1"/>
        <v>13</v>
      </c>
      <c r="I15" s="7">
        <f t="shared" si="2"/>
        <v>9</v>
      </c>
      <c r="J15" s="7">
        <f t="shared" si="3"/>
        <v>5</v>
      </c>
      <c r="K15" t="s">
        <v>85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0.99236511706820496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0.248380007888657</v>
      </c>
      <c r="BE15" s="5">
        <v>0</v>
      </c>
      <c r="BF15" s="13">
        <v>0.74143985952589897</v>
      </c>
      <c r="BG15" s="14">
        <v>0.25422519754170297</v>
      </c>
      <c r="BH15" s="14">
        <v>0</v>
      </c>
      <c r="BI15" s="14">
        <v>0</v>
      </c>
      <c r="BJ15" s="14">
        <v>0</v>
      </c>
      <c r="BK15" s="1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0.92842942345924395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0.20362938405164799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0.83362438482298695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0.121101752788527</v>
      </c>
      <c r="DM15" s="5">
        <v>0.81134554447793406</v>
      </c>
      <c r="DN15" s="5">
        <v>0</v>
      </c>
      <c r="DO15" s="5">
        <v>0</v>
      </c>
      <c r="DP15" s="5">
        <v>0</v>
      </c>
      <c r="DQ15" s="5">
        <v>0</v>
      </c>
      <c r="DR15" s="5">
        <v>0.89278957326045805</v>
      </c>
      <c r="DS15" s="5">
        <v>0.90131780570027498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0.90395007230382796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0.90238704177323104</v>
      </c>
      <c r="EM15" s="5">
        <v>0</v>
      </c>
    </row>
    <row r="16" spans="1:143">
      <c r="A16" t="s">
        <v>89</v>
      </c>
      <c r="B16" t="s">
        <v>1</v>
      </c>
      <c r="C16" t="s">
        <v>107</v>
      </c>
      <c r="D16" s="7">
        <f>VLOOKUP(A16,Expression!$C$1:$D$462,2,FALSE)</f>
        <v>307.74650000000003</v>
      </c>
      <c r="E16" s="6">
        <f>VLOOKUP(A16,'JRCSF Survival Analysis'!$A$1:$B$50,2,FALSE)</f>
        <v>2</v>
      </c>
      <c r="F16">
        <f>VLOOKUP(A16,'sequencing metadata'!$A$1:$B$100,2,FALSE)</f>
        <v>16</v>
      </c>
      <c r="G16" s="7">
        <f t="shared" si="0"/>
        <v>14</v>
      </c>
      <c r="H16" s="7">
        <f t="shared" si="1"/>
        <v>7</v>
      </c>
      <c r="I16" s="7">
        <f t="shared" si="2"/>
        <v>6</v>
      </c>
      <c r="J16" s="7">
        <f t="shared" si="3"/>
        <v>2</v>
      </c>
      <c r="K16" t="s">
        <v>89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0.80623159200123995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13">
        <v>0.99336335624555505</v>
      </c>
      <c r="BG16" s="14">
        <v>0</v>
      </c>
      <c r="BH16" s="14">
        <v>0</v>
      </c>
      <c r="BI16" s="14">
        <v>0</v>
      </c>
      <c r="BJ16" s="14">
        <v>0</v>
      </c>
      <c r="BK16" s="15">
        <v>0</v>
      </c>
      <c r="BL16" s="5">
        <v>0</v>
      </c>
      <c r="BM16" s="5">
        <v>0</v>
      </c>
      <c r="BN16" s="5">
        <v>0.15973003374578101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0.99210143421326102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0.84185864896524698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0.81366191093817497</v>
      </c>
      <c r="EA16" s="5">
        <v>0.83684146489840505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</row>
    <row r="17" spans="1:143">
      <c r="A17" t="s">
        <v>90</v>
      </c>
      <c r="B17" t="s">
        <v>1</v>
      </c>
      <c r="C17" t="s">
        <v>107</v>
      </c>
      <c r="D17" s="7">
        <f>VLOOKUP(A17,Expression!$C$1:$D$462,2,FALSE)</f>
        <v>396.31380000000001</v>
      </c>
      <c r="E17" s="6">
        <f>VLOOKUP(A17,'JRCSF Survival Analysis'!$A$1:$B$50,2,FALSE)</f>
        <v>3</v>
      </c>
      <c r="F17">
        <f>VLOOKUP(A17,'sequencing metadata'!$A$1:$B$100,2,FALSE)</f>
        <v>20</v>
      </c>
      <c r="G17" s="7">
        <f t="shared" si="0"/>
        <v>17</v>
      </c>
      <c r="H17" s="7">
        <f t="shared" si="1"/>
        <v>11</v>
      </c>
      <c r="I17" s="7">
        <f t="shared" si="2"/>
        <v>7</v>
      </c>
      <c r="J17" s="7">
        <f t="shared" si="3"/>
        <v>3</v>
      </c>
      <c r="K17" t="s">
        <v>90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0.93326424870466296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0.51189127972819903</v>
      </c>
      <c r="AL17" s="5">
        <v>0</v>
      </c>
      <c r="AM17" s="5">
        <v>0</v>
      </c>
      <c r="AN17" s="5">
        <v>0.212684787792083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0.15503636082314701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13">
        <v>0.99438269391657597</v>
      </c>
      <c r="BG17" s="14">
        <v>0</v>
      </c>
      <c r="BH17" s="14">
        <v>0</v>
      </c>
      <c r="BI17" s="14">
        <v>0</v>
      </c>
      <c r="BJ17" s="14">
        <v>0</v>
      </c>
      <c r="BK17" s="1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0.99522786924361695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0.17650740663467501</v>
      </c>
      <c r="CQ17" s="5">
        <v>0</v>
      </c>
      <c r="CR17" s="5">
        <v>0</v>
      </c>
      <c r="CS17" s="5">
        <v>0.52281544430075699</v>
      </c>
      <c r="CT17" s="5">
        <v>0</v>
      </c>
      <c r="CU17" s="5">
        <v>0</v>
      </c>
      <c r="CV17" s="5">
        <v>0</v>
      </c>
      <c r="CW17" s="5">
        <v>0.116075245831551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0.81928770335629397</v>
      </c>
      <c r="DU17" s="5">
        <v>0</v>
      </c>
      <c r="DV17" s="5">
        <v>0</v>
      </c>
      <c r="DW17" s="5">
        <v>0</v>
      </c>
      <c r="DX17" s="5">
        <v>0</v>
      </c>
      <c r="DY17" s="5">
        <v>0.54874617737002995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</row>
    <row r="18" spans="1:143">
      <c r="A18" t="s">
        <v>93</v>
      </c>
      <c r="B18" t="s">
        <v>1</v>
      </c>
      <c r="C18" t="s">
        <v>107</v>
      </c>
      <c r="D18" s="7">
        <f>VLOOKUP(A18,Expression!$C$1:$D$462,2,FALSE)</f>
        <v>66.062399999999997</v>
      </c>
      <c r="E18" s="6">
        <f>VLOOKUP(A18,'JRCSF Survival Analysis'!$A$1:$B$50,2,FALSE)</f>
        <v>3</v>
      </c>
      <c r="F18">
        <f>VLOOKUP(A18,'sequencing metadata'!$A$1:$B$100,2,FALSE)</f>
        <v>24</v>
      </c>
      <c r="G18" s="7">
        <f t="shared" si="0"/>
        <v>21</v>
      </c>
      <c r="H18" s="7">
        <f t="shared" si="1"/>
        <v>11</v>
      </c>
      <c r="I18" s="7">
        <f t="shared" si="2"/>
        <v>9</v>
      </c>
      <c r="J18" s="7">
        <f t="shared" si="3"/>
        <v>5</v>
      </c>
      <c r="K18" t="s">
        <v>93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0.99690666666666605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0.67806797071358305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0.41988993101309902</v>
      </c>
      <c r="AZ18" s="5">
        <v>0</v>
      </c>
      <c r="BA18" s="5">
        <v>0</v>
      </c>
      <c r="BB18" s="5">
        <v>0</v>
      </c>
      <c r="BC18" s="5">
        <v>0</v>
      </c>
      <c r="BD18" s="5">
        <v>0.99812999376664602</v>
      </c>
      <c r="BE18" s="5">
        <v>0</v>
      </c>
      <c r="BF18" s="13">
        <v>0.99504809607831901</v>
      </c>
      <c r="BG18" s="14">
        <v>0</v>
      </c>
      <c r="BH18" s="14">
        <v>0</v>
      </c>
      <c r="BI18" s="14">
        <v>0</v>
      </c>
      <c r="BJ18" s="14">
        <v>0</v>
      </c>
      <c r="BK18" s="1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0.99677877783041202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0.57692307692307598</v>
      </c>
      <c r="CR18" s="5">
        <v>0</v>
      </c>
      <c r="CS18" s="5">
        <v>0</v>
      </c>
      <c r="CT18" s="5">
        <v>0</v>
      </c>
      <c r="CU18" s="5">
        <v>0</v>
      </c>
      <c r="CV18" s="5">
        <v>0.99648629655656995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0.58675949034546104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0.584970436772839</v>
      </c>
      <c r="EB18" s="5">
        <v>0</v>
      </c>
      <c r="EC18" s="5">
        <v>0</v>
      </c>
      <c r="ED18" s="5">
        <v>0</v>
      </c>
      <c r="EE18" s="5">
        <v>0.41912725372354298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</row>
    <row r="19" spans="1:143">
      <c r="A19" t="s">
        <v>96</v>
      </c>
      <c r="B19" t="s">
        <v>1</v>
      </c>
      <c r="C19" t="s">
        <v>107</v>
      </c>
      <c r="D19" s="7">
        <f>VLOOKUP(A19,Expression!$C$1:$D$462,2,FALSE)</f>
        <v>63.350900000000003</v>
      </c>
      <c r="E19" s="6">
        <f>VLOOKUP(A19,'JRCSF Survival Analysis'!$A$1:$B$50,2,FALSE)</f>
        <v>3</v>
      </c>
      <c r="F19">
        <f>VLOOKUP(A19,'sequencing metadata'!$A$1:$B$100,2,FALSE)</f>
        <v>24</v>
      </c>
      <c r="G19" s="7">
        <f t="shared" si="0"/>
        <v>21</v>
      </c>
      <c r="H19" s="7">
        <f t="shared" si="1"/>
        <v>16</v>
      </c>
      <c r="I19" s="7">
        <f t="shared" si="2"/>
        <v>6</v>
      </c>
      <c r="J19" s="7">
        <f t="shared" si="3"/>
        <v>2</v>
      </c>
      <c r="K19" t="s">
        <v>96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0.41234462066009397</v>
      </c>
      <c r="AO19" s="5">
        <v>0</v>
      </c>
      <c r="AP19" s="5">
        <v>0</v>
      </c>
      <c r="AQ19" s="5">
        <v>0</v>
      </c>
      <c r="AR19" s="5">
        <v>0</v>
      </c>
      <c r="AS19" s="5">
        <v>0.131100478468899</v>
      </c>
      <c r="AT19" s="5">
        <v>0</v>
      </c>
      <c r="AU19" s="5">
        <v>0</v>
      </c>
      <c r="AV19" s="5">
        <v>0</v>
      </c>
      <c r="AW19" s="5">
        <v>0</v>
      </c>
      <c r="AX19" s="5">
        <v>0.38742673255947502</v>
      </c>
      <c r="AY19" s="5">
        <v>0.62845567206863595</v>
      </c>
      <c r="AZ19" s="5">
        <v>0</v>
      </c>
      <c r="BA19" s="5">
        <v>0</v>
      </c>
      <c r="BB19" s="5">
        <v>0</v>
      </c>
      <c r="BC19" s="5">
        <v>0</v>
      </c>
      <c r="BD19" s="5">
        <v>0.37979207277452798</v>
      </c>
      <c r="BE19" s="5">
        <v>0.125246855836191</v>
      </c>
      <c r="BF19" s="13">
        <v>0.86808466051969801</v>
      </c>
      <c r="BG19" s="14">
        <v>0</v>
      </c>
      <c r="BH19" s="14">
        <v>0.124266554903604</v>
      </c>
      <c r="BI19" s="14">
        <v>0</v>
      </c>
      <c r="BJ19" s="14">
        <v>0</v>
      </c>
      <c r="BK19" s="1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0.99640757674722402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0.69819472303656804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0.99469164715066305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0.24793268533294599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0.11430490261920701</v>
      </c>
      <c r="DX19" s="5">
        <v>0</v>
      </c>
      <c r="DY19" s="5">
        <v>0</v>
      </c>
      <c r="DZ19" s="5">
        <v>0</v>
      </c>
      <c r="EA19" s="5">
        <v>0</v>
      </c>
      <c r="EB19" s="5">
        <v>0.137203166226912</v>
      </c>
      <c r="EC19" s="5">
        <v>0</v>
      </c>
      <c r="ED19" s="5">
        <v>0</v>
      </c>
      <c r="EE19" s="5">
        <v>0</v>
      </c>
      <c r="EF19" s="5">
        <v>0.69329722410291095</v>
      </c>
      <c r="EG19" s="5">
        <v>0</v>
      </c>
      <c r="EH19" s="5">
        <v>0.10611335468597601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</row>
    <row r="20" spans="1:143">
      <c r="A20" t="s">
        <v>73</v>
      </c>
      <c r="B20" t="s">
        <v>49</v>
      </c>
      <c r="C20" t="s">
        <v>372</v>
      </c>
      <c r="D20" s="7">
        <f>VLOOKUP(A20,Expression!$C$1:$D$462,2,FALSE)</f>
        <v>106.9328</v>
      </c>
      <c r="E20" s="6">
        <f>VLOOKUP(A20,'JRCSF Survival Analysis'!$A$1:$B$50,2,FALSE)</f>
        <v>2</v>
      </c>
      <c r="F20">
        <f>VLOOKUP(A20,'sequencing metadata'!$A$1:$B$100,2,FALSE)</f>
        <v>12</v>
      </c>
      <c r="G20" s="7">
        <f t="shared" si="0"/>
        <v>10</v>
      </c>
      <c r="H20" s="7">
        <f t="shared" si="1"/>
        <v>16</v>
      </c>
      <c r="I20" s="7">
        <f t="shared" si="2"/>
        <v>6</v>
      </c>
      <c r="J20" s="7">
        <f t="shared" si="3"/>
        <v>3</v>
      </c>
      <c r="K20" t="s">
        <v>73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0.94605039418766401</v>
      </c>
      <c r="AC20" s="5">
        <v>0.94972847168347496</v>
      </c>
      <c r="AD20" s="5">
        <v>0.93549373280342396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0.110255047821466</v>
      </c>
      <c r="AO20" s="5">
        <v>0.14147183846971301</v>
      </c>
      <c r="AP20" s="5">
        <v>0.31455142231947397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13">
        <v>0</v>
      </c>
      <c r="BG20" s="14">
        <v>0</v>
      </c>
      <c r="BH20" s="14">
        <v>0.54836162652980602</v>
      </c>
      <c r="BI20" s="14">
        <v>0.102092380576391</v>
      </c>
      <c r="BJ20" s="14">
        <v>0.34891433083300399</v>
      </c>
      <c r="BK20" s="1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0.15484804630969501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0.262828947368421</v>
      </c>
      <c r="CA20" s="5">
        <v>0.52796052631578905</v>
      </c>
      <c r="CB20" s="5">
        <v>0</v>
      </c>
      <c r="CC20" s="5">
        <v>0.11567982456140299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0.21158469945355099</v>
      </c>
      <c r="CU20" s="5">
        <v>0</v>
      </c>
      <c r="CV20" s="5">
        <v>0</v>
      </c>
      <c r="CW20" s="5">
        <v>0</v>
      </c>
      <c r="CX20" s="5">
        <v>0.16652946019052001</v>
      </c>
      <c r="CY20" s="5">
        <v>0</v>
      </c>
      <c r="CZ20" s="5">
        <v>0</v>
      </c>
      <c r="DA20" s="5">
        <v>0.61930905195500796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</row>
    <row r="21" spans="1:143">
      <c r="A21" t="s">
        <v>74</v>
      </c>
      <c r="B21" t="s">
        <v>49</v>
      </c>
      <c r="C21" t="s">
        <v>372</v>
      </c>
      <c r="D21" s="7">
        <f>VLOOKUP(A21,Expression!$C$1:$D$462,2,FALSE)</f>
        <v>193.23</v>
      </c>
      <c r="E21" s="6">
        <f>VLOOKUP(A21,'JRCSF Survival Analysis'!$A$1:$B$50,2,FALSE)</f>
        <v>2</v>
      </c>
      <c r="F21">
        <f>VLOOKUP(A21,'sequencing metadata'!$A$1:$B$100,2,FALSE)</f>
        <v>24</v>
      </c>
      <c r="G21" s="7">
        <f t="shared" si="0"/>
        <v>22</v>
      </c>
      <c r="H21" s="7">
        <f t="shared" si="1"/>
        <v>9</v>
      </c>
      <c r="I21" s="7">
        <f t="shared" si="2"/>
        <v>4</v>
      </c>
      <c r="J21" s="7">
        <f t="shared" si="3"/>
        <v>2</v>
      </c>
      <c r="K21" t="s">
        <v>74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0.98312236286919796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0.87842465753424603</v>
      </c>
      <c r="BE21" s="5">
        <v>0</v>
      </c>
      <c r="BF21" s="13">
        <v>0</v>
      </c>
      <c r="BG21" s="14">
        <v>0</v>
      </c>
      <c r="BH21" s="14">
        <v>0.99202551834130703</v>
      </c>
      <c r="BI21" s="14">
        <v>0</v>
      </c>
      <c r="BJ21" s="14">
        <v>0</v>
      </c>
      <c r="BK21" s="1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0.83301707779886103</v>
      </c>
      <c r="CA21" s="5">
        <v>0</v>
      </c>
      <c r="CB21" s="5">
        <v>0</v>
      </c>
      <c r="CC21" s="5">
        <v>0.16318785578747599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0.33992094861659999</v>
      </c>
      <c r="DK21" s="5">
        <v>0</v>
      </c>
      <c r="DL21" s="5">
        <v>0.12108559498956099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0.40734265734265701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0.47672253258845398</v>
      </c>
      <c r="EL21" s="5">
        <v>0</v>
      </c>
      <c r="EM21" s="5">
        <v>0</v>
      </c>
    </row>
    <row r="22" spans="1:143">
      <c r="A22" t="s">
        <v>75</v>
      </c>
      <c r="B22" t="s">
        <v>49</v>
      </c>
      <c r="C22" t="s">
        <v>372</v>
      </c>
      <c r="D22" s="7">
        <f>VLOOKUP(A22,Expression!$C$1:$D$462,2,FALSE)</f>
        <v>149.745</v>
      </c>
      <c r="E22" s="6">
        <f>VLOOKUP(A22,'JRCSF Survival Analysis'!$A$1:$B$50,2,FALSE)</f>
        <v>2</v>
      </c>
      <c r="F22">
        <f>VLOOKUP(A22,'sequencing metadata'!$A$1:$B$100,2,FALSE)</f>
        <v>21</v>
      </c>
      <c r="G22" s="7">
        <f t="shared" si="0"/>
        <v>19</v>
      </c>
      <c r="H22" s="7">
        <f t="shared" si="1"/>
        <v>17</v>
      </c>
      <c r="I22" s="7">
        <f t="shared" si="2"/>
        <v>5</v>
      </c>
      <c r="J22" s="7">
        <f t="shared" si="3"/>
        <v>1</v>
      </c>
      <c r="K22" t="s">
        <v>75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0.36371760500446798</v>
      </c>
      <c r="Z22" s="5">
        <v>0</v>
      </c>
      <c r="AA22" s="5">
        <v>0</v>
      </c>
      <c r="AB22" s="5">
        <v>0</v>
      </c>
      <c r="AC22" s="5">
        <v>0.25151148730350598</v>
      </c>
      <c r="AD22" s="5">
        <v>0.25273390036451998</v>
      </c>
      <c r="AE22" s="5">
        <v>0</v>
      </c>
      <c r="AF22" s="5">
        <v>0.167487684729064</v>
      </c>
      <c r="AG22" s="5">
        <v>0.17391304347826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0.269349845201238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0.547770700636942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0.18969298245614</v>
      </c>
      <c r="BE22" s="5">
        <v>0</v>
      </c>
      <c r="BF22" s="13">
        <v>0</v>
      </c>
      <c r="BG22" s="14">
        <v>0</v>
      </c>
      <c r="BH22" s="14">
        <v>0.98687214611872098</v>
      </c>
      <c r="BI22" s="14">
        <v>0</v>
      </c>
      <c r="BJ22" s="14">
        <v>0</v>
      </c>
      <c r="BK22" s="1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0.123887748117727</v>
      </c>
      <c r="CB22" s="5">
        <v>0</v>
      </c>
      <c r="CC22" s="5">
        <v>0.85900068446269595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0.37725381414701797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0.35164051355206799</v>
      </c>
      <c r="CQ22" s="5">
        <v>0.44231955582973398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0.26331582895723898</v>
      </c>
      <c r="DC22" s="5">
        <v>0</v>
      </c>
      <c r="DD22" s="5">
        <v>0</v>
      </c>
      <c r="DE22" s="5">
        <v>0.56481481481481399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0.76433915211970005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</row>
    <row r="23" spans="1:143">
      <c r="A23" t="s">
        <v>82</v>
      </c>
      <c r="B23" t="s">
        <v>49</v>
      </c>
      <c r="C23" t="s">
        <v>372</v>
      </c>
      <c r="D23" s="7">
        <f>VLOOKUP(A23,Expression!$C$1:$D$462,2,FALSE)</f>
        <v>347.66399999999999</v>
      </c>
      <c r="E23" s="6">
        <f>VLOOKUP(A23,'JRCSF Survival Analysis'!$A$1:$B$50,2,FALSE)</f>
        <v>3</v>
      </c>
      <c r="F23">
        <f>VLOOKUP(A23,'sequencing metadata'!$A$1:$B$100,2,FALSE)</f>
        <v>20</v>
      </c>
      <c r="G23" s="7">
        <f t="shared" si="0"/>
        <v>17</v>
      </c>
      <c r="H23" s="7">
        <f t="shared" si="1"/>
        <v>14</v>
      </c>
      <c r="I23" s="7">
        <f t="shared" si="2"/>
        <v>3</v>
      </c>
      <c r="J23" s="7">
        <f t="shared" si="3"/>
        <v>1</v>
      </c>
      <c r="K23" t="s">
        <v>82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0.218412564857663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0.24352536997885799</v>
      </c>
      <c r="AO23" s="5">
        <v>0</v>
      </c>
      <c r="AP23" s="5">
        <v>0</v>
      </c>
      <c r="AQ23" s="5">
        <v>0</v>
      </c>
      <c r="AR23" s="5">
        <v>0</v>
      </c>
      <c r="AS23" s="5">
        <v>0.78180341186027602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0.16593157706520401</v>
      </c>
      <c r="AZ23" s="5">
        <v>0</v>
      </c>
      <c r="BA23" s="5">
        <v>0</v>
      </c>
      <c r="BB23" s="5">
        <v>0</v>
      </c>
      <c r="BC23" s="5">
        <v>0</v>
      </c>
      <c r="BD23" s="5">
        <v>0.92055931161647198</v>
      </c>
      <c r="BE23" s="5">
        <v>0</v>
      </c>
      <c r="BF23" s="13">
        <v>0</v>
      </c>
      <c r="BG23" s="14">
        <v>0.53854029545122095</v>
      </c>
      <c r="BH23" s="14">
        <v>0.45275705718882497</v>
      </c>
      <c r="BI23" s="14">
        <v>0</v>
      </c>
      <c r="BJ23" s="14">
        <v>0</v>
      </c>
      <c r="BK23" s="15">
        <v>0</v>
      </c>
      <c r="BL23" s="5">
        <v>0</v>
      </c>
      <c r="BM23" s="5">
        <v>0.174937965260545</v>
      </c>
      <c r="BN23" s="5">
        <v>0</v>
      </c>
      <c r="BO23" s="5">
        <v>0</v>
      </c>
      <c r="BP23" s="5">
        <v>0</v>
      </c>
      <c r="BQ23" s="5">
        <v>0</v>
      </c>
      <c r="BR23" s="5">
        <v>0.38544984076433098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0.31674064679771702</v>
      </c>
      <c r="CA23" s="5">
        <v>0</v>
      </c>
      <c r="CB23" s="5">
        <v>0</v>
      </c>
      <c r="CC23" s="5">
        <v>0.488110336081166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0.34873437023482701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0.17934495509772799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0.14419805232899199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</row>
    <row r="24" spans="1:143">
      <c r="A24" t="s">
        <v>92</v>
      </c>
      <c r="B24" t="s">
        <v>49</v>
      </c>
      <c r="C24" t="s">
        <v>372</v>
      </c>
      <c r="D24" s="7">
        <f>VLOOKUP(A24,Expression!$C$1:$D$462,2,FALSE)</f>
        <v>39.002200000000002</v>
      </c>
      <c r="E24" s="6">
        <f>VLOOKUP(A24,'JRCSF Survival Analysis'!$A$1:$B$50,2,FALSE)</f>
        <v>2</v>
      </c>
      <c r="F24">
        <f>VLOOKUP(A24,'sequencing metadata'!$A$1:$B$100,2,FALSE)</f>
        <v>24</v>
      </c>
      <c r="G24" s="7">
        <f t="shared" si="0"/>
        <v>22</v>
      </c>
      <c r="H24" s="7">
        <f t="shared" si="1"/>
        <v>9</v>
      </c>
      <c r="I24" s="7">
        <f t="shared" si="2"/>
        <v>9</v>
      </c>
      <c r="J24" s="7">
        <f t="shared" si="3"/>
        <v>6</v>
      </c>
      <c r="K24" t="s">
        <v>92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0.56716417910447703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1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0.65116279069767402</v>
      </c>
      <c r="AX24" s="5">
        <v>0</v>
      </c>
      <c r="AY24" s="5">
        <v>0</v>
      </c>
      <c r="AZ24" s="5">
        <v>0.97619047619047605</v>
      </c>
      <c r="BA24" s="5">
        <v>0</v>
      </c>
      <c r="BB24" s="5">
        <v>0</v>
      </c>
      <c r="BC24" s="5">
        <v>0</v>
      </c>
      <c r="BD24" s="5">
        <v>0.97674418604651103</v>
      </c>
      <c r="BE24" s="5">
        <v>0</v>
      </c>
      <c r="BF24" s="13">
        <v>0</v>
      </c>
      <c r="BG24" s="14">
        <v>0</v>
      </c>
      <c r="BH24" s="14">
        <v>1</v>
      </c>
      <c r="BI24" s="14">
        <v>0</v>
      </c>
      <c r="BJ24" s="14">
        <v>0</v>
      </c>
      <c r="BK24" s="1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0.871428571428571</v>
      </c>
      <c r="CN24" s="5">
        <v>0</v>
      </c>
      <c r="CO24" s="5">
        <v>0</v>
      </c>
      <c r="CP24" s="5">
        <v>0</v>
      </c>
      <c r="CQ24" s="5">
        <v>0</v>
      </c>
      <c r="CR24" s="5">
        <v>0.95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1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</row>
    <row r="25" spans="1:143">
      <c r="A25" t="s">
        <v>72</v>
      </c>
      <c r="B25" t="s">
        <v>50</v>
      </c>
      <c r="C25" t="s">
        <v>374</v>
      </c>
      <c r="D25" s="7">
        <f>VLOOKUP(A25,Expression!$C$1:$D$462,2,FALSE)</f>
        <v>159.57749999999999</v>
      </c>
      <c r="E25" s="6">
        <f>VLOOKUP(A25,'JRCSF Survival Analysis'!$A$1:$B$50,2,FALSE)</f>
        <v>2</v>
      </c>
      <c r="F25">
        <f>VLOOKUP(A25,'sequencing metadata'!$A$1:$B$100,2,FALSE)</f>
        <v>24</v>
      </c>
      <c r="G25" s="7">
        <f t="shared" si="0"/>
        <v>22</v>
      </c>
      <c r="H25" s="7">
        <f t="shared" si="1"/>
        <v>11</v>
      </c>
      <c r="I25" s="7">
        <f t="shared" si="2"/>
        <v>6</v>
      </c>
      <c r="J25" s="7">
        <f t="shared" si="3"/>
        <v>6</v>
      </c>
      <c r="K25" t="s">
        <v>72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0.165274725274725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13">
        <v>0</v>
      </c>
      <c r="BG25" s="14">
        <v>0</v>
      </c>
      <c r="BH25" s="14">
        <v>0</v>
      </c>
      <c r="BI25" s="14">
        <v>0</v>
      </c>
      <c r="BJ25" s="14">
        <v>0.99399849962490605</v>
      </c>
      <c r="BK25" s="1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0.99024597116200097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0.99340866290018803</v>
      </c>
      <c r="CA25" s="5">
        <v>0</v>
      </c>
      <c r="CB25" s="5">
        <v>0</v>
      </c>
      <c r="CC25" s="5">
        <v>0</v>
      </c>
      <c r="CD25" s="5">
        <v>0</v>
      </c>
      <c r="CE25" s="5">
        <v>0.28942398489140603</v>
      </c>
      <c r="CF25" s="5">
        <v>0</v>
      </c>
      <c r="CG25" s="5">
        <v>0.99134419551934805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0.401873137505321</v>
      </c>
      <c r="CS25" s="5">
        <v>0</v>
      </c>
      <c r="CT25" s="5">
        <v>0</v>
      </c>
      <c r="CU25" s="5">
        <v>0</v>
      </c>
      <c r="CV25" s="5">
        <v>0</v>
      </c>
      <c r="CW25" s="5">
        <v>0.98864223025296805</v>
      </c>
      <c r="CX25" s="5">
        <v>0</v>
      </c>
      <c r="CY25" s="5">
        <v>0</v>
      </c>
      <c r="CZ25" s="5">
        <v>0</v>
      </c>
      <c r="DA25" s="5">
        <v>0.99041173152848205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0.269526952695269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0.37696629213483102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</row>
    <row r="26" spans="1:143">
      <c r="A26" t="s">
        <v>77</v>
      </c>
      <c r="B26" t="s">
        <v>50</v>
      </c>
      <c r="C26" t="s">
        <v>374</v>
      </c>
      <c r="D26" s="7">
        <f>VLOOKUP(A26,Expression!$C$1:$D$462,2,FALSE)</f>
        <v>189.24</v>
      </c>
      <c r="E26" s="6">
        <f>VLOOKUP(A26,'JRCSF Survival Analysis'!$A$1:$B$50,2,FALSE)</f>
        <v>2</v>
      </c>
      <c r="F26">
        <f>VLOOKUP(A26,'sequencing metadata'!$A$1:$B$100,2,FALSE)</f>
        <v>24</v>
      </c>
      <c r="G26" s="7">
        <f t="shared" si="0"/>
        <v>22</v>
      </c>
      <c r="H26" s="7">
        <f t="shared" si="1"/>
        <v>24</v>
      </c>
      <c r="I26" s="7">
        <f t="shared" si="2"/>
        <v>5</v>
      </c>
      <c r="J26" s="7">
        <f t="shared" si="3"/>
        <v>3</v>
      </c>
      <c r="K26" t="s">
        <v>77</v>
      </c>
      <c r="L26" s="5">
        <v>0</v>
      </c>
      <c r="M26" s="5">
        <v>0</v>
      </c>
      <c r="N26" s="5">
        <v>0.23434991974317801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0.283148441627047</v>
      </c>
      <c r="U26" s="5">
        <v>0</v>
      </c>
      <c r="V26" s="5">
        <v>0</v>
      </c>
      <c r="W26" s="5">
        <v>0</v>
      </c>
      <c r="X26" s="5">
        <v>0.97203947368420995</v>
      </c>
      <c r="Y26" s="5">
        <v>0</v>
      </c>
      <c r="Z26" s="5">
        <v>0.16133004926108299</v>
      </c>
      <c r="AA26" s="5">
        <v>0</v>
      </c>
      <c r="AB26" s="5">
        <v>0</v>
      </c>
      <c r="AC26" s="5">
        <v>0.13238157040882501</v>
      </c>
      <c r="AD26" s="5">
        <v>0.10428662827894999</v>
      </c>
      <c r="AE26" s="5">
        <v>0.47545219638242803</v>
      </c>
      <c r="AF26" s="5">
        <v>0.105297157622739</v>
      </c>
      <c r="AG26" s="5">
        <v>0.104651162790697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0.17445298639858001</v>
      </c>
      <c r="AR26" s="5">
        <v>0</v>
      </c>
      <c r="AS26" s="5">
        <v>0</v>
      </c>
      <c r="AT26" s="5">
        <v>0.30940919037199099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0.251748251748251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13">
        <v>0</v>
      </c>
      <c r="BG26" s="14">
        <v>0</v>
      </c>
      <c r="BH26" s="14">
        <v>0</v>
      </c>
      <c r="BI26" s="14">
        <v>0</v>
      </c>
      <c r="BJ26" s="14">
        <v>0.99109062980030704</v>
      </c>
      <c r="BK26" s="15">
        <v>0</v>
      </c>
      <c r="BL26" s="5">
        <v>0</v>
      </c>
      <c r="BM26" s="5">
        <v>0</v>
      </c>
      <c r="BN26" s="5">
        <v>0.161978990172822</v>
      </c>
      <c r="BO26" s="5">
        <v>0.47580914247580902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0.39011379800853402</v>
      </c>
      <c r="BZ26" s="5">
        <v>0.59992887624466495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0.652910052910052</v>
      </c>
      <c r="CL26" s="5">
        <v>0</v>
      </c>
      <c r="CM26" s="5">
        <v>0</v>
      </c>
      <c r="CN26" s="5">
        <v>0.37260127931769699</v>
      </c>
      <c r="CO26" s="5">
        <v>0</v>
      </c>
      <c r="CP26" s="5">
        <v>0.33253588516746402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0.98703543647363801</v>
      </c>
      <c r="DB26" s="5">
        <v>0</v>
      </c>
      <c r="DC26" s="5">
        <v>0</v>
      </c>
      <c r="DD26" s="5">
        <v>0.30116472545757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0.35199386503067398</v>
      </c>
      <c r="DQ26" s="5">
        <v>0.16639072847682099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</row>
    <row r="27" spans="1:143">
      <c r="A27" t="s">
        <v>83</v>
      </c>
      <c r="B27" t="s">
        <v>50</v>
      </c>
      <c r="C27" t="s">
        <v>374</v>
      </c>
      <c r="D27" s="7">
        <f>VLOOKUP(A27,Expression!$C$1:$D$462,2,FALSE)</f>
        <v>347.61880000000002</v>
      </c>
      <c r="E27" s="6">
        <f>VLOOKUP(A27,'JRCSF Survival Analysis'!$A$1:$B$50,2,FALSE)</f>
        <v>3</v>
      </c>
      <c r="F27">
        <f>VLOOKUP(A27,'sequencing metadata'!$A$1:$B$100,2,FALSE)</f>
        <v>20</v>
      </c>
      <c r="G27" s="7">
        <f t="shared" si="0"/>
        <v>17</v>
      </c>
      <c r="H27" s="7">
        <f t="shared" si="1"/>
        <v>8</v>
      </c>
      <c r="I27" s="7">
        <f t="shared" si="2"/>
        <v>7</v>
      </c>
      <c r="J27" s="7">
        <f t="shared" si="3"/>
        <v>5</v>
      </c>
      <c r="K27" t="s">
        <v>83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0.86115335126915404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0.94272795779954799</v>
      </c>
      <c r="BF27" s="13">
        <v>0</v>
      </c>
      <c r="BG27" s="14">
        <v>0</v>
      </c>
      <c r="BH27" s="14">
        <v>0</v>
      </c>
      <c r="BI27" s="14">
        <v>0</v>
      </c>
      <c r="BJ27" s="14">
        <v>0.98931516069325198</v>
      </c>
      <c r="BK27" s="15">
        <v>0</v>
      </c>
      <c r="BL27" s="5">
        <v>0</v>
      </c>
      <c r="BM27" s="5">
        <v>0.99463389302406002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0.98900118906064205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0.95381567973310999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0.85147547391049405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0.44728616084114797</v>
      </c>
    </row>
    <row r="28" spans="1:143">
      <c r="A28" t="s">
        <v>94</v>
      </c>
      <c r="B28" t="s">
        <v>50</v>
      </c>
      <c r="C28" t="s">
        <v>374</v>
      </c>
      <c r="D28" s="7">
        <f>VLOOKUP(A28,Expression!$C$1:$D$462,2,FALSE)</f>
        <v>48.898099999999999</v>
      </c>
      <c r="E28" s="6">
        <f>VLOOKUP(A28,'JRCSF Survival Analysis'!$A$1:$B$50,2,FALSE)</f>
        <v>2</v>
      </c>
      <c r="F28">
        <f>VLOOKUP(A28,'sequencing metadata'!$A$1:$B$100,2,FALSE)</f>
        <v>24</v>
      </c>
      <c r="G28" s="7">
        <f t="shared" si="0"/>
        <v>22</v>
      </c>
      <c r="H28" s="7">
        <f t="shared" si="1"/>
        <v>18</v>
      </c>
      <c r="I28" s="7">
        <f t="shared" si="2"/>
        <v>10</v>
      </c>
      <c r="J28" s="7">
        <f t="shared" si="3"/>
        <v>4</v>
      </c>
      <c r="K28" t="s">
        <v>94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0.71276595744680804</v>
      </c>
      <c r="AA28" s="5">
        <v>0</v>
      </c>
      <c r="AB28" s="5">
        <v>0</v>
      </c>
      <c r="AC28" s="5">
        <v>0.89473684210526305</v>
      </c>
      <c r="AD28" s="5">
        <v>0.85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0.71428571428571397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0.32267441860465101</v>
      </c>
      <c r="BB28" s="5">
        <v>0</v>
      </c>
      <c r="BC28" s="5">
        <v>0</v>
      </c>
      <c r="BD28" s="5">
        <v>0</v>
      </c>
      <c r="BE28" s="5">
        <v>0</v>
      </c>
      <c r="BF28" s="13">
        <v>0</v>
      </c>
      <c r="BG28" s="14">
        <v>0</v>
      </c>
      <c r="BH28" s="14">
        <v>0</v>
      </c>
      <c r="BI28" s="14">
        <v>0</v>
      </c>
      <c r="BJ28" s="14">
        <v>0.82499999999999996</v>
      </c>
      <c r="BK28" s="15">
        <v>0</v>
      </c>
      <c r="BL28" s="5">
        <v>0</v>
      </c>
      <c r="BM28" s="5">
        <v>0</v>
      </c>
      <c r="BN28" s="5">
        <v>0</v>
      </c>
      <c r="BO28" s="5">
        <v>0.451737451737451</v>
      </c>
      <c r="BP28" s="5">
        <v>0</v>
      </c>
      <c r="BQ28" s="5">
        <v>0</v>
      </c>
      <c r="BR28" s="5">
        <v>0</v>
      </c>
      <c r="BS28" s="5">
        <v>1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1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1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0.57692307692307598</v>
      </c>
      <c r="CX28" s="5">
        <v>0.26556016597510301</v>
      </c>
      <c r="CY28" s="5">
        <v>0</v>
      </c>
      <c r="CZ28" s="5">
        <v>1</v>
      </c>
      <c r="DA28" s="5">
        <v>0</v>
      </c>
      <c r="DB28" s="5">
        <v>0</v>
      </c>
      <c r="DC28" s="5">
        <v>0.19999999999999901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0.30769230769230699</v>
      </c>
      <c r="DQ28" s="5">
        <v>0.441717791411042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0.19584569732937601</v>
      </c>
      <c r="EE28" s="5">
        <v>0</v>
      </c>
      <c r="EF28" s="5">
        <v>0</v>
      </c>
      <c r="EG28" s="5">
        <v>0</v>
      </c>
      <c r="EH28" s="5">
        <v>0.42042042042041999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</row>
    <row r="29" spans="1:143">
      <c r="A29" t="s">
        <v>71</v>
      </c>
      <c r="B29" t="s">
        <v>5</v>
      </c>
      <c r="C29" t="s">
        <v>375</v>
      </c>
      <c r="D29" s="7">
        <f>VLOOKUP(A29,Expression!$C$1:$D$462,2,FALSE)</f>
        <v>152.66999999999999</v>
      </c>
      <c r="E29" s="6">
        <f>VLOOKUP(A29,'JRCSF Survival Analysis'!$A$1:$B$50,2,FALSE)</f>
        <v>2</v>
      </c>
      <c r="F29">
        <f>VLOOKUP(A29,'sequencing metadata'!$A$1:$B$100,2,FALSE)</f>
        <v>18</v>
      </c>
      <c r="G29" s="7">
        <f t="shared" si="0"/>
        <v>16</v>
      </c>
      <c r="H29" s="7">
        <f t="shared" si="1"/>
        <v>15</v>
      </c>
      <c r="I29" s="7">
        <f t="shared" si="2"/>
        <v>6</v>
      </c>
      <c r="J29" s="7">
        <f t="shared" si="3"/>
        <v>0</v>
      </c>
      <c r="K29" t="s">
        <v>71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0.16240319173902801</v>
      </c>
      <c r="AM29" s="5">
        <v>0</v>
      </c>
      <c r="AN29" s="5">
        <v>0.45305474742131702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0.66574585635359096</v>
      </c>
      <c r="AV29" s="5">
        <v>0</v>
      </c>
      <c r="AW29" s="5">
        <v>0</v>
      </c>
      <c r="AX29" s="5">
        <v>0.77173396674584305</v>
      </c>
      <c r="AY29" s="5">
        <v>0.33302217036172599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13">
        <v>0</v>
      </c>
      <c r="BG29" s="14">
        <v>0.52070879590093899</v>
      </c>
      <c r="BH29" s="14">
        <v>0</v>
      </c>
      <c r="BI29" s="14">
        <v>0.28821520068317602</v>
      </c>
      <c r="BJ29" s="14">
        <v>0.16076003415883799</v>
      </c>
      <c r="BK29" s="1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0.13428502298572401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0.52256905456995195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0.60347783492529905</v>
      </c>
      <c r="CS29" s="5">
        <v>0</v>
      </c>
      <c r="CT29" s="5">
        <v>0.37355455002513799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0.52802275960170697</v>
      </c>
      <c r="DB29" s="5">
        <v>0</v>
      </c>
      <c r="DC29" s="5">
        <v>0.47470817120622499</v>
      </c>
      <c r="DD29" s="5">
        <v>0</v>
      </c>
      <c r="DE29" s="5">
        <v>0.152542372881355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</row>
    <row r="30" spans="1:143">
      <c r="A30" t="s">
        <v>76</v>
      </c>
      <c r="B30" t="s">
        <v>5</v>
      </c>
      <c r="C30" t="s">
        <v>375</v>
      </c>
      <c r="D30" s="7">
        <f>VLOOKUP(A30,Expression!$C$1:$D$462,2,FALSE)</f>
        <v>157.4675</v>
      </c>
      <c r="E30" s="6">
        <f>VLOOKUP(A30,'JRCSF Survival Analysis'!$A$1:$B$50,2,FALSE)</f>
        <v>2</v>
      </c>
      <c r="F30">
        <f>VLOOKUP(A30,'sequencing metadata'!$A$1:$B$100,2,FALSE)</f>
        <v>24</v>
      </c>
      <c r="G30" s="7">
        <f t="shared" si="0"/>
        <v>22</v>
      </c>
      <c r="H30" s="7">
        <f t="shared" si="1"/>
        <v>19</v>
      </c>
      <c r="I30" s="7">
        <f t="shared" si="2"/>
        <v>8</v>
      </c>
      <c r="J30" s="7">
        <f t="shared" si="3"/>
        <v>5</v>
      </c>
      <c r="K30" t="s">
        <v>76</v>
      </c>
      <c r="L30" s="5">
        <v>0</v>
      </c>
      <c r="M30" s="5">
        <v>0.32400589101619998</v>
      </c>
      <c r="N30" s="5">
        <v>0.91027496382054995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0.117529880478087</v>
      </c>
      <c r="AE30" s="5">
        <v>0</v>
      </c>
      <c r="AF30" s="5">
        <v>0.118871725990597</v>
      </c>
      <c r="AG30" s="5">
        <v>0</v>
      </c>
      <c r="AH30" s="5">
        <v>0.22979291917167599</v>
      </c>
      <c r="AI30" s="5">
        <v>0</v>
      </c>
      <c r="AJ30" s="5">
        <v>0</v>
      </c>
      <c r="AK30" s="5">
        <v>0</v>
      </c>
      <c r="AL30" s="5">
        <v>0.39954980303882898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0.186708860759493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13">
        <v>0</v>
      </c>
      <c r="BG30" s="14">
        <v>0.49300322927879398</v>
      </c>
      <c r="BH30" s="14">
        <v>0</v>
      </c>
      <c r="BI30" s="14">
        <v>0</v>
      </c>
      <c r="BJ30" s="14">
        <v>0</v>
      </c>
      <c r="BK30" s="15">
        <v>0</v>
      </c>
      <c r="BL30" s="5">
        <v>0.97701763762693705</v>
      </c>
      <c r="BM30" s="5">
        <v>0.347848898216159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0.33293196869355801</v>
      </c>
      <c r="BV30" s="5">
        <v>0.97517730496453903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0.96236559139784905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0.96690427698574299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0.50083194675540699</v>
      </c>
      <c r="CX30" s="5">
        <v>0</v>
      </c>
      <c r="CY30" s="5">
        <v>0.62911694510739802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0.38059701492537301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0.24638989169674999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0.58340847610459801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</row>
    <row r="31" spans="1:143">
      <c r="A31" t="s">
        <v>95</v>
      </c>
      <c r="B31" t="s">
        <v>5</v>
      </c>
      <c r="C31" t="s">
        <v>375</v>
      </c>
      <c r="D31" s="7">
        <f>VLOOKUP(A31,Expression!$C$1:$D$462,2,FALSE)</f>
        <v>76.163600000000002</v>
      </c>
      <c r="E31" s="6">
        <f>VLOOKUP(A31,'JRCSF Survival Analysis'!$A$1:$B$50,2,FALSE)</f>
        <v>3</v>
      </c>
      <c r="F31">
        <f>VLOOKUP(A31,'sequencing metadata'!$A$1:$B$100,2,FALSE)</f>
        <v>24</v>
      </c>
      <c r="G31" s="7">
        <f t="shared" si="0"/>
        <v>21</v>
      </c>
      <c r="H31" s="7">
        <f t="shared" si="1"/>
        <v>19</v>
      </c>
      <c r="I31" s="7">
        <f t="shared" si="2"/>
        <v>11</v>
      </c>
      <c r="J31" s="7">
        <f t="shared" si="3"/>
        <v>1</v>
      </c>
      <c r="K31" t="s">
        <v>95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0.50597349262646996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0.68387815750371395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0.768259623576794</v>
      </c>
      <c r="AV31" s="5">
        <v>0</v>
      </c>
      <c r="AW31" s="5">
        <v>0</v>
      </c>
      <c r="AX31" s="5">
        <v>0</v>
      </c>
      <c r="AY31" s="5">
        <v>0.11448834853090099</v>
      </c>
      <c r="AZ31" s="5">
        <v>0.476723045562228</v>
      </c>
      <c r="BA31" s="5">
        <v>0</v>
      </c>
      <c r="BB31" s="5">
        <v>0</v>
      </c>
      <c r="BC31" s="5">
        <v>0</v>
      </c>
      <c r="BD31" s="5">
        <v>0.76713018943974198</v>
      </c>
      <c r="BE31" s="5">
        <v>0</v>
      </c>
      <c r="BF31" s="13">
        <v>0</v>
      </c>
      <c r="BG31" s="14">
        <v>0.98470994615462704</v>
      </c>
      <c r="BH31" s="14">
        <v>0</v>
      </c>
      <c r="BI31" s="14">
        <v>0</v>
      </c>
      <c r="BJ31" s="14">
        <v>0</v>
      </c>
      <c r="BK31" s="15">
        <v>0</v>
      </c>
      <c r="BL31" s="5">
        <v>0</v>
      </c>
      <c r="BM31" s="5">
        <v>0</v>
      </c>
      <c r="BN31" s="5">
        <v>0</v>
      </c>
      <c r="BO31" s="5">
        <v>0.16262938275619099</v>
      </c>
      <c r="BP31" s="5">
        <v>0</v>
      </c>
      <c r="BQ31" s="5">
        <v>0.89092201101438895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0.42544191919191898</v>
      </c>
      <c r="CC31" s="5">
        <v>0.14652777777777701</v>
      </c>
      <c r="CD31" s="5">
        <v>0.10046452318061699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0.59039336911474904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0.63458543574409698</v>
      </c>
      <c r="CS31" s="5">
        <v>0</v>
      </c>
      <c r="CT31" s="5">
        <v>0</v>
      </c>
      <c r="CU31" s="5">
        <v>0</v>
      </c>
      <c r="CV31" s="5">
        <v>0.47058429823974202</v>
      </c>
      <c r="CW31" s="5">
        <v>0</v>
      </c>
      <c r="CX31" s="5">
        <v>0</v>
      </c>
      <c r="CY31" s="5">
        <v>0</v>
      </c>
      <c r="CZ31" s="5">
        <v>0</v>
      </c>
      <c r="DA31" s="5">
        <v>0.53254944712661501</v>
      </c>
      <c r="DB31" s="5">
        <v>0</v>
      </c>
      <c r="DC31" s="5">
        <v>0.27616871991515002</v>
      </c>
      <c r="DD31" s="5">
        <v>0</v>
      </c>
      <c r="DE31" s="5">
        <v>0.58523829607760403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0.86264523316886799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</row>
    <row r="32" spans="1:143">
      <c r="A32" t="s">
        <v>87</v>
      </c>
      <c r="B32" t="s">
        <v>6</v>
      </c>
      <c r="C32" t="s">
        <v>373</v>
      </c>
      <c r="D32" s="7">
        <f>VLOOKUP(A32,Expression!$C$1:$D$462,2,FALSE)</f>
        <v>520.05820000000006</v>
      </c>
      <c r="E32" s="6">
        <f>VLOOKUP(A32,'JRCSF Survival Analysis'!$A$1:$B$50,2,FALSE)</f>
        <v>3</v>
      </c>
      <c r="F32">
        <f>VLOOKUP(A32,'sequencing metadata'!$A$1:$B$100,2,FALSE)</f>
        <v>20</v>
      </c>
      <c r="G32" s="7">
        <f t="shared" si="0"/>
        <v>17</v>
      </c>
      <c r="H32" s="7">
        <f t="shared" si="1"/>
        <v>10</v>
      </c>
      <c r="I32" s="7">
        <f t="shared" si="2"/>
        <v>7</v>
      </c>
      <c r="J32" s="7">
        <f t="shared" si="3"/>
        <v>3</v>
      </c>
      <c r="K32" t="s">
        <v>87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0.97071774548656897</v>
      </c>
      <c r="BA32" s="5">
        <v>0</v>
      </c>
      <c r="BB32" s="5">
        <v>0.92921483793176796</v>
      </c>
      <c r="BC32" s="5">
        <v>0</v>
      </c>
      <c r="BD32" s="5">
        <v>0</v>
      </c>
      <c r="BE32" s="5">
        <v>0</v>
      </c>
      <c r="BF32" s="13">
        <v>0</v>
      </c>
      <c r="BG32" s="14">
        <v>0</v>
      </c>
      <c r="BH32" s="14">
        <v>0</v>
      </c>
      <c r="BI32" s="14">
        <v>0.99758362908706399</v>
      </c>
      <c r="BJ32" s="14">
        <v>0</v>
      </c>
      <c r="BK32" s="1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0.16400116312881599</v>
      </c>
      <c r="BQ32" s="5">
        <v>0</v>
      </c>
      <c r="BR32" s="5">
        <v>0</v>
      </c>
      <c r="BS32" s="5">
        <v>0.65318284424379203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0.75686407987292903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0.73803071364046902</v>
      </c>
      <c r="CS32" s="5">
        <v>0</v>
      </c>
      <c r="CT32" s="5">
        <v>0.257551848512173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0.85150232461314201</v>
      </c>
      <c r="ED32" s="5">
        <v>0</v>
      </c>
      <c r="EE32" s="5">
        <v>0.121910347716799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</row>
    <row r="33" spans="1:143">
      <c r="A33" t="s">
        <v>81</v>
      </c>
      <c r="B33" t="s">
        <v>48</v>
      </c>
      <c r="C33" t="s">
        <v>108</v>
      </c>
      <c r="D33" s="7">
        <f>VLOOKUP(A33,Expression!$C$1:$D$462,2,FALSE)</f>
        <v>235.21420000000001</v>
      </c>
      <c r="E33" s="6">
        <f>VLOOKUP(A33,'JRCSF Survival Analysis'!$A$1:$B$50,2,FALSE)</f>
        <v>2</v>
      </c>
      <c r="F33">
        <f>VLOOKUP(A33,'sequencing metadata'!$A$1:$B$100,2,FALSE)</f>
        <v>20</v>
      </c>
      <c r="G33" s="7">
        <f t="shared" si="0"/>
        <v>18</v>
      </c>
      <c r="H33" s="7">
        <f t="shared" si="1"/>
        <v>16</v>
      </c>
      <c r="I33" s="7">
        <f t="shared" si="2"/>
        <v>4</v>
      </c>
      <c r="J33" s="7">
        <f t="shared" si="3"/>
        <v>1</v>
      </c>
      <c r="K33" t="s">
        <v>81</v>
      </c>
      <c r="L33" s="5">
        <v>0</v>
      </c>
      <c r="M33" s="5">
        <v>0</v>
      </c>
      <c r="N33" s="5">
        <v>0</v>
      </c>
      <c r="O33" s="5">
        <v>0.36464933362464402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0.103754657494984</v>
      </c>
      <c r="AD33" s="5">
        <v>0.112314356435643</v>
      </c>
      <c r="AE33" s="5">
        <v>0</v>
      </c>
      <c r="AF33" s="5">
        <v>0.41618682021753001</v>
      </c>
      <c r="AG33" s="5">
        <v>0.41278688524590101</v>
      </c>
      <c r="AH33" s="5">
        <v>0</v>
      </c>
      <c r="AI33" s="5">
        <v>0.383171304056319</v>
      </c>
      <c r="AJ33" s="5">
        <v>0</v>
      </c>
      <c r="AK33" s="5">
        <v>0</v>
      </c>
      <c r="AL33" s="5">
        <v>0.37994119568768298</v>
      </c>
      <c r="AM33" s="5">
        <v>0</v>
      </c>
      <c r="AN33" s="5">
        <v>0.510579257717655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13">
        <v>0</v>
      </c>
      <c r="BG33" s="14">
        <v>0</v>
      </c>
      <c r="BH33" s="14">
        <v>0</v>
      </c>
      <c r="BI33" s="14">
        <v>0</v>
      </c>
      <c r="BJ33" s="14">
        <v>0</v>
      </c>
      <c r="BK33" s="15">
        <v>0.99007092198581503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0.44656628718325297</v>
      </c>
      <c r="CA33" s="5">
        <v>0</v>
      </c>
      <c r="CB33" s="5">
        <v>0</v>
      </c>
      <c r="CC33" s="5">
        <v>0.54608887256702099</v>
      </c>
      <c r="CD33" s="5">
        <v>0</v>
      </c>
      <c r="CE33" s="5">
        <v>0</v>
      </c>
      <c r="CF33" s="5">
        <v>0</v>
      </c>
      <c r="CG33" s="5">
        <v>0</v>
      </c>
      <c r="CH33" s="5">
        <v>0.42638623326959801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0.414328873543375</v>
      </c>
      <c r="CP33" s="5">
        <v>0</v>
      </c>
      <c r="CQ33" s="5">
        <v>0</v>
      </c>
      <c r="CR33" s="5">
        <v>0.43231788079470201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0.401728710342795</v>
      </c>
      <c r="EE33" s="5">
        <v>0.59100284844317796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</row>
    <row r="34" spans="1:143">
      <c r="A34" t="s">
        <v>88</v>
      </c>
      <c r="B34" t="s">
        <v>48</v>
      </c>
      <c r="C34" t="s">
        <v>108</v>
      </c>
      <c r="D34" s="7">
        <f>VLOOKUP(A34,Expression!$C$1:$D$462,2,FALSE)</f>
        <v>397.8603</v>
      </c>
      <c r="E34" s="6">
        <f>VLOOKUP(A34,'JRCSF Survival Analysis'!$A$1:$B$50,2,FALSE)</f>
        <v>3</v>
      </c>
      <c r="F34">
        <f>VLOOKUP(A34,'sequencing metadata'!$A$1:$B$100,2,FALSE)</f>
        <v>20</v>
      </c>
      <c r="G34" s="7">
        <f t="shared" si="0"/>
        <v>17</v>
      </c>
      <c r="H34" s="7">
        <f t="shared" si="1"/>
        <v>15</v>
      </c>
      <c r="I34" s="7">
        <f t="shared" si="2"/>
        <v>4</v>
      </c>
      <c r="J34" s="7">
        <f t="shared" si="3"/>
        <v>1</v>
      </c>
      <c r="K34" t="s">
        <v>88</v>
      </c>
      <c r="L34" s="5">
        <v>0</v>
      </c>
      <c r="M34" s="5">
        <v>0</v>
      </c>
      <c r="N34" s="5">
        <v>0</v>
      </c>
      <c r="O34" s="5">
        <v>0</v>
      </c>
      <c r="P34" s="5">
        <v>0.60695187165775399</v>
      </c>
      <c r="Q34" s="5">
        <v>0</v>
      </c>
      <c r="R34" s="5">
        <v>0.11037277147487801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0.27840143691064201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0.412745098039215</v>
      </c>
      <c r="AI34" s="5">
        <v>0</v>
      </c>
      <c r="AJ34" s="5">
        <v>0.14958210422812099</v>
      </c>
      <c r="AK34" s="5">
        <v>0</v>
      </c>
      <c r="AL34" s="5">
        <v>0.21065659197498601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0.37133370226895401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13">
        <v>0</v>
      </c>
      <c r="BG34" s="14">
        <v>0</v>
      </c>
      <c r="BH34" s="14">
        <v>0</v>
      </c>
      <c r="BI34" s="14">
        <v>0</v>
      </c>
      <c r="BJ34" s="14">
        <v>0</v>
      </c>
      <c r="BK34" s="15">
        <v>0.93549049820236196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0.220110656723598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0.39248631300736198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0.18020872158032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0.71119248527304502</v>
      </c>
      <c r="CS34" s="5">
        <v>0</v>
      </c>
      <c r="CT34" s="5">
        <v>0</v>
      </c>
      <c r="CU34" s="5">
        <v>0</v>
      </c>
      <c r="CV34" s="5">
        <v>0</v>
      </c>
      <c r="CW34" s="5">
        <v>0.30031120331950201</v>
      </c>
      <c r="CX34" s="5">
        <v>0</v>
      </c>
      <c r="CY34" s="5">
        <v>0</v>
      </c>
      <c r="CZ34" s="5">
        <v>0</v>
      </c>
      <c r="DA34" s="5">
        <v>0</v>
      </c>
      <c r="DB34" s="5">
        <v>0.57920216886134701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0.38874999999999998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</row>
    <row r="35" spans="1:143">
      <c r="A35" t="s">
        <v>91</v>
      </c>
      <c r="B35" t="s">
        <v>48</v>
      </c>
      <c r="C35" t="s">
        <v>108</v>
      </c>
      <c r="D35" s="7">
        <f>VLOOKUP(A35,Expression!$C$1:$D$462,2,FALSE)</f>
        <v>54.849800000000002</v>
      </c>
      <c r="E35" s="6">
        <f>VLOOKUP(A35,'JRCSF Survival Analysis'!$A$1:$B$50,2,FALSE)</f>
        <v>3</v>
      </c>
      <c r="F35">
        <f>VLOOKUP(A35,'sequencing metadata'!$A$1:$B$100,2,FALSE)</f>
        <v>24</v>
      </c>
      <c r="G35" s="7">
        <f t="shared" si="0"/>
        <v>21</v>
      </c>
      <c r="H35" s="7">
        <f t="shared" si="1"/>
        <v>12</v>
      </c>
      <c r="I35" s="7">
        <f t="shared" si="2"/>
        <v>10</v>
      </c>
      <c r="J35" s="7">
        <f t="shared" si="3"/>
        <v>4</v>
      </c>
      <c r="K35" t="s">
        <v>91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0.99560067681895004</v>
      </c>
      <c r="AM35" s="5">
        <v>0.99800516310725096</v>
      </c>
      <c r="AN35" s="5">
        <v>0</v>
      </c>
      <c r="AO35" s="5">
        <v>0.72793614595210898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13">
        <v>0</v>
      </c>
      <c r="BG35" s="14">
        <v>0</v>
      </c>
      <c r="BH35" s="14">
        <v>0</v>
      </c>
      <c r="BI35" s="14">
        <v>0</v>
      </c>
      <c r="BJ35" s="14">
        <v>0</v>
      </c>
      <c r="BK35" s="15">
        <v>0.99717206874048203</v>
      </c>
      <c r="BL35" s="5">
        <v>0</v>
      </c>
      <c r="BM35" s="5">
        <v>0</v>
      </c>
      <c r="BN35" s="5">
        <v>0.50185099490976404</v>
      </c>
      <c r="BO35" s="5">
        <v>0.44637492895997399</v>
      </c>
      <c r="BP35" s="5">
        <v>0</v>
      </c>
      <c r="BQ35" s="5">
        <v>0</v>
      </c>
      <c r="BR35" s="5">
        <v>0</v>
      </c>
      <c r="BS35" s="5">
        <v>0</v>
      </c>
      <c r="BT35" s="5">
        <v>0.89901527331189601</v>
      </c>
      <c r="BU35" s="5">
        <v>0</v>
      </c>
      <c r="BV35" s="5">
        <v>0</v>
      </c>
      <c r="BW35" s="5">
        <v>0.62202472162631495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0.87458546879710497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0.91526685094620397</v>
      </c>
      <c r="CU35" s="5">
        <v>0</v>
      </c>
      <c r="CV35" s="5">
        <v>0.13793103448275801</v>
      </c>
      <c r="CW35" s="5">
        <v>0.60010610079575599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</row>
    <row r="36" spans="1:143" ht="17" thickBot="1">
      <c r="A36" t="s">
        <v>86</v>
      </c>
      <c r="B36" t="s">
        <v>52</v>
      </c>
      <c r="C36" t="s">
        <v>52</v>
      </c>
      <c r="D36" s="7">
        <f>VLOOKUP(A36,Expression!$C$1:$D$462,2,FALSE)</f>
        <v>297.62110000000001</v>
      </c>
      <c r="E36" s="6">
        <f>VLOOKUP(A36,'JRCSF Survival Analysis'!$A$1:$B$50,2,FALSE)</f>
        <v>3</v>
      </c>
      <c r="F36">
        <f>VLOOKUP(A36,'sequencing metadata'!$A$1:$B$100,2,FALSE)</f>
        <v>20</v>
      </c>
      <c r="G36" s="7">
        <f t="shared" si="0"/>
        <v>17</v>
      </c>
      <c r="H36" s="7">
        <f t="shared" si="1"/>
        <v>9</v>
      </c>
      <c r="I36" s="7">
        <f t="shared" si="2"/>
        <v>9</v>
      </c>
      <c r="J36" s="7">
        <f t="shared" si="3"/>
        <v>9</v>
      </c>
      <c r="K36" t="s">
        <v>86</v>
      </c>
      <c r="L36" s="5">
        <v>0.98858230256898205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0.99096880131362797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0.99318150825037399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16">
        <v>0</v>
      </c>
      <c r="BG36" s="17">
        <v>0</v>
      </c>
      <c r="BH36" s="17">
        <v>0</v>
      </c>
      <c r="BI36" s="17">
        <v>0</v>
      </c>
      <c r="BJ36" s="17">
        <v>0</v>
      </c>
      <c r="BK36" s="18">
        <v>0</v>
      </c>
      <c r="BL36" s="5">
        <v>0.99284707922401605</v>
      </c>
      <c r="BM36" s="5">
        <v>0.99323181049069298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0.99187129551227704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0.98607759420827901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0.98607242339832801</v>
      </c>
      <c r="EH36" s="5">
        <v>0</v>
      </c>
      <c r="EI36" s="5">
        <v>0.98743161318941297</v>
      </c>
      <c r="EJ36" s="5">
        <v>0</v>
      </c>
      <c r="EK36" s="5">
        <v>0</v>
      </c>
      <c r="EL36" s="5">
        <v>0</v>
      </c>
      <c r="EM36" s="5">
        <v>0</v>
      </c>
    </row>
    <row r="37" spans="1:143">
      <c r="BF37">
        <f>SUM(BF11:BF36)</f>
        <v>7.3099872254926623</v>
      </c>
      <c r="BG37">
        <f t="shared" ref="BG37:BK37" si="4">SUM(BG11:BG36)</f>
        <v>3.0487734387035479</v>
      </c>
      <c r="BH37">
        <f t="shared" si="4"/>
        <v>4.1042829030822627</v>
      </c>
      <c r="BI37">
        <f t="shared" si="4"/>
        <v>1.6221339153123582</v>
      </c>
      <c r="BJ37">
        <f t="shared" si="4"/>
        <v>5.0751497873399574</v>
      </c>
      <c r="BK37">
        <f t="shared" si="4"/>
        <v>2.9227334889286589</v>
      </c>
    </row>
    <row r="38" spans="1:143">
      <c r="BF38" s="5">
        <f>BF37/SUM($BF$37:$BK$37)</f>
        <v>0.30353231670536451</v>
      </c>
      <c r="BG38" s="5">
        <f t="shared" ref="BG38:BK38" si="5">BG37/SUM($BF$37:$BK$37)</f>
        <v>0.12659410152349485</v>
      </c>
      <c r="BH38" s="5">
        <f t="shared" si="5"/>
        <v>0.17042198017012508</v>
      </c>
      <c r="BI38" s="5">
        <f t="shared" si="5"/>
        <v>6.7355803797306907E-2</v>
      </c>
      <c r="BJ38" s="5">
        <f t="shared" si="5"/>
        <v>0.21073524823762108</v>
      </c>
      <c r="BK38" s="5">
        <f t="shared" si="5"/>
        <v>0.12136054956608749</v>
      </c>
    </row>
    <row r="44" spans="1:143" ht="19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</row>
  </sheetData>
  <autoFilter ref="A10:EM38" xr:uid="{ADDACBCB-1305-F14B-BFA7-CE7645247C96}"/>
  <conditionalFormatting sqref="L11:EM36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36C0-2970-204C-B50A-34F3E01906BB}">
  <dimension ref="A3:F11"/>
  <sheetViews>
    <sheetView zoomScale="213" zoomScaleNormal="213" workbookViewId="0">
      <selection activeCell="B14" sqref="B14"/>
    </sheetView>
  </sheetViews>
  <sheetFormatPr baseColWidth="10" defaultRowHeight="16"/>
  <cols>
    <col min="1" max="1" width="15.5" bestFit="1" customWidth="1"/>
    <col min="2" max="2" width="19" bestFit="1" customWidth="1"/>
    <col min="3" max="3" width="20" bestFit="1" customWidth="1"/>
  </cols>
  <sheetData>
    <row r="3" spans="1:6">
      <c r="A3" s="22" t="s">
        <v>12</v>
      </c>
      <c r="B3" t="s">
        <v>370</v>
      </c>
      <c r="C3" t="s">
        <v>371</v>
      </c>
    </row>
    <row r="4" spans="1:6">
      <c r="A4" s="4" t="s">
        <v>107</v>
      </c>
      <c r="B4">
        <v>9</v>
      </c>
      <c r="C4" s="8">
        <v>0.34615384615384615</v>
      </c>
      <c r="E4" s="61">
        <f>B4/SUM(B4:B5)</f>
        <v>0.6428571428571429</v>
      </c>
      <c r="F4" s="8">
        <f>SUM(C4:C5)</f>
        <v>0.53846153846153844</v>
      </c>
    </row>
    <row r="5" spans="1:6">
      <c r="A5" s="4" t="s">
        <v>372</v>
      </c>
      <c r="B5">
        <v>5</v>
      </c>
      <c r="C5" s="8">
        <v>0.19230769230769232</v>
      </c>
      <c r="E5" s="61">
        <f>B5/SUM(B4:B5)</f>
        <v>0.35714285714285715</v>
      </c>
    </row>
    <row r="6" spans="1:6">
      <c r="A6" s="4" t="s">
        <v>374</v>
      </c>
      <c r="B6">
        <v>4</v>
      </c>
      <c r="C6" s="8">
        <v>0.15384615384615385</v>
      </c>
    </row>
    <row r="7" spans="1:6">
      <c r="A7" s="4" t="s">
        <v>375</v>
      </c>
      <c r="B7">
        <v>3</v>
      </c>
      <c r="C7" s="8">
        <v>0.11538461538461539</v>
      </c>
      <c r="D7" s="8">
        <f>SUM(C7:C9)</f>
        <v>0.26923076923076927</v>
      </c>
    </row>
    <row r="8" spans="1:6">
      <c r="A8" s="4" t="s">
        <v>373</v>
      </c>
      <c r="B8">
        <v>1</v>
      </c>
      <c r="C8" s="8">
        <v>3.8461538461538464E-2</v>
      </c>
    </row>
    <row r="9" spans="1:6">
      <c r="A9" s="4" t="s">
        <v>108</v>
      </c>
      <c r="B9">
        <v>3</v>
      </c>
      <c r="C9" s="8">
        <v>0.11538461538461539</v>
      </c>
    </row>
    <row r="10" spans="1:6">
      <c r="A10" s="4" t="s">
        <v>52</v>
      </c>
      <c r="B10">
        <v>1</v>
      </c>
      <c r="C10" s="8">
        <v>3.8461538461538464E-2</v>
      </c>
    </row>
    <row r="11" spans="1:6">
      <c r="A11" s="4" t="s">
        <v>13</v>
      </c>
      <c r="B11">
        <v>26</v>
      </c>
      <c r="C11" s="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0417-F27C-1B45-A6C1-A936B96281F3}">
  <dimension ref="A1:D32"/>
  <sheetViews>
    <sheetView workbookViewId="0">
      <selection activeCell="C10" sqref="C10:C33"/>
    </sheetView>
  </sheetViews>
  <sheetFormatPr baseColWidth="10" defaultRowHeight="16"/>
  <cols>
    <col min="1" max="1" width="25" customWidth="1"/>
    <col min="2" max="2" width="21.33203125" customWidth="1"/>
    <col min="3" max="3" width="18.33203125" bestFit="1" customWidth="1"/>
    <col min="4" max="4" width="17" customWidth="1"/>
  </cols>
  <sheetData>
    <row r="1" spans="1:4" ht="17">
      <c r="A1" s="27" t="s">
        <v>293</v>
      </c>
      <c r="B1" s="27" t="s">
        <v>109</v>
      </c>
      <c r="C1" s="27" t="s">
        <v>111</v>
      </c>
      <c r="D1" s="27"/>
    </row>
    <row r="2" spans="1:4" ht="17">
      <c r="A2" s="28" t="s">
        <v>91</v>
      </c>
      <c r="B2" s="26">
        <v>3</v>
      </c>
      <c r="C2" s="26">
        <v>1</v>
      </c>
    </row>
    <row r="3" spans="1:4" ht="17">
      <c r="A3" s="28" t="s">
        <v>379</v>
      </c>
      <c r="B3" s="26">
        <v>2</v>
      </c>
      <c r="C3" s="26">
        <v>1</v>
      </c>
    </row>
    <row r="4" spans="1:4" ht="17">
      <c r="A4" s="28" t="s">
        <v>92</v>
      </c>
      <c r="B4" s="26">
        <v>2</v>
      </c>
      <c r="C4" s="26">
        <v>1</v>
      </c>
    </row>
    <row r="5" spans="1:4" ht="17">
      <c r="A5" s="28" t="s">
        <v>93</v>
      </c>
      <c r="B5" s="26">
        <v>3</v>
      </c>
      <c r="C5" s="26">
        <v>1</v>
      </c>
    </row>
    <row r="6" spans="1:4" ht="17">
      <c r="A6" s="28" t="s">
        <v>94</v>
      </c>
      <c r="B6" s="26">
        <v>2</v>
      </c>
      <c r="C6" s="26">
        <v>1</v>
      </c>
    </row>
    <row r="7" spans="1:4" ht="17">
      <c r="A7" s="28" t="s">
        <v>380</v>
      </c>
      <c r="B7" s="26">
        <v>3</v>
      </c>
      <c r="C7" s="26">
        <v>1</v>
      </c>
    </row>
    <row r="8" spans="1:4" ht="17">
      <c r="A8" s="28" t="s">
        <v>95</v>
      </c>
      <c r="B8" s="26">
        <v>3</v>
      </c>
      <c r="C8" s="26">
        <v>1</v>
      </c>
    </row>
    <row r="9" spans="1:4" ht="17">
      <c r="A9" s="28" t="s">
        <v>96</v>
      </c>
      <c r="B9" s="26">
        <v>3</v>
      </c>
      <c r="C9" s="26">
        <v>1</v>
      </c>
    </row>
    <row r="10" spans="1:4" ht="17">
      <c r="A10" s="28" t="s">
        <v>78</v>
      </c>
      <c r="B10" s="26">
        <v>2</v>
      </c>
      <c r="C10" s="26"/>
    </row>
    <row r="11" spans="1:4" ht="17">
      <c r="A11" s="28" t="s">
        <v>79</v>
      </c>
      <c r="B11" s="26">
        <v>2</v>
      </c>
      <c r="C11" s="26"/>
    </row>
    <row r="12" spans="1:4" ht="17">
      <c r="A12" s="28" t="s">
        <v>71</v>
      </c>
      <c r="B12" s="26">
        <v>2</v>
      </c>
      <c r="C12" s="26"/>
    </row>
    <row r="13" spans="1:4" ht="17">
      <c r="A13" s="28" t="s">
        <v>72</v>
      </c>
      <c r="B13" s="26">
        <v>2</v>
      </c>
      <c r="C13" s="26"/>
    </row>
    <row r="14" spans="1:4" ht="17">
      <c r="A14" s="28" t="s">
        <v>73</v>
      </c>
      <c r="B14" s="26">
        <v>2</v>
      </c>
      <c r="C14" s="26"/>
    </row>
    <row r="15" spans="1:4" ht="17">
      <c r="A15" s="28" t="s">
        <v>74</v>
      </c>
      <c r="B15" s="26">
        <v>2</v>
      </c>
      <c r="C15" s="26"/>
    </row>
    <row r="16" spans="1:4" ht="17">
      <c r="A16" s="28" t="s">
        <v>75</v>
      </c>
      <c r="B16" s="26">
        <v>2</v>
      </c>
      <c r="C16" s="26"/>
    </row>
    <row r="17" spans="1:4" ht="17">
      <c r="A17" s="28" t="s">
        <v>76</v>
      </c>
      <c r="B17" s="26">
        <v>2</v>
      </c>
      <c r="C17" s="26"/>
    </row>
    <row r="18" spans="1:4" ht="17">
      <c r="A18" s="28" t="s">
        <v>77</v>
      </c>
      <c r="B18" s="26">
        <v>2</v>
      </c>
      <c r="C18" s="26"/>
    </row>
    <row r="19" spans="1:4" ht="17">
      <c r="A19" s="28" t="s">
        <v>80</v>
      </c>
      <c r="B19" s="26">
        <v>2</v>
      </c>
      <c r="C19" s="26"/>
      <c r="D19" s="59"/>
    </row>
    <row r="20" spans="1:4" ht="17">
      <c r="A20" s="28" t="s">
        <v>81</v>
      </c>
      <c r="B20" s="26">
        <v>2</v>
      </c>
      <c r="C20" s="26"/>
      <c r="D20" s="59"/>
    </row>
    <row r="21" spans="1:4" ht="17">
      <c r="A21" s="28" t="s">
        <v>82</v>
      </c>
      <c r="B21" s="26">
        <v>3</v>
      </c>
      <c r="C21" s="26"/>
      <c r="D21" s="59"/>
    </row>
    <row r="22" spans="1:4" ht="17">
      <c r="A22" s="28" t="s">
        <v>83</v>
      </c>
      <c r="B22" s="26">
        <v>3</v>
      </c>
      <c r="C22" s="26"/>
      <c r="D22" s="59"/>
    </row>
    <row r="23" spans="1:4" ht="17">
      <c r="A23" s="28" t="s">
        <v>84</v>
      </c>
      <c r="B23" s="26">
        <v>4</v>
      </c>
      <c r="C23" s="26"/>
      <c r="D23" s="59"/>
    </row>
    <row r="24" spans="1:4" ht="17">
      <c r="A24" s="28" t="s">
        <v>85</v>
      </c>
      <c r="B24" s="26">
        <v>2</v>
      </c>
      <c r="C24" s="26"/>
      <c r="D24" s="59"/>
    </row>
    <row r="25" spans="1:4" ht="17">
      <c r="A25" s="28" t="s">
        <v>86</v>
      </c>
      <c r="B25" s="26">
        <v>3</v>
      </c>
      <c r="C25" s="26"/>
      <c r="D25" s="59"/>
    </row>
    <row r="26" spans="1:4" ht="17">
      <c r="A26" s="28" t="s">
        <v>376</v>
      </c>
      <c r="B26" s="26">
        <v>2</v>
      </c>
      <c r="C26" s="26"/>
      <c r="D26" s="59"/>
    </row>
    <row r="27" spans="1:4" ht="17">
      <c r="A27" s="28" t="s">
        <v>87</v>
      </c>
      <c r="B27" s="26">
        <v>3</v>
      </c>
      <c r="C27" s="26"/>
      <c r="D27" s="59"/>
    </row>
    <row r="28" spans="1:4" ht="17">
      <c r="A28" s="28" t="s">
        <v>377</v>
      </c>
      <c r="B28" s="26">
        <v>3</v>
      </c>
      <c r="C28" s="26"/>
      <c r="D28" s="59"/>
    </row>
    <row r="29" spans="1:4" ht="17">
      <c r="A29" s="28" t="s">
        <v>88</v>
      </c>
      <c r="B29" s="26">
        <v>3</v>
      </c>
      <c r="C29" s="26"/>
      <c r="D29" s="59"/>
    </row>
    <row r="30" spans="1:4" ht="17">
      <c r="A30" s="28" t="s">
        <v>89</v>
      </c>
      <c r="B30" s="26">
        <v>2</v>
      </c>
      <c r="C30" s="26"/>
      <c r="D30" s="59"/>
    </row>
    <row r="31" spans="1:4" ht="17">
      <c r="A31" s="28" t="s">
        <v>90</v>
      </c>
      <c r="B31" s="26">
        <v>3</v>
      </c>
      <c r="C31" s="26"/>
      <c r="D31" s="59"/>
    </row>
    <row r="32" spans="1:4" ht="17">
      <c r="A32" s="28" t="s">
        <v>378</v>
      </c>
      <c r="B32" s="26">
        <v>2</v>
      </c>
      <c r="C32" s="26"/>
      <c r="D32" s="5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012C-FBD5-0D45-BD8D-8F746E17D929}">
  <dimension ref="A1:B65"/>
  <sheetViews>
    <sheetView workbookViewId="0">
      <selection activeCell="A35" sqref="A35:B65"/>
    </sheetView>
  </sheetViews>
  <sheetFormatPr baseColWidth="10" defaultRowHeight="16"/>
  <cols>
    <col min="1" max="1" width="11.6640625" bestFit="1" customWidth="1"/>
  </cols>
  <sheetData>
    <row r="1" spans="1:2">
      <c r="A1" s="10" t="s">
        <v>358</v>
      </c>
      <c r="B1" s="10" t="s">
        <v>359</v>
      </c>
    </row>
    <row r="2" spans="1:2">
      <c r="A2" s="10" t="s">
        <v>31</v>
      </c>
      <c r="B2" s="10">
        <v>24</v>
      </c>
    </row>
    <row r="3" spans="1:2">
      <c r="A3" s="10" t="s">
        <v>32</v>
      </c>
      <c r="B3" s="10">
        <v>15</v>
      </c>
    </row>
    <row r="4" spans="1:2">
      <c r="A4" s="10" t="s">
        <v>33</v>
      </c>
      <c r="B4" s="10">
        <v>9</v>
      </c>
    </row>
    <row r="5" spans="1:2">
      <c r="A5" s="10" t="s">
        <v>34</v>
      </c>
      <c r="B5" s="10">
        <v>25</v>
      </c>
    </row>
    <row r="6" spans="1:2">
      <c r="A6" s="10" t="s">
        <v>35</v>
      </c>
      <c r="B6" s="10">
        <v>22</v>
      </c>
    </row>
    <row r="7" spans="1:2">
      <c r="A7" s="10" t="s">
        <v>229</v>
      </c>
      <c r="B7" s="10">
        <v>26</v>
      </c>
    </row>
    <row r="8" spans="1:2">
      <c r="A8" s="10" t="s">
        <v>36</v>
      </c>
      <c r="B8" s="10">
        <v>26</v>
      </c>
    </row>
    <row r="9" spans="1:2">
      <c r="A9" s="10" t="s">
        <v>37</v>
      </c>
      <c r="B9" s="10">
        <v>18</v>
      </c>
    </row>
    <row r="10" spans="1:2">
      <c r="A10" s="10" t="s">
        <v>38</v>
      </c>
      <c r="B10" s="10">
        <v>20</v>
      </c>
    </row>
    <row r="11" spans="1:2">
      <c r="A11" s="10" t="s">
        <v>39</v>
      </c>
      <c r="B11" s="10">
        <v>26</v>
      </c>
    </row>
    <row r="12" spans="1:2">
      <c r="A12" s="10" t="s">
        <v>14</v>
      </c>
      <c r="B12" s="10">
        <v>24</v>
      </c>
    </row>
    <row r="13" spans="1:2">
      <c r="A13" s="10" t="s">
        <v>15</v>
      </c>
      <c r="B13" s="10">
        <v>18</v>
      </c>
    </row>
    <row r="14" spans="1:2">
      <c r="A14" s="10" t="s">
        <v>16</v>
      </c>
      <c r="B14" s="10">
        <v>20</v>
      </c>
    </row>
    <row r="15" spans="1:2">
      <c r="A15" s="10" t="s">
        <v>17</v>
      </c>
      <c r="B15" s="10">
        <v>19</v>
      </c>
    </row>
    <row r="16" spans="1:2">
      <c r="A16" s="10" t="s">
        <v>18</v>
      </c>
      <c r="B16" s="10">
        <v>12</v>
      </c>
    </row>
    <row r="17" spans="1:2">
      <c r="A17" s="10" t="s">
        <v>246</v>
      </c>
      <c r="B17" s="10">
        <v>17</v>
      </c>
    </row>
    <row r="18" spans="1:2">
      <c r="A18" s="10" t="s">
        <v>247</v>
      </c>
      <c r="B18" s="10">
        <v>10</v>
      </c>
    </row>
    <row r="19" spans="1:2">
      <c r="A19" s="10" t="s">
        <v>19</v>
      </c>
      <c r="B19" s="10">
        <v>14</v>
      </c>
    </row>
    <row r="20" spans="1:2">
      <c r="A20" s="10" t="s">
        <v>20</v>
      </c>
      <c r="B20" s="10">
        <v>20</v>
      </c>
    </row>
    <row r="21" spans="1:2">
      <c r="A21" s="10" t="s">
        <v>21</v>
      </c>
      <c r="B21" s="10">
        <v>17</v>
      </c>
    </row>
    <row r="22" spans="1:2">
      <c r="A22" s="10" t="s">
        <v>22</v>
      </c>
      <c r="B22" s="10">
        <v>21</v>
      </c>
    </row>
    <row r="23" spans="1:2">
      <c r="A23" s="10" t="s">
        <v>23</v>
      </c>
      <c r="B23" s="10">
        <v>22</v>
      </c>
    </row>
    <row r="24" spans="1:2">
      <c r="A24" s="10" t="s">
        <v>24</v>
      </c>
      <c r="B24" s="10">
        <v>19</v>
      </c>
    </row>
    <row r="25" spans="1:2">
      <c r="A25" s="10" t="s">
        <v>25</v>
      </c>
      <c r="B25" s="10">
        <v>9</v>
      </c>
    </row>
    <row r="26" spans="1:2">
      <c r="A26" s="10" t="s">
        <v>26</v>
      </c>
      <c r="B26" s="10">
        <v>20</v>
      </c>
    </row>
    <row r="27" spans="1:2">
      <c r="A27" s="10" t="s">
        <v>27</v>
      </c>
      <c r="B27" s="10">
        <v>24</v>
      </c>
    </row>
    <row r="28" spans="1:2">
      <c r="A28" s="10" t="s">
        <v>28</v>
      </c>
      <c r="B28" s="10">
        <v>24</v>
      </c>
    </row>
    <row r="29" spans="1:2">
      <c r="A29" s="10" t="s">
        <v>257</v>
      </c>
      <c r="B29" s="10"/>
    </row>
    <row r="30" spans="1:2">
      <c r="A30" s="10" t="s">
        <v>29</v>
      </c>
      <c r="B30" s="10">
        <v>13</v>
      </c>
    </row>
    <row r="31" spans="1:2">
      <c r="A31" s="10" t="s">
        <v>30</v>
      </c>
      <c r="B31" s="10">
        <v>22</v>
      </c>
    </row>
    <row r="32" spans="1:2">
      <c r="A32" s="10" t="s">
        <v>40</v>
      </c>
      <c r="B32" s="10">
        <v>15</v>
      </c>
    </row>
    <row r="33" spans="1:2">
      <c r="A33" s="10" t="s">
        <v>360</v>
      </c>
      <c r="B33" s="10">
        <v>12</v>
      </c>
    </row>
    <row r="34" spans="1:2">
      <c r="A34" s="10" t="s">
        <v>361</v>
      </c>
      <c r="B34" s="10">
        <v>12</v>
      </c>
    </row>
    <row r="35" spans="1:2">
      <c r="A35" t="s">
        <v>78</v>
      </c>
      <c r="B35">
        <v>24</v>
      </c>
    </row>
    <row r="36" spans="1:2">
      <c r="A36" t="s">
        <v>79</v>
      </c>
      <c r="B36">
        <v>24</v>
      </c>
    </row>
    <row r="37" spans="1:2">
      <c r="A37" t="s">
        <v>71</v>
      </c>
      <c r="B37">
        <v>18</v>
      </c>
    </row>
    <row r="38" spans="1:2">
      <c r="A38" t="s">
        <v>72</v>
      </c>
      <c r="B38">
        <v>24</v>
      </c>
    </row>
    <row r="39" spans="1:2">
      <c r="A39" t="s">
        <v>73</v>
      </c>
      <c r="B39">
        <v>12</v>
      </c>
    </row>
    <row r="40" spans="1:2">
      <c r="A40" t="s">
        <v>74</v>
      </c>
      <c r="B40">
        <v>24</v>
      </c>
    </row>
    <row r="41" spans="1:2">
      <c r="A41" t="s">
        <v>75</v>
      </c>
      <c r="B41">
        <v>21</v>
      </c>
    </row>
    <row r="42" spans="1:2">
      <c r="A42" t="s">
        <v>76</v>
      </c>
      <c r="B42">
        <v>24</v>
      </c>
    </row>
    <row r="43" spans="1:2">
      <c r="A43" t="s">
        <v>77</v>
      </c>
      <c r="B43">
        <v>24</v>
      </c>
    </row>
    <row r="44" spans="1:2">
      <c r="A44" t="s">
        <v>80</v>
      </c>
      <c r="B44">
        <v>20</v>
      </c>
    </row>
    <row r="45" spans="1:2">
      <c r="A45" t="s">
        <v>81</v>
      </c>
      <c r="B45">
        <v>20</v>
      </c>
    </row>
    <row r="46" spans="1:2">
      <c r="A46" t="s">
        <v>82</v>
      </c>
      <c r="B46">
        <v>20</v>
      </c>
    </row>
    <row r="47" spans="1:2">
      <c r="A47" t="s">
        <v>83</v>
      </c>
      <c r="B47">
        <v>20</v>
      </c>
    </row>
    <row r="48" spans="1:2">
      <c r="A48" t="s">
        <v>84</v>
      </c>
      <c r="B48">
        <v>20</v>
      </c>
    </row>
    <row r="49" spans="1:2">
      <c r="A49" t="s">
        <v>85</v>
      </c>
      <c r="B49">
        <v>20</v>
      </c>
    </row>
    <row r="50" spans="1:2">
      <c r="A50" t="s">
        <v>86</v>
      </c>
      <c r="B50">
        <v>20</v>
      </c>
    </row>
    <row r="51" spans="1:2">
      <c r="A51" t="s">
        <v>376</v>
      </c>
    </row>
    <row r="52" spans="1:2">
      <c r="A52" t="s">
        <v>87</v>
      </c>
      <c r="B52">
        <v>20</v>
      </c>
    </row>
    <row r="53" spans="1:2">
      <c r="A53" t="s">
        <v>377</v>
      </c>
    </row>
    <row r="54" spans="1:2">
      <c r="A54" t="s">
        <v>88</v>
      </c>
      <c r="B54">
        <v>20</v>
      </c>
    </row>
    <row r="55" spans="1:2">
      <c r="A55" t="s">
        <v>89</v>
      </c>
      <c r="B55">
        <v>16</v>
      </c>
    </row>
    <row r="56" spans="1:2">
      <c r="A56" t="s">
        <v>90</v>
      </c>
      <c r="B56">
        <v>20</v>
      </c>
    </row>
    <row r="57" spans="1:2">
      <c r="A57" t="s">
        <v>378</v>
      </c>
      <c r="B57">
        <v>12</v>
      </c>
    </row>
    <row r="58" spans="1:2">
      <c r="A58" t="s">
        <v>91</v>
      </c>
      <c r="B58">
        <v>24</v>
      </c>
    </row>
    <row r="59" spans="1:2">
      <c r="A59" t="s">
        <v>379</v>
      </c>
    </row>
    <row r="60" spans="1:2">
      <c r="A60" t="s">
        <v>92</v>
      </c>
      <c r="B60">
        <v>24</v>
      </c>
    </row>
    <row r="61" spans="1:2">
      <c r="A61" t="s">
        <v>93</v>
      </c>
      <c r="B61">
        <v>24</v>
      </c>
    </row>
    <row r="62" spans="1:2">
      <c r="A62" t="s">
        <v>94</v>
      </c>
      <c r="B62">
        <v>24</v>
      </c>
    </row>
    <row r="63" spans="1:2">
      <c r="A63" t="s">
        <v>380</v>
      </c>
    </row>
    <row r="64" spans="1:2">
      <c r="A64" t="s">
        <v>95</v>
      </c>
      <c r="B64">
        <v>24</v>
      </c>
    </row>
    <row r="65" spans="1:2">
      <c r="A65" t="s">
        <v>96</v>
      </c>
      <c r="B65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BFDC-6DC9-224E-B3AA-784EF4B74D1E}">
  <dimension ref="A1:CH462"/>
  <sheetViews>
    <sheetView topLeftCell="A296" zoomScale="131" workbookViewId="0">
      <selection activeCell="C313" sqref="C313:C331"/>
    </sheetView>
  </sheetViews>
  <sheetFormatPr baseColWidth="10" defaultRowHeight="16"/>
  <sheetData>
    <row r="1" spans="1:17">
      <c r="A1" t="s">
        <v>294</v>
      </c>
      <c r="B1" t="s">
        <v>295</v>
      </c>
      <c r="C1" t="s">
        <v>298</v>
      </c>
      <c r="D1" t="s">
        <v>296</v>
      </c>
    </row>
    <row r="2" spans="1:17">
      <c r="A2" s="30" t="s">
        <v>297</v>
      </c>
      <c r="B2" s="30">
        <v>260</v>
      </c>
      <c r="C2" s="30" t="str">
        <f>_xlfn.CONCAT(A2,"-m",B2)</f>
        <v>CD5-m260</v>
      </c>
      <c r="D2" s="7">
        <v>20.088000000000001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>
      <c r="A3" s="30" t="s">
        <v>297</v>
      </c>
      <c r="B3">
        <v>261</v>
      </c>
      <c r="C3" s="30" t="str">
        <f t="shared" ref="C3:C53" si="0">_xlfn.CONCAT(A3,"-m",B3)</f>
        <v>CD5-m261</v>
      </c>
      <c r="D3" s="7">
        <v>40.241900000000001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>
      <c r="A4" s="30" t="s">
        <v>297</v>
      </c>
      <c r="B4" s="30">
        <v>263</v>
      </c>
      <c r="C4" s="30" t="str">
        <f t="shared" si="0"/>
        <v>CD5-m263</v>
      </c>
      <c r="D4" s="7">
        <v>32.966000000000001</v>
      </c>
    </row>
    <row r="5" spans="1:17">
      <c r="A5" s="30" t="s">
        <v>297</v>
      </c>
      <c r="B5" s="30">
        <v>264</v>
      </c>
      <c r="C5" s="30" t="str">
        <f t="shared" si="0"/>
        <v>CD5-m264</v>
      </c>
      <c r="D5" s="7">
        <v>18.200299999999999</v>
      </c>
    </row>
    <row r="6" spans="1:17">
      <c r="A6" s="30" t="s">
        <v>297</v>
      </c>
      <c r="B6" s="30">
        <v>265</v>
      </c>
      <c r="C6" s="30" t="str">
        <f t="shared" si="0"/>
        <v>CD5-m265</v>
      </c>
      <c r="D6" s="7">
        <v>37.9099</v>
      </c>
    </row>
    <row r="7" spans="1:17">
      <c r="A7" s="30" t="s">
        <v>297</v>
      </c>
      <c r="B7" s="30">
        <v>266</v>
      </c>
      <c r="C7" s="30" t="str">
        <f t="shared" si="0"/>
        <v>CD5-m266</v>
      </c>
      <c r="D7" s="7">
        <v>49.792400000000001</v>
      </c>
    </row>
    <row r="8" spans="1:17">
      <c r="A8" s="30" t="s">
        <v>297</v>
      </c>
      <c r="B8" s="30">
        <v>267</v>
      </c>
      <c r="C8" s="30" t="str">
        <f t="shared" si="0"/>
        <v>CD5-m267</v>
      </c>
      <c r="D8" s="7">
        <v>41.977400000000003</v>
      </c>
    </row>
    <row r="9" spans="1:17">
      <c r="A9" s="30" t="s">
        <v>297</v>
      </c>
      <c r="B9" s="30">
        <v>269</v>
      </c>
      <c r="C9" s="30" t="str">
        <f t="shared" si="0"/>
        <v>CD5-m269</v>
      </c>
      <c r="D9" s="7">
        <v>33.626800000000003</v>
      </c>
    </row>
    <row r="10" spans="1:17">
      <c r="A10" s="30" t="s">
        <v>297</v>
      </c>
      <c r="B10" s="30">
        <v>270</v>
      </c>
      <c r="C10" s="30" t="str">
        <f t="shared" si="0"/>
        <v>CD5-m270</v>
      </c>
      <c r="D10" s="7">
        <v>50.444299999999998</v>
      </c>
    </row>
    <row r="11" spans="1:17">
      <c r="A11" s="30" t="s">
        <v>297</v>
      </c>
      <c r="B11" s="30">
        <v>271</v>
      </c>
      <c r="C11" s="30" t="str">
        <f t="shared" si="0"/>
        <v>CD5-m271</v>
      </c>
      <c r="D11" s="7">
        <v>15.9094</v>
      </c>
    </row>
    <row r="12" spans="1:17">
      <c r="A12" s="30" t="s">
        <v>297</v>
      </c>
      <c r="B12" s="30">
        <v>272</v>
      </c>
      <c r="C12" s="30" t="str">
        <f t="shared" si="0"/>
        <v>CD5-m272</v>
      </c>
      <c r="D12" s="7">
        <v>32.744700000000002</v>
      </c>
    </row>
    <row r="13" spans="1:17">
      <c r="A13" s="30" t="s">
        <v>297</v>
      </c>
      <c r="B13" s="30">
        <v>273</v>
      </c>
      <c r="C13" s="30" t="str">
        <f t="shared" si="0"/>
        <v>CD5-m273</v>
      </c>
      <c r="D13" s="7">
        <v>70.494699999999995</v>
      </c>
    </row>
    <row r="14" spans="1:17">
      <c r="A14" s="30" t="s">
        <v>297</v>
      </c>
      <c r="B14" s="30">
        <v>281</v>
      </c>
      <c r="C14" s="30" t="str">
        <f t="shared" si="0"/>
        <v>CD5-m281</v>
      </c>
      <c r="D14" s="7">
        <v>109.98560000000001</v>
      </c>
    </row>
    <row r="15" spans="1:17">
      <c r="A15" s="30" t="s">
        <v>297</v>
      </c>
      <c r="B15" s="30">
        <v>282</v>
      </c>
      <c r="C15" s="30" t="str">
        <f t="shared" si="0"/>
        <v>CD5-m282</v>
      </c>
      <c r="D15" s="7">
        <v>41.886699999999998</v>
      </c>
    </row>
    <row r="16" spans="1:17">
      <c r="A16" s="30" t="s">
        <v>297</v>
      </c>
      <c r="B16" s="30">
        <v>284</v>
      </c>
      <c r="C16" s="30" t="str">
        <f t="shared" si="0"/>
        <v>CD5-m284</v>
      </c>
      <c r="D16" s="7">
        <v>77.415400000000005</v>
      </c>
    </row>
    <row r="17" spans="1:4">
      <c r="A17" s="30" t="s">
        <v>297</v>
      </c>
      <c r="B17" s="30">
        <v>285</v>
      </c>
      <c r="C17" s="30" t="str">
        <f t="shared" si="0"/>
        <v>CD5-m285</v>
      </c>
      <c r="D17" s="7">
        <v>98.299800000000005</v>
      </c>
    </row>
    <row r="18" spans="1:4">
      <c r="A18" s="30" t="s">
        <v>299</v>
      </c>
      <c r="B18" s="30">
        <v>861</v>
      </c>
      <c r="C18" s="30" t="str">
        <f t="shared" si="0"/>
        <v>CD10-m861</v>
      </c>
      <c r="D18" s="7">
        <v>166.37209999999999</v>
      </c>
    </row>
    <row r="19" spans="1:4">
      <c r="A19" s="30" t="s">
        <v>299</v>
      </c>
      <c r="B19" s="30">
        <v>863</v>
      </c>
      <c r="C19" s="30" t="str">
        <f t="shared" si="0"/>
        <v>CD10-m863</v>
      </c>
      <c r="D19" s="7">
        <v>129.60149999999999</v>
      </c>
    </row>
    <row r="20" spans="1:4">
      <c r="A20" s="30" t="s">
        <v>299</v>
      </c>
      <c r="B20" s="30">
        <v>864</v>
      </c>
      <c r="C20" s="30" t="str">
        <f t="shared" si="0"/>
        <v>CD10-m864</v>
      </c>
      <c r="D20" s="7">
        <v>140.24780000000001</v>
      </c>
    </row>
    <row r="21" spans="1:4">
      <c r="A21" s="30" t="s">
        <v>299</v>
      </c>
      <c r="B21" s="30">
        <v>865</v>
      </c>
      <c r="C21" s="30" t="str">
        <f t="shared" si="0"/>
        <v>CD10-m865</v>
      </c>
      <c r="D21" s="7">
        <v>137.71109999999999</v>
      </c>
    </row>
    <row r="22" spans="1:4">
      <c r="A22" s="30" t="s">
        <v>299</v>
      </c>
      <c r="B22" s="30">
        <v>866</v>
      </c>
      <c r="C22" s="30" t="str">
        <f t="shared" si="0"/>
        <v>CD10-m866</v>
      </c>
      <c r="D22" s="7">
        <v>185.0607</v>
      </c>
    </row>
    <row r="23" spans="1:4">
      <c r="A23" s="30" t="s">
        <v>299</v>
      </c>
      <c r="B23" s="30">
        <v>867</v>
      </c>
      <c r="C23" s="30" t="str">
        <f t="shared" si="0"/>
        <v>CD10-m867</v>
      </c>
      <c r="D23" s="7">
        <v>165.23429999999999</v>
      </c>
    </row>
    <row r="24" spans="1:4">
      <c r="A24" s="30" t="s">
        <v>299</v>
      </c>
      <c r="B24" s="30">
        <v>868</v>
      </c>
      <c r="C24" s="30" t="str">
        <f t="shared" si="0"/>
        <v>CD10-m868</v>
      </c>
      <c r="D24" s="7">
        <v>152.9838</v>
      </c>
    </row>
    <row r="25" spans="1:4">
      <c r="A25" s="30" t="s">
        <v>299</v>
      </c>
      <c r="B25" s="30">
        <v>869</v>
      </c>
      <c r="C25" s="30" t="str">
        <f t="shared" si="0"/>
        <v>CD10-m869</v>
      </c>
      <c r="D25" s="7">
        <v>168.02199999999999</v>
      </c>
    </row>
    <row r="26" spans="1:4">
      <c r="A26" s="30" t="s">
        <v>299</v>
      </c>
      <c r="B26" s="30">
        <v>870</v>
      </c>
      <c r="C26" s="30" t="str">
        <f t="shared" si="0"/>
        <v>CD10-m870</v>
      </c>
      <c r="D26" s="7">
        <v>112.4598</v>
      </c>
    </row>
    <row r="27" spans="1:4">
      <c r="A27" s="30" t="s">
        <v>299</v>
      </c>
      <c r="B27" s="30">
        <v>881</v>
      </c>
      <c r="C27" s="30" t="str">
        <f t="shared" si="0"/>
        <v>CD10-m881</v>
      </c>
      <c r="D27" s="7">
        <v>74.972399999999993</v>
      </c>
    </row>
    <row r="28" spans="1:4">
      <c r="A28" s="30" t="s">
        <v>299</v>
      </c>
      <c r="B28" s="30">
        <v>882</v>
      </c>
      <c r="C28" s="30" t="str">
        <f t="shared" si="0"/>
        <v>CD10-m882</v>
      </c>
      <c r="D28" s="7">
        <v>57.543700000000001</v>
      </c>
    </row>
    <row r="29" spans="1:4">
      <c r="A29" s="30" t="s">
        <v>299</v>
      </c>
      <c r="B29" s="30">
        <v>883</v>
      </c>
      <c r="C29" s="30" t="str">
        <f t="shared" si="0"/>
        <v>CD10-m883</v>
      </c>
      <c r="D29" s="7">
        <v>70.523600000000002</v>
      </c>
    </row>
    <row r="30" spans="1:4">
      <c r="A30" s="30" t="s">
        <v>299</v>
      </c>
      <c r="B30" s="30">
        <v>884</v>
      </c>
      <c r="C30" s="30" t="str">
        <f t="shared" si="0"/>
        <v>CD10-m884</v>
      </c>
      <c r="D30" s="7">
        <v>52.794199999999996</v>
      </c>
    </row>
    <row r="31" spans="1:4">
      <c r="A31" s="30" t="s">
        <v>299</v>
      </c>
      <c r="B31" s="30">
        <v>885</v>
      </c>
      <c r="C31" s="30" t="str">
        <f t="shared" si="0"/>
        <v>CD10-m885</v>
      </c>
      <c r="D31" s="7">
        <v>78.052199999999999</v>
      </c>
    </row>
    <row r="32" spans="1:4">
      <c r="A32" s="30" t="s">
        <v>299</v>
      </c>
      <c r="B32" s="30">
        <v>877</v>
      </c>
      <c r="C32" s="30" t="str">
        <f t="shared" si="0"/>
        <v>CD10-m877</v>
      </c>
      <c r="D32" s="7">
        <v>70.064400000000006</v>
      </c>
    </row>
    <row r="33" spans="1:4">
      <c r="A33" s="30" t="s">
        <v>299</v>
      </c>
      <c r="B33" s="30">
        <v>878</v>
      </c>
      <c r="C33" s="30" t="str">
        <f t="shared" si="0"/>
        <v>CD10-m878</v>
      </c>
      <c r="D33" s="7">
        <v>20.588999999999999</v>
      </c>
    </row>
    <row r="34" spans="1:4">
      <c r="A34" s="30" t="s">
        <v>299</v>
      </c>
      <c r="B34" s="30">
        <v>879</v>
      </c>
      <c r="C34" s="30" t="str">
        <f t="shared" si="0"/>
        <v>CD10-m879</v>
      </c>
      <c r="D34" s="7">
        <v>78.844200000000001</v>
      </c>
    </row>
    <row r="35" spans="1:4">
      <c r="A35" s="30" t="s">
        <v>299</v>
      </c>
      <c r="B35" s="30">
        <v>880</v>
      </c>
      <c r="C35" s="30" t="str">
        <f t="shared" si="0"/>
        <v>CD10-m880</v>
      </c>
      <c r="D35" s="7">
        <v>75.524100000000004</v>
      </c>
    </row>
    <row r="36" spans="1:4">
      <c r="A36" s="30" t="s">
        <v>299</v>
      </c>
      <c r="B36" s="31">
        <v>871</v>
      </c>
      <c r="C36" s="30" t="str">
        <f t="shared" si="0"/>
        <v>CD10-m871</v>
      </c>
      <c r="D36" s="7">
        <v>1.9292</v>
      </c>
    </row>
    <row r="37" spans="1:4">
      <c r="A37" s="30" t="s">
        <v>299</v>
      </c>
      <c r="B37" s="31">
        <v>872</v>
      </c>
      <c r="C37" s="30" t="str">
        <f t="shared" si="0"/>
        <v>CD10-m872</v>
      </c>
      <c r="D37" s="7">
        <v>2.3834</v>
      </c>
    </row>
    <row r="38" spans="1:4">
      <c r="A38" s="30" t="s">
        <v>299</v>
      </c>
      <c r="B38" s="31">
        <v>873</v>
      </c>
      <c r="C38" s="30" t="str">
        <f t="shared" si="0"/>
        <v>CD10-m873</v>
      </c>
      <c r="D38" s="7">
        <v>2.8527999999999998</v>
      </c>
    </row>
    <row r="39" spans="1:4">
      <c r="A39" s="30" t="s">
        <v>299</v>
      </c>
      <c r="B39" s="31">
        <v>874</v>
      </c>
      <c r="C39" s="30" t="str">
        <f t="shared" si="0"/>
        <v>CD10-m874</v>
      </c>
      <c r="D39" s="7">
        <v>2.9828000000000001</v>
      </c>
    </row>
    <row r="40" spans="1:4">
      <c r="A40" s="30" t="s">
        <v>299</v>
      </c>
      <c r="B40" s="31">
        <v>875</v>
      </c>
      <c r="C40" s="30" t="str">
        <f t="shared" si="0"/>
        <v>CD10-m875</v>
      </c>
      <c r="D40" s="7">
        <v>1.0758000000000001</v>
      </c>
    </row>
    <row r="41" spans="1:4">
      <c r="A41" s="30" t="s">
        <v>299</v>
      </c>
      <c r="B41" s="31">
        <v>886</v>
      </c>
      <c r="C41" s="30" t="str">
        <f t="shared" si="0"/>
        <v>CD10-m886</v>
      </c>
      <c r="D41" s="7">
        <v>2.2530000000000001</v>
      </c>
    </row>
    <row r="42" spans="1:4">
      <c r="A42" s="30" t="s">
        <v>299</v>
      </c>
      <c r="B42" s="31">
        <v>887</v>
      </c>
      <c r="C42" s="30" t="str">
        <f t="shared" si="0"/>
        <v>CD10-m887</v>
      </c>
      <c r="D42" s="7">
        <v>2.6555</v>
      </c>
    </row>
    <row r="43" spans="1:4">
      <c r="A43" s="30" t="s">
        <v>299</v>
      </c>
      <c r="B43" s="31">
        <v>888</v>
      </c>
      <c r="C43" s="30" t="str">
        <f t="shared" si="0"/>
        <v>CD10-m888</v>
      </c>
      <c r="D43" s="7">
        <v>3.9266999999999999</v>
      </c>
    </row>
    <row r="44" spans="1:4">
      <c r="A44" s="30" t="s">
        <v>299</v>
      </c>
      <c r="B44" s="31">
        <v>890</v>
      </c>
      <c r="C44" s="30" t="str">
        <f t="shared" si="0"/>
        <v>CD10-m890</v>
      </c>
      <c r="D44" s="7">
        <v>4.4405000000000001</v>
      </c>
    </row>
    <row r="45" spans="1:4">
      <c r="A45" s="30" t="s">
        <v>299</v>
      </c>
      <c r="B45" s="31">
        <v>851</v>
      </c>
      <c r="C45" s="30" t="str">
        <f t="shared" si="0"/>
        <v>CD10-m851</v>
      </c>
      <c r="D45" s="7">
        <v>23.400099999999998</v>
      </c>
    </row>
    <row r="46" spans="1:4">
      <c r="A46" s="30" t="s">
        <v>299</v>
      </c>
      <c r="B46" s="31">
        <v>852</v>
      </c>
      <c r="C46" s="30" t="str">
        <f t="shared" si="0"/>
        <v>CD10-m852</v>
      </c>
      <c r="D46" s="7">
        <v>16.548300000000001</v>
      </c>
    </row>
    <row r="47" spans="1:4">
      <c r="A47" s="30" t="s">
        <v>299</v>
      </c>
      <c r="B47" s="31">
        <v>853</v>
      </c>
      <c r="C47" s="30" t="str">
        <f t="shared" si="0"/>
        <v>CD10-m853</v>
      </c>
      <c r="D47" s="7">
        <v>31.447099999999999</v>
      </c>
    </row>
    <row r="48" spans="1:4">
      <c r="A48" s="30" t="s">
        <v>299</v>
      </c>
      <c r="B48" s="31">
        <v>854</v>
      </c>
      <c r="C48" s="30" t="str">
        <f t="shared" si="0"/>
        <v>CD10-m854</v>
      </c>
      <c r="D48" s="7">
        <v>31.681899999999999</v>
      </c>
    </row>
    <row r="49" spans="1:32">
      <c r="A49" s="30" t="s">
        <v>299</v>
      </c>
      <c r="B49" s="31">
        <v>855</v>
      </c>
      <c r="C49" s="30" t="str">
        <f t="shared" si="0"/>
        <v>CD10-m855</v>
      </c>
      <c r="D49" s="7">
        <v>35.497599999999998</v>
      </c>
    </row>
    <row r="50" spans="1:32">
      <c r="A50" s="30" t="s">
        <v>299</v>
      </c>
      <c r="B50" s="31">
        <v>896</v>
      </c>
      <c r="C50" s="30" t="str">
        <f t="shared" si="0"/>
        <v>CD10-m896</v>
      </c>
      <c r="D50" s="7">
        <v>25.6005</v>
      </c>
    </row>
    <row r="51" spans="1:32">
      <c r="A51" s="30" t="s">
        <v>299</v>
      </c>
      <c r="B51" s="31">
        <v>898</v>
      </c>
      <c r="C51" s="30" t="str">
        <f t="shared" si="0"/>
        <v>CD10-m898</v>
      </c>
      <c r="D51" s="7">
        <v>9.8724000000000007</v>
      </c>
    </row>
    <row r="52" spans="1:32">
      <c r="A52" s="30" t="s">
        <v>299</v>
      </c>
      <c r="B52" s="31">
        <v>899</v>
      </c>
      <c r="C52" s="30" t="str">
        <f t="shared" si="0"/>
        <v>CD10-m899</v>
      </c>
      <c r="D52" s="7">
        <v>36.939100000000003</v>
      </c>
    </row>
    <row r="53" spans="1:32">
      <c r="A53" s="30" t="s">
        <v>299</v>
      </c>
      <c r="B53" s="31">
        <v>900</v>
      </c>
      <c r="C53" s="30" t="str">
        <f t="shared" si="0"/>
        <v>CD10-m900</v>
      </c>
      <c r="D53" s="7">
        <v>42.351599999999998</v>
      </c>
    </row>
    <row r="54" spans="1:32">
      <c r="A54" s="30" t="s">
        <v>300</v>
      </c>
      <c r="B54" s="30" t="s">
        <v>137</v>
      </c>
      <c r="C54" s="30" t="str">
        <f>_xlfn.CONCAT(A54,"-",B54)</f>
        <v>CD20-m004</v>
      </c>
      <c r="D54" s="7">
        <v>15.3163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 spans="1:32">
      <c r="A55" s="30" t="s">
        <v>300</v>
      </c>
      <c r="B55" s="30" t="s">
        <v>138</v>
      </c>
      <c r="C55" s="30" t="str">
        <f t="shared" ref="C55:C118" si="1">_xlfn.CONCAT(A55,"-",B55)</f>
        <v>CD20-m005</v>
      </c>
      <c r="D55" s="7">
        <v>13.9864</v>
      </c>
    </row>
    <row r="56" spans="1:32">
      <c r="A56" s="30" t="s">
        <v>300</v>
      </c>
      <c r="B56" s="30" t="s">
        <v>139</v>
      </c>
      <c r="C56" s="30" t="str">
        <f t="shared" si="1"/>
        <v>CD20-m006</v>
      </c>
      <c r="D56" s="7">
        <v>15.93</v>
      </c>
    </row>
    <row r="57" spans="1:32">
      <c r="A57" s="30" t="s">
        <v>300</v>
      </c>
      <c r="B57" s="30" t="s">
        <v>140</v>
      </c>
      <c r="C57" s="30" t="str">
        <f t="shared" si="1"/>
        <v>CD20-m007</v>
      </c>
      <c r="D57" s="7">
        <v>11.8393</v>
      </c>
    </row>
    <row r="58" spans="1:32">
      <c r="A58" s="30" t="s">
        <v>300</v>
      </c>
      <c r="B58" s="30" t="s">
        <v>141</v>
      </c>
      <c r="C58" s="30" t="str">
        <f t="shared" si="1"/>
        <v>CD20-m008</v>
      </c>
      <c r="D58" s="7">
        <v>14.6341</v>
      </c>
    </row>
    <row r="59" spans="1:32">
      <c r="A59" s="30" t="s">
        <v>300</v>
      </c>
      <c r="B59" s="30" t="s">
        <v>142</v>
      </c>
      <c r="C59" s="30" t="str">
        <f t="shared" si="1"/>
        <v>CD20-m009</v>
      </c>
      <c r="D59" s="7">
        <v>2.3771</v>
      </c>
    </row>
    <row r="60" spans="1:32">
      <c r="A60" s="30" t="s">
        <v>300</v>
      </c>
      <c r="B60" s="30" t="s">
        <v>132</v>
      </c>
      <c r="C60" s="30" t="str">
        <f t="shared" si="1"/>
        <v>CD20-m010</v>
      </c>
      <c r="D60" s="7">
        <v>11.821300000000001</v>
      </c>
    </row>
    <row r="61" spans="1:32">
      <c r="A61" s="30" t="s">
        <v>300</v>
      </c>
      <c r="B61" s="30" t="s">
        <v>133</v>
      </c>
      <c r="C61" s="30" t="str">
        <f t="shared" si="1"/>
        <v>CD20-m011</v>
      </c>
      <c r="D61" s="7">
        <v>17.4849</v>
      </c>
    </row>
    <row r="62" spans="1:32">
      <c r="A62" s="30" t="s">
        <v>300</v>
      </c>
      <c r="B62" s="30" t="s">
        <v>118</v>
      </c>
      <c r="C62" s="30" t="str">
        <f t="shared" si="1"/>
        <v>CD20-m012</v>
      </c>
      <c r="D62" s="7">
        <v>16.798500000000001</v>
      </c>
    </row>
    <row r="63" spans="1:32">
      <c r="A63" s="30" t="s">
        <v>300</v>
      </c>
      <c r="B63" s="30" t="s">
        <v>119</v>
      </c>
      <c r="C63" s="30" t="str">
        <f t="shared" si="1"/>
        <v>CD20-m013</v>
      </c>
      <c r="D63" s="7">
        <v>14.5655</v>
      </c>
    </row>
    <row r="64" spans="1:32">
      <c r="A64" s="30" t="s">
        <v>300</v>
      </c>
      <c r="B64" s="30" t="s">
        <v>143</v>
      </c>
      <c r="C64" s="30" t="str">
        <f t="shared" si="1"/>
        <v>CD20-m029</v>
      </c>
      <c r="D64" s="7">
        <v>4.3733000000000004</v>
      </c>
    </row>
    <row r="65" spans="1:4">
      <c r="A65" s="30" t="s">
        <v>300</v>
      </c>
      <c r="B65" s="30" t="s">
        <v>144</v>
      </c>
      <c r="C65" s="30" t="str">
        <f t="shared" si="1"/>
        <v>CD20-m030</v>
      </c>
      <c r="D65" s="7">
        <v>17.680499999999999</v>
      </c>
    </row>
    <row r="66" spans="1:4">
      <c r="A66" s="30" t="s">
        <v>300</v>
      </c>
      <c r="B66" s="30" t="s">
        <v>145</v>
      </c>
      <c r="C66" s="30" t="str">
        <f t="shared" si="1"/>
        <v>CD20-m031</v>
      </c>
      <c r="D66" s="7">
        <v>19.396899999999999</v>
      </c>
    </row>
    <row r="67" spans="1:4">
      <c r="A67" s="30" t="s">
        <v>300</v>
      </c>
      <c r="B67" s="30" t="s">
        <v>146</v>
      </c>
      <c r="C67" s="30" t="str">
        <f t="shared" si="1"/>
        <v>CD20-m032</v>
      </c>
      <c r="D67" s="7">
        <v>12.42</v>
      </c>
    </row>
    <row r="68" spans="1:4">
      <c r="A68" s="30" t="s">
        <v>300</v>
      </c>
      <c r="B68" s="30" t="s">
        <v>147</v>
      </c>
      <c r="C68" s="30" t="str">
        <f t="shared" si="1"/>
        <v>CD20-m033</v>
      </c>
      <c r="D68" s="7">
        <v>20.805199999999999</v>
      </c>
    </row>
    <row r="69" spans="1:4">
      <c r="A69" s="30" t="s">
        <v>300</v>
      </c>
      <c r="B69" s="30" t="s">
        <v>123</v>
      </c>
      <c r="C69" s="30" t="str">
        <f t="shared" si="1"/>
        <v>CD20-m014</v>
      </c>
      <c r="D69" s="7">
        <v>56.426900000000003</v>
      </c>
    </row>
    <row r="70" spans="1:4">
      <c r="A70" s="30" t="s">
        <v>300</v>
      </c>
      <c r="B70" s="30" t="s">
        <v>124</v>
      </c>
      <c r="C70" s="30" t="str">
        <f t="shared" si="1"/>
        <v>CD20-m016</v>
      </c>
      <c r="D70" s="7">
        <v>39.023099999999999</v>
      </c>
    </row>
    <row r="71" spans="1:4">
      <c r="A71" s="30" t="s">
        <v>300</v>
      </c>
      <c r="B71" s="30" t="s">
        <v>125</v>
      </c>
      <c r="C71" s="30" t="str">
        <f t="shared" si="1"/>
        <v>CD20-m018</v>
      </c>
      <c r="D71" s="7">
        <v>55.668100000000003</v>
      </c>
    </row>
    <row r="72" spans="1:4">
      <c r="A72" s="30" t="s">
        <v>300</v>
      </c>
      <c r="B72" s="30" t="s">
        <v>126</v>
      </c>
      <c r="C72" s="30" t="str">
        <f t="shared" si="1"/>
        <v>CD20-m020</v>
      </c>
      <c r="D72" s="7">
        <v>59.914099999999998</v>
      </c>
    </row>
    <row r="73" spans="1:4">
      <c r="A73" s="30" t="s">
        <v>300</v>
      </c>
      <c r="B73" s="30" t="s">
        <v>127</v>
      </c>
      <c r="C73" s="30" t="str">
        <f t="shared" si="1"/>
        <v>CD20-m021</v>
      </c>
      <c r="D73" s="7">
        <v>74.613299999999995</v>
      </c>
    </row>
    <row r="74" spans="1:4">
      <c r="A74" s="30" t="s">
        <v>300</v>
      </c>
      <c r="B74" s="30" t="s">
        <v>120</v>
      </c>
      <c r="C74" s="30" t="str">
        <f t="shared" si="1"/>
        <v>CD20-m022</v>
      </c>
      <c r="D74" s="7">
        <v>39.688000000000002</v>
      </c>
    </row>
    <row r="75" spans="1:4">
      <c r="A75" s="30" t="s">
        <v>300</v>
      </c>
      <c r="B75" s="30" t="s">
        <v>121</v>
      </c>
      <c r="C75" s="30" t="str">
        <f t="shared" si="1"/>
        <v>CD20-m023</v>
      </c>
      <c r="D75" s="7">
        <v>49.747900000000001</v>
      </c>
    </row>
    <row r="76" spans="1:4">
      <c r="A76" s="30" t="s">
        <v>300</v>
      </c>
      <c r="B76" s="30" t="s">
        <v>122</v>
      </c>
      <c r="C76" s="30" t="str">
        <f t="shared" si="1"/>
        <v>CD20-m026</v>
      </c>
      <c r="D76" s="7">
        <v>49.630800000000001</v>
      </c>
    </row>
    <row r="77" spans="1:4">
      <c r="A77" s="30" t="s">
        <v>300</v>
      </c>
      <c r="B77" s="30" t="s">
        <v>128</v>
      </c>
      <c r="C77" s="30" t="str">
        <f t="shared" si="1"/>
        <v>CD20-m027</v>
      </c>
      <c r="D77" s="7">
        <v>45.046700000000001</v>
      </c>
    </row>
    <row r="78" spans="1:4">
      <c r="A78" s="30" t="s">
        <v>300</v>
      </c>
      <c r="B78" s="30" t="s">
        <v>129</v>
      </c>
      <c r="C78" s="30" t="str">
        <f t="shared" si="1"/>
        <v>CD20-m028</v>
      </c>
      <c r="D78" s="7">
        <v>65.932000000000002</v>
      </c>
    </row>
    <row r="79" spans="1:4">
      <c r="A79" s="30" t="s">
        <v>300</v>
      </c>
      <c r="B79" s="30" t="s">
        <v>130</v>
      </c>
      <c r="C79" s="30" t="str">
        <f t="shared" si="1"/>
        <v>CD20-m034</v>
      </c>
      <c r="D79" s="7">
        <v>69.819299999999998</v>
      </c>
    </row>
    <row r="80" spans="1:4">
      <c r="A80" s="30" t="s">
        <v>300</v>
      </c>
      <c r="B80" s="30" t="s">
        <v>301</v>
      </c>
      <c r="C80" s="30" t="str">
        <f t="shared" si="1"/>
        <v>CD20-m036</v>
      </c>
      <c r="D80" s="7">
        <v>8.2527000000000008</v>
      </c>
    </row>
    <row r="81" spans="1:23">
      <c r="A81" s="30" t="s">
        <v>300</v>
      </c>
      <c r="B81" s="30" t="s">
        <v>131</v>
      </c>
      <c r="C81" s="30" t="str">
        <f>_xlfn.CONCAT(A81,"-",B81)</f>
        <v>CD20-m038</v>
      </c>
      <c r="D81" s="7">
        <v>77.971800000000002</v>
      </c>
    </row>
    <row r="82" spans="1:23">
      <c r="A82" s="30" t="s">
        <v>302</v>
      </c>
      <c r="B82" s="30" t="s">
        <v>114</v>
      </c>
      <c r="C82" s="30" t="str">
        <f t="shared" si="1"/>
        <v>CD21-m998</v>
      </c>
      <c r="D82" s="7">
        <v>182.155</v>
      </c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spans="1:23">
      <c r="A83" s="30" t="s">
        <v>302</v>
      </c>
      <c r="B83" s="30" t="s">
        <v>115</v>
      </c>
      <c r="C83" s="30" t="str">
        <f t="shared" si="1"/>
        <v>CD21-m999</v>
      </c>
      <c r="D83" s="7">
        <v>204.03909999999999</v>
      </c>
    </row>
    <row r="84" spans="1:23">
      <c r="A84" s="30" t="s">
        <v>302</v>
      </c>
      <c r="B84" s="30" t="s">
        <v>116</v>
      </c>
      <c r="C84" s="30" t="str">
        <f t="shared" si="1"/>
        <v>CD21-m002</v>
      </c>
      <c r="D84" s="7">
        <v>152.66999999999999</v>
      </c>
    </row>
    <row r="85" spans="1:23">
      <c r="A85" s="30" t="s">
        <v>302</v>
      </c>
      <c r="B85" s="30" t="s">
        <v>117</v>
      </c>
      <c r="C85" s="30" t="str">
        <f t="shared" si="1"/>
        <v>CD21-m003</v>
      </c>
      <c r="D85" s="7">
        <v>159.57749999999999</v>
      </c>
    </row>
    <row r="86" spans="1:23">
      <c r="A86" s="30" t="s">
        <v>302</v>
      </c>
      <c r="B86" s="30" t="s">
        <v>137</v>
      </c>
      <c r="C86" s="30" t="str">
        <f t="shared" si="1"/>
        <v>CD21-m004</v>
      </c>
      <c r="D86" s="7">
        <v>106.9328</v>
      </c>
    </row>
    <row r="87" spans="1:23">
      <c r="A87" s="30" t="s">
        <v>302</v>
      </c>
      <c r="B87" s="30" t="s">
        <v>139</v>
      </c>
      <c r="C87" s="30" t="str">
        <f t="shared" si="1"/>
        <v>CD21-m006</v>
      </c>
      <c r="D87" s="7">
        <v>193.23</v>
      </c>
    </row>
    <row r="88" spans="1:23">
      <c r="A88" s="30" t="s">
        <v>302</v>
      </c>
      <c r="B88" s="30" t="s">
        <v>140</v>
      </c>
      <c r="C88" s="30" t="str">
        <f t="shared" si="1"/>
        <v>CD21-m007</v>
      </c>
      <c r="D88" s="7">
        <v>149.745</v>
      </c>
    </row>
    <row r="89" spans="1:23">
      <c r="A89" s="30" t="s">
        <v>302</v>
      </c>
      <c r="B89" s="30" t="s">
        <v>141</v>
      </c>
      <c r="C89" s="30" t="str">
        <f t="shared" si="1"/>
        <v>CD21-m008</v>
      </c>
      <c r="D89" s="7">
        <v>157.4675</v>
      </c>
    </row>
    <row r="90" spans="1:23">
      <c r="A90" s="30" t="s">
        <v>302</v>
      </c>
      <c r="B90" s="30" t="s">
        <v>142</v>
      </c>
      <c r="C90" s="30" t="str">
        <f t="shared" si="1"/>
        <v>CD21-m009</v>
      </c>
      <c r="D90" s="7">
        <v>189.24</v>
      </c>
    </row>
    <row r="91" spans="1:23">
      <c r="A91" s="30" t="s">
        <v>302</v>
      </c>
      <c r="B91" s="30" t="s">
        <v>132</v>
      </c>
      <c r="C91" s="30" t="str">
        <f t="shared" si="1"/>
        <v>CD21-m010</v>
      </c>
      <c r="D91" s="7">
        <v>185.36500000000001</v>
      </c>
    </row>
    <row r="92" spans="1:23">
      <c r="A92" s="30" t="s">
        <v>302</v>
      </c>
      <c r="B92" s="30" t="s">
        <v>133</v>
      </c>
      <c r="C92" s="30" t="str">
        <f t="shared" si="1"/>
        <v>CD21-m011</v>
      </c>
      <c r="D92" s="7">
        <v>203.3922</v>
      </c>
    </row>
    <row r="93" spans="1:23">
      <c r="A93" s="30" t="s">
        <v>302</v>
      </c>
      <c r="B93" s="30" t="s">
        <v>123</v>
      </c>
      <c r="C93" s="30" t="str">
        <f t="shared" si="1"/>
        <v>CD21-m014</v>
      </c>
      <c r="D93" s="7">
        <v>234.26130000000001</v>
      </c>
    </row>
    <row r="94" spans="1:23">
      <c r="A94" s="30" t="s">
        <v>302</v>
      </c>
      <c r="B94" s="30" t="s">
        <v>134</v>
      </c>
      <c r="C94" s="30" t="str">
        <f t="shared" si="1"/>
        <v>CD21-m015</v>
      </c>
      <c r="D94" s="7">
        <v>199.01130000000001</v>
      </c>
    </row>
    <row r="95" spans="1:23">
      <c r="A95" s="30" t="s">
        <v>302</v>
      </c>
      <c r="B95" s="30" t="s">
        <v>124</v>
      </c>
      <c r="C95" s="30" t="str">
        <f t="shared" si="1"/>
        <v>CD21-m016</v>
      </c>
      <c r="D95" s="7">
        <v>96.848399999999998</v>
      </c>
    </row>
    <row r="96" spans="1:23">
      <c r="A96" s="30" t="s">
        <v>302</v>
      </c>
      <c r="B96" s="30" t="s">
        <v>135</v>
      </c>
      <c r="C96" s="30" t="str">
        <f t="shared" si="1"/>
        <v>CD21-m017</v>
      </c>
      <c r="D96" s="7">
        <v>177.065</v>
      </c>
    </row>
    <row r="97" spans="1:77">
      <c r="A97" s="30" t="s">
        <v>302</v>
      </c>
      <c r="B97" s="30" t="s">
        <v>125</v>
      </c>
      <c r="C97" s="30" t="str">
        <f t="shared" si="1"/>
        <v>CD21-m018</v>
      </c>
      <c r="D97" s="7">
        <v>180.40299999999999</v>
      </c>
    </row>
    <row r="98" spans="1:77">
      <c r="A98" s="30" t="s">
        <v>302</v>
      </c>
      <c r="B98" s="30" t="s">
        <v>136</v>
      </c>
      <c r="C98" s="30" t="str">
        <f t="shared" si="1"/>
        <v>CD21-m019</v>
      </c>
      <c r="D98" s="7">
        <v>175.8484</v>
      </c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</row>
    <row r="99" spans="1:77">
      <c r="A99" s="30" t="s">
        <v>302</v>
      </c>
      <c r="B99" s="30" t="s">
        <v>126</v>
      </c>
      <c r="C99" s="30" t="str">
        <f t="shared" si="1"/>
        <v>CD21-m020</v>
      </c>
      <c r="D99" s="7">
        <v>162.54750000000001</v>
      </c>
    </row>
    <row r="100" spans="1:77">
      <c r="A100" s="30" t="s">
        <v>353</v>
      </c>
      <c r="B100" s="30" t="s">
        <v>303</v>
      </c>
      <c r="C100" s="30" t="str">
        <f t="shared" si="1"/>
        <v>CD27-m739</v>
      </c>
      <c r="D100" s="7">
        <v>12.9986</v>
      </c>
    </row>
    <row r="101" spans="1:77">
      <c r="A101" s="30" t="s">
        <v>353</v>
      </c>
      <c r="B101" s="30" t="s">
        <v>304</v>
      </c>
      <c r="C101" s="30" t="str">
        <f t="shared" si="1"/>
        <v>CD27-m740</v>
      </c>
      <c r="D101" s="7">
        <v>17.235399999999998</v>
      </c>
    </row>
    <row r="102" spans="1:77">
      <c r="A102" s="30" t="s">
        <v>353</v>
      </c>
      <c r="B102" s="30" t="s">
        <v>305</v>
      </c>
      <c r="C102" s="30" t="str">
        <f t="shared" si="1"/>
        <v>CD27-m741</v>
      </c>
      <c r="D102" s="7">
        <v>29.838200000000001</v>
      </c>
    </row>
    <row r="103" spans="1:77">
      <c r="A103" s="30" t="s">
        <v>353</v>
      </c>
      <c r="B103" s="30" t="s">
        <v>306</v>
      </c>
      <c r="C103" s="30" t="str">
        <f t="shared" si="1"/>
        <v>CD27-m742</v>
      </c>
      <c r="D103" s="7">
        <v>38.612099999999998</v>
      </c>
    </row>
    <row r="104" spans="1:77">
      <c r="A104" s="30" t="s">
        <v>353</v>
      </c>
      <c r="B104" s="30" t="s">
        <v>307</v>
      </c>
      <c r="C104" s="30" t="str">
        <f t="shared" si="1"/>
        <v>CD27-m743</v>
      </c>
      <c r="D104" s="7">
        <v>60.939399999999999</v>
      </c>
    </row>
    <row r="105" spans="1:77">
      <c r="A105" s="30" t="s">
        <v>353</v>
      </c>
      <c r="B105" s="30" t="s">
        <v>308</v>
      </c>
      <c r="C105" s="30" t="str">
        <f t="shared" si="1"/>
        <v>CD27-m744</v>
      </c>
      <c r="D105" s="7">
        <v>21.8675</v>
      </c>
    </row>
    <row r="106" spans="1:77">
      <c r="A106" s="30" t="s">
        <v>353</v>
      </c>
      <c r="B106" s="30" t="s">
        <v>309</v>
      </c>
      <c r="C106" s="30" t="str">
        <f t="shared" si="1"/>
        <v>CD27-m746</v>
      </c>
      <c r="D106" s="7">
        <v>24.811499999999999</v>
      </c>
    </row>
    <row r="107" spans="1:77">
      <c r="A107" s="30" t="s">
        <v>353</v>
      </c>
      <c r="B107" s="30" t="s">
        <v>310</v>
      </c>
      <c r="C107" s="30" t="str">
        <f t="shared" si="1"/>
        <v>CD27-m747</v>
      </c>
      <c r="D107" s="7">
        <v>19.161000000000001</v>
      </c>
    </row>
    <row r="108" spans="1:77">
      <c r="A108" s="30" t="s">
        <v>353</v>
      </c>
      <c r="B108" s="30" t="s">
        <v>163</v>
      </c>
      <c r="C108" s="30" t="str">
        <f t="shared" si="1"/>
        <v>CD27-m773</v>
      </c>
      <c r="D108" s="7">
        <v>45.872700000000002</v>
      </c>
    </row>
    <row r="109" spans="1:77">
      <c r="A109" s="30" t="s">
        <v>353</v>
      </c>
      <c r="B109" s="30" t="s">
        <v>164</v>
      </c>
      <c r="C109" s="30" t="str">
        <f t="shared" si="1"/>
        <v>CD27-m774</v>
      </c>
      <c r="D109" s="7">
        <v>52.709200000000003</v>
      </c>
    </row>
    <row r="110" spans="1:77">
      <c r="A110" s="30" t="s">
        <v>353</v>
      </c>
      <c r="B110" s="30" t="s">
        <v>165</v>
      </c>
      <c r="C110" s="30" t="str">
        <f t="shared" si="1"/>
        <v>CD27-m776</v>
      </c>
      <c r="D110" s="7">
        <v>35.468600000000002</v>
      </c>
    </row>
    <row r="111" spans="1:77">
      <c r="A111" s="30" t="s">
        <v>353</v>
      </c>
      <c r="B111" s="30" t="s">
        <v>166</v>
      </c>
      <c r="C111" s="30" t="str">
        <f t="shared" si="1"/>
        <v>CD27-m777</v>
      </c>
      <c r="D111" s="7">
        <v>29.818100000000001</v>
      </c>
    </row>
    <row r="112" spans="1:77">
      <c r="A112" s="30" t="s">
        <v>353</v>
      </c>
      <c r="B112" s="30" t="s">
        <v>167</v>
      </c>
      <c r="C112" s="30" t="str">
        <f t="shared" si="1"/>
        <v>CD27-m778</v>
      </c>
      <c r="D112" s="7">
        <v>232.88679999999999</v>
      </c>
    </row>
    <row r="113" spans="1:4">
      <c r="A113" s="30" t="s">
        <v>353</v>
      </c>
      <c r="B113" s="30" t="s">
        <v>168</v>
      </c>
      <c r="C113" s="30" t="str">
        <f t="shared" si="1"/>
        <v>CD27-m779</v>
      </c>
      <c r="D113" s="7">
        <v>3.3914</v>
      </c>
    </row>
    <row r="114" spans="1:4">
      <c r="A114" s="30" t="s">
        <v>353</v>
      </c>
      <c r="B114" s="30" t="s">
        <v>169</v>
      </c>
      <c r="C114" s="30" t="str">
        <f t="shared" si="1"/>
        <v>CD27-m780</v>
      </c>
      <c r="D114" s="7">
        <v>50.991500000000002</v>
      </c>
    </row>
    <row r="115" spans="1:4">
      <c r="A115" s="30" t="s">
        <v>353</v>
      </c>
      <c r="B115" s="30" t="s">
        <v>170</v>
      </c>
      <c r="C115" s="30" t="str">
        <f t="shared" si="1"/>
        <v>CD27-m781</v>
      </c>
      <c r="D115" s="7">
        <v>38.762599999999999</v>
      </c>
    </row>
    <row r="116" spans="1:4">
      <c r="A116" s="30" t="s">
        <v>353</v>
      </c>
      <c r="B116" s="30" t="s">
        <v>311</v>
      </c>
      <c r="C116" s="30" t="str">
        <f t="shared" si="1"/>
        <v>CD27-m764</v>
      </c>
      <c r="D116" s="7">
        <v>1.8391</v>
      </c>
    </row>
    <row r="117" spans="1:4">
      <c r="A117" s="30" t="s">
        <v>353</v>
      </c>
      <c r="B117" s="30" t="s">
        <v>312</v>
      </c>
      <c r="C117" s="30" t="str">
        <f t="shared" si="1"/>
        <v>CD27-m765</v>
      </c>
      <c r="D117" s="7">
        <v>5.9958999999999998</v>
      </c>
    </row>
    <row r="118" spans="1:4">
      <c r="A118" s="30" t="s">
        <v>353</v>
      </c>
      <c r="B118" s="30" t="s">
        <v>313</v>
      </c>
      <c r="C118" s="30" t="str">
        <f t="shared" si="1"/>
        <v>CD27-m766</v>
      </c>
      <c r="D118" s="7">
        <v>4.9699</v>
      </c>
    </row>
    <row r="119" spans="1:4">
      <c r="A119" s="30" t="s">
        <v>353</v>
      </c>
      <c r="B119" s="30" t="s">
        <v>314</v>
      </c>
      <c r="C119" s="30" t="str">
        <f t="shared" ref="C119:C171" si="2">_xlfn.CONCAT(A119,"-",B119)</f>
        <v>CD27-m767</v>
      </c>
      <c r="D119" s="7">
        <v>6.9737</v>
      </c>
    </row>
    <row r="120" spans="1:4">
      <c r="A120" s="30" t="s">
        <v>353</v>
      </c>
      <c r="B120" s="30" t="s">
        <v>315</v>
      </c>
      <c r="C120" s="30" t="str">
        <f t="shared" si="2"/>
        <v>CD27-m768</v>
      </c>
      <c r="D120" s="7">
        <v>2.9918</v>
      </c>
    </row>
    <row r="121" spans="1:4">
      <c r="A121" s="30" t="s">
        <v>353</v>
      </c>
      <c r="B121" s="30" t="s">
        <v>316</v>
      </c>
      <c r="C121" s="30" t="str">
        <f t="shared" si="2"/>
        <v>CD27-m769</v>
      </c>
      <c r="D121" s="7">
        <v>3.5960000000000001</v>
      </c>
    </row>
    <row r="122" spans="1:4">
      <c r="A122" s="30" t="s">
        <v>353</v>
      </c>
      <c r="B122" s="30" t="s">
        <v>317</v>
      </c>
      <c r="C122" s="30" t="str">
        <f t="shared" si="2"/>
        <v>CD27-m770</v>
      </c>
      <c r="D122" s="7">
        <v>7.5647000000000002</v>
      </c>
    </row>
    <row r="123" spans="1:4">
      <c r="A123" s="30" t="s">
        <v>353</v>
      </c>
      <c r="B123" s="30" t="s">
        <v>318</v>
      </c>
      <c r="C123" s="30" t="str">
        <f t="shared" si="2"/>
        <v>CD27-m772</v>
      </c>
      <c r="D123" s="7">
        <v>4.1256000000000004</v>
      </c>
    </row>
    <row r="124" spans="1:4">
      <c r="A124" s="30" t="s">
        <v>353</v>
      </c>
      <c r="B124" s="30" t="s">
        <v>156</v>
      </c>
      <c r="C124" s="30" t="str">
        <f t="shared" si="2"/>
        <v>CD27-m806</v>
      </c>
      <c r="D124" s="7">
        <v>6.0637999999999996</v>
      </c>
    </row>
    <row r="125" spans="1:4">
      <c r="A125" s="30" t="s">
        <v>353</v>
      </c>
      <c r="B125" s="30" t="s">
        <v>157</v>
      </c>
      <c r="C125" s="30" t="str">
        <f t="shared" si="2"/>
        <v>CD27-m807</v>
      </c>
      <c r="D125" s="7">
        <v>5.7481999999999998</v>
      </c>
    </row>
    <row r="126" spans="1:4">
      <c r="A126" s="30" t="s">
        <v>353</v>
      </c>
      <c r="B126" s="30" t="s">
        <v>158</v>
      </c>
      <c r="C126" s="30" t="str">
        <f t="shared" si="2"/>
        <v>CD27-m808</v>
      </c>
      <c r="D126" s="7">
        <v>1.732</v>
      </c>
    </row>
    <row r="127" spans="1:4">
      <c r="A127" s="30" t="s">
        <v>353</v>
      </c>
      <c r="B127" s="30" t="s">
        <v>159</v>
      </c>
      <c r="C127" s="30" t="str">
        <f t="shared" si="2"/>
        <v>CD27-m809</v>
      </c>
      <c r="D127" s="7">
        <v>1.6536</v>
      </c>
    </row>
    <row r="128" spans="1:4">
      <c r="A128" s="30" t="s">
        <v>353</v>
      </c>
      <c r="B128" s="30" t="s">
        <v>160</v>
      </c>
      <c r="C128" s="30" t="str">
        <f t="shared" si="2"/>
        <v>CD27-m810</v>
      </c>
      <c r="D128" s="7">
        <v>2.4628000000000001</v>
      </c>
    </row>
    <row r="129" spans="1:4">
      <c r="A129" s="30" t="s">
        <v>353</v>
      </c>
      <c r="B129" s="30" t="s">
        <v>319</v>
      </c>
      <c r="C129" s="30" t="str">
        <f t="shared" si="2"/>
        <v>CD27-m791</v>
      </c>
      <c r="D129" s="7">
        <v>1.5661</v>
      </c>
    </row>
    <row r="130" spans="1:4">
      <c r="A130" s="30" t="s">
        <v>353</v>
      </c>
      <c r="B130" s="30" t="s">
        <v>161</v>
      </c>
      <c r="C130" s="30" t="str">
        <f t="shared" si="2"/>
        <v>CD27-m756</v>
      </c>
      <c r="D130" s="7">
        <v>4.7881999999999998</v>
      </c>
    </row>
    <row r="131" spans="1:4">
      <c r="A131" s="30" t="s">
        <v>353</v>
      </c>
      <c r="B131" s="30" t="s">
        <v>162</v>
      </c>
      <c r="C131" s="30" t="str">
        <f t="shared" si="2"/>
        <v>CD27-m757</v>
      </c>
      <c r="D131" s="7">
        <v>5.3445</v>
      </c>
    </row>
    <row r="132" spans="1:4">
      <c r="A132" s="30" t="s">
        <v>353</v>
      </c>
      <c r="B132" s="30" t="s">
        <v>344</v>
      </c>
      <c r="C132" s="30" t="str">
        <f t="shared" si="2"/>
        <v>CD27-m748</v>
      </c>
      <c r="D132" s="7">
        <v>48.497799999999998</v>
      </c>
    </row>
    <row r="133" spans="1:4">
      <c r="A133" s="30" t="s">
        <v>353</v>
      </c>
      <c r="B133" s="30" t="s">
        <v>345</v>
      </c>
      <c r="C133" s="30" t="str">
        <f t="shared" si="2"/>
        <v>CD27-m749</v>
      </c>
      <c r="D133" s="7">
        <v>45.756100000000004</v>
      </c>
    </row>
    <row r="134" spans="1:4">
      <c r="A134" s="30" t="s">
        <v>353</v>
      </c>
      <c r="B134" s="30" t="s">
        <v>346</v>
      </c>
      <c r="C134" s="30" t="str">
        <f t="shared" si="2"/>
        <v>CD27-m750</v>
      </c>
      <c r="D134" s="7">
        <v>66.026200000000003</v>
      </c>
    </row>
    <row r="135" spans="1:4">
      <c r="A135" s="30" t="s">
        <v>353</v>
      </c>
      <c r="B135" s="30" t="s">
        <v>347</v>
      </c>
      <c r="C135" s="30" t="str">
        <f t="shared" si="2"/>
        <v>CD27-m751</v>
      </c>
      <c r="D135" s="7">
        <v>99.652100000000004</v>
      </c>
    </row>
    <row r="136" spans="1:4">
      <c r="A136" s="30" t="s">
        <v>353</v>
      </c>
      <c r="B136" s="30" t="s">
        <v>348</v>
      </c>
      <c r="C136" s="30" t="str">
        <f t="shared" si="2"/>
        <v>CD27-m752</v>
      </c>
      <c r="D136" s="7">
        <v>53.896099999999997</v>
      </c>
    </row>
    <row r="137" spans="1:4">
      <c r="A137" s="30" t="s">
        <v>353</v>
      </c>
      <c r="B137" s="30" t="s">
        <v>349</v>
      </c>
      <c r="C137" s="30" t="str">
        <f t="shared" si="2"/>
        <v>CD27-m753</v>
      </c>
      <c r="D137" s="7">
        <v>64.975700000000003</v>
      </c>
    </row>
    <row r="138" spans="1:4">
      <c r="A138" s="30" t="s">
        <v>353</v>
      </c>
      <c r="B138" s="30" t="s">
        <v>350</v>
      </c>
      <c r="C138" s="30" t="str">
        <f t="shared" si="2"/>
        <v>CD27-m754</v>
      </c>
      <c r="D138" s="7">
        <v>70.853499999999997</v>
      </c>
    </row>
    <row r="139" spans="1:4">
      <c r="A139" s="30" t="s">
        <v>353</v>
      </c>
      <c r="B139" s="30" t="s">
        <v>351</v>
      </c>
      <c r="C139" s="30" t="str">
        <f t="shared" si="2"/>
        <v>CD27-m755</v>
      </c>
      <c r="D139" s="7">
        <v>51.021599999999999</v>
      </c>
    </row>
    <row r="140" spans="1:4">
      <c r="A140" s="30" t="s">
        <v>353</v>
      </c>
      <c r="B140" s="30" t="s">
        <v>352</v>
      </c>
      <c r="C140" s="30" t="str">
        <f t="shared" si="2"/>
        <v>CD27-m782</v>
      </c>
      <c r="D140" s="7">
        <v>2.5830000000000002</v>
      </c>
    </row>
    <row r="141" spans="1:4">
      <c r="A141" s="30" t="s">
        <v>353</v>
      </c>
      <c r="B141" s="30" t="s">
        <v>149</v>
      </c>
      <c r="C141" s="30" t="str">
        <f t="shared" si="2"/>
        <v>CD27-m783</v>
      </c>
      <c r="D141" s="7">
        <v>3.4735</v>
      </c>
    </row>
    <row r="142" spans="1:4">
      <c r="A142" s="30" t="s">
        <v>353</v>
      </c>
      <c r="B142" s="30" t="s">
        <v>150</v>
      </c>
      <c r="C142" s="30" t="str">
        <f t="shared" si="2"/>
        <v>CD27-m784</v>
      </c>
      <c r="D142" s="7">
        <v>2.9980000000000002</v>
      </c>
    </row>
    <row r="143" spans="1:4">
      <c r="A143" s="30" t="s">
        <v>353</v>
      </c>
      <c r="B143" s="30" t="s">
        <v>151</v>
      </c>
      <c r="C143" s="30" t="str">
        <f t="shared" si="2"/>
        <v>CD27-m785</v>
      </c>
      <c r="D143" s="7">
        <v>5.5284000000000004</v>
      </c>
    </row>
    <row r="144" spans="1:4">
      <c r="A144" s="30" t="s">
        <v>353</v>
      </c>
      <c r="B144" s="30" t="s">
        <v>152</v>
      </c>
      <c r="C144" s="30" t="str">
        <f t="shared" si="2"/>
        <v>CD27-m786</v>
      </c>
      <c r="D144" s="7">
        <v>5.8067000000000002</v>
      </c>
    </row>
    <row r="145" spans="1:4">
      <c r="A145" s="30" t="s">
        <v>353</v>
      </c>
      <c r="B145" s="30" t="s">
        <v>153</v>
      </c>
      <c r="C145" s="30" t="str">
        <f t="shared" si="2"/>
        <v>CD27-m787</v>
      </c>
      <c r="D145" s="7">
        <v>2.9266999999999999</v>
      </c>
    </row>
    <row r="146" spans="1:4">
      <c r="A146" s="30" t="s">
        <v>353</v>
      </c>
      <c r="B146" s="30" t="s">
        <v>154</v>
      </c>
      <c r="C146" s="30" t="str">
        <f t="shared" si="2"/>
        <v>CD27-m788</v>
      </c>
      <c r="D146" s="7">
        <v>10.6381</v>
      </c>
    </row>
    <row r="147" spans="1:4">
      <c r="A147" s="30" t="s">
        <v>353</v>
      </c>
      <c r="B147" s="30" t="s">
        <v>155</v>
      </c>
      <c r="C147" s="30" t="str">
        <f t="shared" si="2"/>
        <v>CD27-m789</v>
      </c>
      <c r="D147" s="7">
        <v>8.5025999999999993</v>
      </c>
    </row>
    <row r="148" spans="1:4">
      <c r="A148" s="30" t="s">
        <v>353</v>
      </c>
      <c r="B148" s="30" t="s">
        <v>320</v>
      </c>
      <c r="C148" s="30" t="str">
        <f t="shared" si="2"/>
        <v>CD27-m731</v>
      </c>
      <c r="D148" s="7">
        <v>31.424099999999999</v>
      </c>
    </row>
    <row r="149" spans="1:4">
      <c r="A149" s="30" t="s">
        <v>353</v>
      </c>
      <c r="B149" s="30" t="s">
        <v>321</v>
      </c>
      <c r="C149" s="30" t="str">
        <f t="shared" si="2"/>
        <v>CD27-m732</v>
      </c>
      <c r="D149" s="7">
        <v>115.057</v>
      </c>
    </row>
    <row r="150" spans="1:4">
      <c r="A150" s="30" t="s">
        <v>353</v>
      </c>
      <c r="B150" s="30" t="s">
        <v>322</v>
      </c>
      <c r="C150" s="30" t="str">
        <f t="shared" si="2"/>
        <v>CD27-m733</v>
      </c>
      <c r="D150" s="7">
        <v>66.845200000000006</v>
      </c>
    </row>
    <row r="151" spans="1:4">
      <c r="A151" s="30" t="s">
        <v>353</v>
      </c>
      <c r="B151" s="30" t="s">
        <v>323</v>
      </c>
      <c r="C151" s="30" t="str">
        <f t="shared" si="2"/>
        <v>CD27-m734</v>
      </c>
      <c r="D151" s="7">
        <v>79.411500000000004</v>
      </c>
    </row>
    <row r="152" spans="1:4">
      <c r="A152" s="30" t="s">
        <v>353</v>
      </c>
      <c r="B152" s="30" t="s">
        <v>324</v>
      </c>
      <c r="C152" s="30" t="str">
        <f t="shared" si="2"/>
        <v>CD27-m735</v>
      </c>
      <c r="D152" s="7">
        <v>41.034999999999997</v>
      </c>
    </row>
    <row r="153" spans="1:4">
      <c r="A153" s="30" t="s">
        <v>353</v>
      </c>
      <c r="B153" s="30" t="s">
        <v>325</v>
      </c>
      <c r="C153" s="30" t="str">
        <f t="shared" si="2"/>
        <v>CD27-m736</v>
      </c>
      <c r="D153" s="7">
        <v>164.42230000000001</v>
      </c>
    </row>
    <row r="154" spans="1:4">
      <c r="A154" s="30" t="s">
        <v>353</v>
      </c>
      <c r="B154" s="30" t="s">
        <v>326</v>
      </c>
      <c r="C154" s="30" t="str">
        <f t="shared" si="2"/>
        <v>CD27-m737</v>
      </c>
      <c r="D154" s="7">
        <v>108.41119999999999</v>
      </c>
    </row>
    <row r="155" spans="1:4">
      <c r="A155" s="30" t="s">
        <v>353</v>
      </c>
      <c r="B155" s="30" t="s">
        <v>327</v>
      </c>
      <c r="C155" s="30" t="str">
        <f t="shared" si="2"/>
        <v>CD27-m738</v>
      </c>
      <c r="D155" s="7">
        <v>85.667500000000004</v>
      </c>
    </row>
    <row r="156" spans="1:4">
      <c r="A156" s="30" t="s">
        <v>353</v>
      </c>
      <c r="B156" s="30" t="s">
        <v>328</v>
      </c>
      <c r="C156" s="30" t="str">
        <f t="shared" si="2"/>
        <v>CD27-m758</v>
      </c>
      <c r="D156" s="7">
        <v>1.5E-3</v>
      </c>
    </row>
    <row r="157" spans="1:4">
      <c r="A157" s="30" t="s">
        <v>353</v>
      </c>
      <c r="B157" s="30" t="s">
        <v>329</v>
      </c>
      <c r="C157" s="30" t="str">
        <f t="shared" si="2"/>
        <v>CD27-m759</v>
      </c>
      <c r="D157" s="7">
        <v>1.1999999999999999E-3</v>
      </c>
    </row>
    <row r="158" spans="1:4">
      <c r="A158" s="30" t="s">
        <v>353</v>
      </c>
      <c r="B158" s="30" t="s">
        <v>330</v>
      </c>
      <c r="C158" s="30" t="str">
        <f t="shared" si="2"/>
        <v>CD27-m760</v>
      </c>
      <c r="D158" s="7">
        <v>6.9999999999999999E-4</v>
      </c>
    </row>
    <row r="159" spans="1:4">
      <c r="A159" s="30" t="s">
        <v>353</v>
      </c>
      <c r="B159" s="30" t="s">
        <v>331</v>
      </c>
      <c r="C159" s="30" t="str">
        <f t="shared" si="2"/>
        <v>CD27-m761</v>
      </c>
      <c r="D159" s="7">
        <v>6.9999999999999999E-4</v>
      </c>
    </row>
    <row r="160" spans="1:4">
      <c r="A160" s="30" t="s">
        <v>353</v>
      </c>
      <c r="B160" s="30" t="s">
        <v>332</v>
      </c>
      <c r="C160" s="30" t="str">
        <f t="shared" si="2"/>
        <v>CD27-m762</v>
      </c>
      <c r="D160" s="7">
        <v>6.9999999999999999E-4</v>
      </c>
    </row>
    <row r="161" spans="1:86">
      <c r="A161" s="30" t="s">
        <v>353</v>
      </c>
      <c r="B161" s="30" t="s">
        <v>333</v>
      </c>
      <c r="C161" s="30" t="str">
        <f t="shared" si="2"/>
        <v>CD27-m763</v>
      </c>
      <c r="D161" s="7">
        <v>1.1000000000000001E-3</v>
      </c>
    </row>
    <row r="162" spans="1:86">
      <c r="A162" s="30" t="s">
        <v>353</v>
      </c>
      <c r="B162" s="30" t="s">
        <v>334</v>
      </c>
      <c r="C162" s="30" t="str">
        <f t="shared" si="2"/>
        <v>CD27-m804</v>
      </c>
      <c r="D162" s="7">
        <v>1.1999999999999999E-3</v>
      </c>
    </row>
    <row r="163" spans="1:86">
      <c r="A163" s="30" t="s">
        <v>353</v>
      </c>
      <c r="B163" s="30" t="s">
        <v>335</v>
      </c>
      <c r="C163" s="30" t="str">
        <f>_xlfn.CONCAT(A163,"-",B163)</f>
        <v>CD27-m805</v>
      </c>
      <c r="D163" s="7">
        <v>8.0000000000000004E-4</v>
      </c>
    </row>
    <row r="164" spans="1:86">
      <c r="A164" s="30" t="s">
        <v>353</v>
      </c>
      <c r="B164" s="30" t="s">
        <v>336</v>
      </c>
      <c r="C164" s="30" t="str">
        <f t="shared" si="2"/>
        <v>CD27-m796</v>
      </c>
      <c r="D164" s="7">
        <v>0.65369999999999995</v>
      </c>
    </row>
    <row r="165" spans="1:86">
      <c r="A165" s="30" t="s">
        <v>353</v>
      </c>
      <c r="B165" s="30" t="s">
        <v>337</v>
      </c>
      <c r="C165" s="30" t="str">
        <f t="shared" si="2"/>
        <v>CD27-m797</v>
      </c>
      <c r="D165" s="7">
        <v>0.27539999999999998</v>
      </c>
    </row>
    <row r="166" spans="1:86">
      <c r="A166" s="30" t="s">
        <v>353</v>
      </c>
      <c r="B166" s="30" t="s">
        <v>338</v>
      </c>
      <c r="C166" s="30" t="str">
        <f t="shared" si="2"/>
        <v>CD27-m798</v>
      </c>
      <c r="D166" s="7">
        <v>0.24660000000000001</v>
      </c>
    </row>
    <row r="167" spans="1:86">
      <c r="A167" s="30" t="s">
        <v>353</v>
      </c>
      <c r="B167" s="30" t="s">
        <v>339</v>
      </c>
      <c r="C167" s="30" t="str">
        <f t="shared" si="2"/>
        <v>CD27-m799</v>
      </c>
      <c r="D167" s="7">
        <v>0.65049999999999997</v>
      </c>
    </row>
    <row r="168" spans="1:86">
      <c r="A168" s="30" t="s">
        <v>353</v>
      </c>
      <c r="B168" s="30" t="s">
        <v>340</v>
      </c>
      <c r="C168" s="30" t="str">
        <f t="shared" si="2"/>
        <v>CD27-m800</v>
      </c>
      <c r="D168" s="7">
        <v>0.63890000000000002</v>
      </c>
    </row>
    <row r="169" spans="1:86">
      <c r="A169" s="30" t="s">
        <v>353</v>
      </c>
      <c r="B169" s="30" t="s">
        <v>341</v>
      </c>
      <c r="C169" s="30" t="str">
        <f t="shared" si="2"/>
        <v>CD27-m801</v>
      </c>
      <c r="D169" s="7">
        <v>0.74429999999999996</v>
      </c>
    </row>
    <row r="170" spans="1:86">
      <c r="A170" s="30" t="s">
        <v>353</v>
      </c>
      <c r="B170" s="30" t="s">
        <v>342</v>
      </c>
      <c r="C170" s="30" t="str">
        <f t="shared" si="2"/>
        <v>CD27-m802</v>
      </c>
      <c r="D170" s="7">
        <v>0.78090000000000004</v>
      </c>
    </row>
    <row r="171" spans="1:86">
      <c r="A171" s="30" t="s">
        <v>353</v>
      </c>
      <c r="B171" s="30" t="s">
        <v>343</v>
      </c>
      <c r="C171" s="30" t="str">
        <f t="shared" si="2"/>
        <v>CD27-m803</v>
      </c>
      <c r="D171" s="7">
        <v>0.57869999999999999</v>
      </c>
    </row>
    <row r="172" spans="1:86">
      <c r="A172" s="30" t="s">
        <v>354</v>
      </c>
      <c r="B172" s="30">
        <v>158</v>
      </c>
      <c r="C172" s="30" t="str">
        <f t="shared" ref="C172:C235" si="3">_xlfn.CONCAT(A172,"-m",B172)</f>
        <v>CD30-m158</v>
      </c>
      <c r="D172" s="7">
        <v>586.30970000000002</v>
      </c>
    </row>
    <row r="173" spans="1:86">
      <c r="A173" s="30" t="s">
        <v>354</v>
      </c>
      <c r="B173" s="30">
        <v>159</v>
      </c>
      <c r="C173" s="30" t="str">
        <f t="shared" si="3"/>
        <v>CD30-m159</v>
      </c>
      <c r="D173" s="7">
        <v>315.02030000000002</v>
      </c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</row>
    <row r="174" spans="1:86">
      <c r="A174" s="30" t="s">
        <v>354</v>
      </c>
      <c r="B174" s="30">
        <v>160</v>
      </c>
      <c r="C174" s="30" t="str">
        <f t="shared" si="3"/>
        <v>CD30-m160</v>
      </c>
      <c r="D174" s="7">
        <v>347.1628</v>
      </c>
    </row>
    <row r="175" spans="1:86">
      <c r="A175" s="30" t="s">
        <v>354</v>
      </c>
      <c r="B175" s="30">
        <v>161</v>
      </c>
      <c r="C175" s="30" t="str">
        <f t="shared" si="3"/>
        <v>CD30-m161</v>
      </c>
      <c r="D175" s="7">
        <v>274.6268</v>
      </c>
    </row>
    <row r="176" spans="1:86">
      <c r="A176" s="30" t="s">
        <v>354</v>
      </c>
      <c r="B176" s="30">
        <v>162</v>
      </c>
      <c r="C176" s="30" t="str">
        <f t="shared" si="3"/>
        <v>CD30-m162</v>
      </c>
      <c r="D176" s="7">
        <v>794.05240000000003</v>
      </c>
    </row>
    <row r="177" spans="1:4">
      <c r="A177" s="30" t="s">
        <v>354</v>
      </c>
      <c r="B177" s="30">
        <v>164</v>
      </c>
      <c r="C177" s="30" t="str">
        <f t="shared" si="3"/>
        <v>CD30-m164</v>
      </c>
      <c r="D177" s="7">
        <v>244.8502</v>
      </c>
    </row>
    <row r="178" spans="1:4">
      <c r="A178" s="30" t="s">
        <v>354</v>
      </c>
      <c r="B178" s="30">
        <v>165</v>
      </c>
      <c r="C178" s="30" t="str">
        <f t="shared" si="3"/>
        <v>CD30-m165</v>
      </c>
      <c r="D178" s="7">
        <v>337.2518</v>
      </c>
    </row>
    <row r="179" spans="1:4">
      <c r="A179" s="30" t="s">
        <v>354</v>
      </c>
      <c r="B179" s="30">
        <v>166</v>
      </c>
      <c r="C179" s="30" t="str">
        <f t="shared" si="3"/>
        <v>CD30-m166</v>
      </c>
      <c r="D179" s="7">
        <v>490.1936</v>
      </c>
    </row>
    <row r="180" spans="1:4">
      <c r="A180" s="30" t="s">
        <v>354</v>
      </c>
      <c r="B180" s="30">
        <v>167</v>
      </c>
      <c r="C180" s="30" t="str">
        <f t="shared" si="3"/>
        <v>CD30-m167</v>
      </c>
      <c r="D180" s="7">
        <v>338.10590000000002</v>
      </c>
    </row>
    <row r="181" spans="1:4">
      <c r="A181" s="30" t="s">
        <v>354</v>
      </c>
      <c r="B181" s="30">
        <v>168</v>
      </c>
      <c r="C181" s="30" t="str">
        <f t="shared" si="3"/>
        <v>CD30-m168</v>
      </c>
      <c r="D181" s="7">
        <v>550.21270000000004</v>
      </c>
    </row>
    <row r="182" spans="1:4">
      <c r="A182" s="30" t="s">
        <v>354</v>
      </c>
      <c r="B182" s="30">
        <v>169</v>
      </c>
      <c r="C182" s="30" t="str">
        <f t="shared" si="3"/>
        <v>CD30-m169</v>
      </c>
      <c r="D182" s="7">
        <v>262.5437</v>
      </c>
    </row>
    <row r="183" spans="1:4">
      <c r="A183" s="30" t="s">
        <v>354</v>
      </c>
      <c r="B183" s="30">
        <v>170</v>
      </c>
      <c r="C183" s="30" t="str">
        <f t="shared" si="3"/>
        <v>CD30-m170</v>
      </c>
      <c r="D183" s="7">
        <v>341.94869999999997</v>
      </c>
    </row>
    <row r="184" spans="1:4">
      <c r="A184" s="30" t="s">
        <v>354</v>
      </c>
      <c r="B184" s="30">
        <v>171</v>
      </c>
      <c r="C184" s="30" t="str">
        <f t="shared" si="3"/>
        <v>CD30-m171</v>
      </c>
      <c r="D184" s="7">
        <v>774.48609999999996</v>
      </c>
    </row>
    <row r="185" spans="1:4">
      <c r="A185" s="30" t="s">
        <v>354</v>
      </c>
      <c r="B185" s="30">
        <v>172</v>
      </c>
      <c r="C185" s="30" t="str">
        <f t="shared" si="3"/>
        <v>CD30-m172</v>
      </c>
      <c r="D185" s="7">
        <v>725.54579999999999</v>
      </c>
    </row>
    <row r="186" spans="1:4">
      <c r="A186" s="30" t="s">
        <v>354</v>
      </c>
      <c r="B186" s="30">
        <v>173</v>
      </c>
      <c r="C186" s="30" t="str">
        <f t="shared" si="3"/>
        <v>CD30-m173</v>
      </c>
      <c r="D186" s="7">
        <v>897.23159999999996</v>
      </c>
    </row>
    <row r="187" spans="1:4">
      <c r="A187" s="30" t="s">
        <v>354</v>
      </c>
      <c r="B187" s="30">
        <v>175</v>
      </c>
      <c r="C187" s="30" t="str">
        <f t="shared" si="3"/>
        <v>CD30-m175</v>
      </c>
      <c r="D187" s="7">
        <v>147.19929999999999</v>
      </c>
    </row>
    <row r="188" spans="1:4">
      <c r="A188" s="30" t="s">
        <v>354</v>
      </c>
      <c r="B188" s="30">
        <v>176</v>
      </c>
      <c r="C188" s="30" t="str">
        <f t="shared" si="3"/>
        <v>CD30-m176</v>
      </c>
      <c r="D188" s="7">
        <v>327.46379999999999</v>
      </c>
    </row>
    <row r="189" spans="1:4">
      <c r="A189" s="30" t="s">
        <v>354</v>
      </c>
      <c r="B189" s="30">
        <v>177</v>
      </c>
      <c r="C189" s="30" t="str">
        <f t="shared" si="3"/>
        <v>CD30-m177</v>
      </c>
      <c r="D189" s="7">
        <v>543.02650000000006</v>
      </c>
    </row>
    <row r="190" spans="1:4">
      <c r="A190" s="30" t="s">
        <v>354</v>
      </c>
      <c r="B190" s="30">
        <v>178</v>
      </c>
      <c r="C190" s="30" t="str">
        <f t="shared" si="3"/>
        <v>CD30-m178</v>
      </c>
      <c r="D190" s="7">
        <v>225.8492</v>
      </c>
    </row>
    <row r="191" spans="1:4">
      <c r="A191" s="30" t="s">
        <v>354</v>
      </c>
      <c r="B191" s="30">
        <v>179</v>
      </c>
      <c r="C191" s="30" t="str">
        <f t="shared" si="3"/>
        <v>CD30-m179</v>
      </c>
      <c r="D191" s="7">
        <v>289.0564</v>
      </c>
    </row>
    <row r="192" spans="1:4">
      <c r="A192" s="30" t="s">
        <v>354</v>
      </c>
      <c r="B192" s="30">
        <v>180</v>
      </c>
      <c r="C192" s="30" t="str">
        <f t="shared" si="3"/>
        <v>CD30-m180</v>
      </c>
      <c r="D192" s="7">
        <v>156.01439999999999</v>
      </c>
    </row>
    <row r="193" spans="1:4">
      <c r="A193" s="30" t="s">
        <v>354</v>
      </c>
      <c r="B193" s="30">
        <v>181</v>
      </c>
      <c r="C193" s="30" t="str">
        <f t="shared" si="3"/>
        <v>CD30-m181</v>
      </c>
      <c r="D193" s="7">
        <v>239.7413</v>
      </c>
    </row>
    <row r="194" spans="1:4">
      <c r="A194" s="30" t="s">
        <v>354</v>
      </c>
      <c r="B194" s="30">
        <v>182</v>
      </c>
      <c r="C194" s="30" t="str">
        <f t="shared" si="3"/>
        <v>CD30-m182</v>
      </c>
      <c r="D194" s="7">
        <v>402.9237</v>
      </c>
    </row>
    <row r="195" spans="1:4">
      <c r="A195" s="30" t="s">
        <v>354</v>
      </c>
      <c r="B195" s="30">
        <v>183</v>
      </c>
      <c r="C195" s="30" t="str">
        <f t="shared" si="3"/>
        <v>CD30-m183</v>
      </c>
      <c r="D195" s="7">
        <v>264.4228</v>
      </c>
    </row>
    <row r="196" spans="1:4">
      <c r="A196" s="30" t="s">
        <v>354</v>
      </c>
      <c r="B196" s="30">
        <v>184</v>
      </c>
      <c r="C196" s="30" t="str">
        <f t="shared" si="3"/>
        <v>CD30-m184</v>
      </c>
      <c r="D196" s="7">
        <v>183.3614</v>
      </c>
    </row>
    <row r="197" spans="1:4">
      <c r="A197" s="30" t="s">
        <v>354</v>
      </c>
      <c r="B197" s="30">
        <v>185</v>
      </c>
      <c r="C197" s="30" t="str">
        <f t="shared" si="3"/>
        <v>CD30-m185</v>
      </c>
      <c r="D197" s="7">
        <v>236.3434</v>
      </c>
    </row>
    <row r="198" spans="1:4">
      <c r="A198" s="30" t="s">
        <v>354</v>
      </c>
      <c r="B198" s="30">
        <v>187</v>
      </c>
      <c r="C198" s="30" t="str">
        <f t="shared" si="3"/>
        <v>CD30-m187</v>
      </c>
      <c r="D198" s="7">
        <v>305.32709999999997</v>
      </c>
    </row>
    <row r="199" spans="1:4">
      <c r="A199" s="30" t="s">
        <v>354</v>
      </c>
      <c r="B199" s="30">
        <v>188</v>
      </c>
      <c r="C199" s="30" t="str">
        <f t="shared" si="3"/>
        <v>CD30-m188</v>
      </c>
      <c r="D199" s="7">
        <v>5.9999999999999995E-4</v>
      </c>
    </row>
    <row r="200" spans="1:4">
      <c r="A200" s="30" t="s">
        <v>354</v>
      </c>
      <c r="B200" s="30">
        <v>189</v>
      </c>
      <c r="C200" s="30" t="str">
        <f t="shared" si="3"/>
        <v>CD30-m189</v>
      </c>
      <c r="D200" s="7">
        <v>5.9999999999999995E-4</v>
      </c>
    </row>
    <row r="201" spans="1:4">
      <c r="A201" s="30" t="s">
        <v>354</v>
      </c>
      <c r="B201" s="30">
        <v>191</v>
      </c>
      <c r="C201" s="30" t="str">
        <f t="shared" si="3"/>
        <v>CD30-m191</v>
      </c>
      <c r="D201" s="7">
        <v>5.9999999999999995E-4</v>
      </c>
    </row>
    <row r="202" spans="1:4">
      <c r="A202" s="30" t="s">
        <v>354</v>
      </c>
      <c r="B202" s="30">
        <v>192</v>
      </c>
      <c r="C202" s="30" t="str">
        <f t="shared" si="3"/>
        <v>CD30-m192</v>
      </c>
      <c r="D202" s="7">
        <v>5.9999999999999995E-4</v>
      </c>
    </row>
    <row r="203" spans="1:4">
      <c r="A203" s="30" t="s">
        <v>354</v>
      </c>
      <c r="B203" s="30">
        <v>198</v>
      </c>
      <c r="C203" s="30" t="str">
        <f t="shared" si="3"/>
        <v>CD30-m198</v>
      </c>
      <c r="D203" s="7">
        <v>5.9999999999999995E-4</v>
      </c>
    </row>
    <row r="204" spans="1:4">
      <c r="A204" s="30" t="s">
        <v>354</v>
      </c>
      <c r="B204" s="30">
        <v>200</v>
      </c>
      <c r="C204" s="30" t="str">
        <f t="shared" si="3"/>
        <v>CD30-m200</v>
      </c>
      <c r="D204" s="7">
        <v>5.9999999999999995E-4</v>
      </c>
    </row>
    <row r="205" spans="1:4">
      <c r="A205" s="30" t="s">
        <v>354</v>
      </c>
      <c r="B205" s="30">
        <v>201</v>
      </c>
      <c r="C205" s="30" t="str">
        <f t="shared" si="3"/>
        <v>CD30-m201</v>
      </c>
      <c r="D205" s="7">
        <v>5.9999999999999995E-4</v>
      </c>
    </row>
    <row r="206" spans="1:4">
      <c r="A206" s="30" t="s">
        <v>354</v>
      </c>
      <c r="B206" s="30">
        <v>202</v>
      </c>
      <c r="C206" s="30" t="str">
        <f t="shared" si="3"/>
        <v>CD30-m202</v>
      </c>
      <c r="D206" s="7">
        <v>5.9999999999999995E-4</v>
      </c>
    </row>
    <row r="207" spans="1:4">
      <c r="A207" s="30" t="s">
        <v>354</v>
      </c>
      <c r="B207" s="30">
        <v>248</v>
      </c>
      <c r="C207" s="30" t="str">
        <f t="shared" si="3"/>
        <v>CD30-m248</v>
      </c>
      <c r="D207" s="7">
        <v>5.9999999999999995E-4</v>
      </c>
    </row>
    <row r="208" spans="1:4">
      <c r="A208" s="30" t="s">
        <v>354</v>
      </c>
      <c r="B208" s="30">
        <v>208</v>
      </c>
      <c r="C208" s="30" t="str">
        <f t="shared" si="3"/>
        <v>CD30-m208</v>
      </c>
      <c r="D208" s="7">
        <v>5.9999999999999995E-4</v>
      </c>
    </row>
    <row r="209" spans="1:4">
      <c r="A209" s="30" t="s">
        <v>354</v>
      </c>
      <c r="B209" s="30">
        <v>209</v>
      </c>
      <c r="C209" s="30" t="str">
        <f t="shared" si="3"/>
        <v>CD30-m209</v>
      </c>
      <c r="D209" s="7">
        <v>0.1258</v>
      </c>
    </row>
    <row r="210" spans="1:4">
      <c r="A210" s="30" t="s">
        <v>354</v>
      </c>
      <c r="B210" s="30">
        <v>210</v>
      </c>
      <c r="C210" s="30" t="str">
        <f t="shared" si="3"/>
        <v>CD30-m210</v>
      </c>
      <c r="D210" s="7">
        <v>5.9999999999999995E-4</v>
      </c>
    </row>
    <row r="211" spans="1:4">
      <c r="A211" s="30" t="s">
        <v>354</v>
      </c>
      <c r="B211" s="30">
        <v>211</v>
      </c>
      <c r="C211" s="30" t="str">
        <f t="shared" si="3"/>
        <v>CD30-m211</v>
      </c>
      <c r="D211" s="7">
        <v>0.1918</v>
      </c>
    </row>
    <row r="212" spans="1:4">
      <c r="A212" s="30" t="s">
        <v>354</v>
      </c>
      <c r="B212" s="30">
        <v>212</v>
      </c>
      <c r="C212" s="30" t="str">
        <f t="shared" si="3"/>
        <v>CD30-m212</v>
      </c>
      <c r="D212" s="7">
        <v>5.9999999999999995E-4</v>
      </c>
    </row>
    <row r="213" spans="1:4">
      <c r="A213" s="30" t="s">
        <v>354</v>
      </c>
      <c r="B213" s="30">
        <v>213</v>
      </c>
      <c r="C213" s="30" t="str">
        <f t="shared" si="3"/>
        <v>CD30-m213</v>
      </c>
      <c r="D213" s="7">
        <v>683.24900000000002</v>
      </c>
    </row>
    <row r="214" spans="1:4">
      <c r="A214" s="30" t="s">
        <v>354</v>
      </c>
      <c r="B214" s="30">
        <v>215</v>
      </c>
      <c r="C214" s="30" t="str">
        <f t="shared" si="3"/>
        <v>CD30-m215</v>
      </c>
      <c r="D214" s="7">
        <v>461.9239</v>
      </c>
    </row>
    <row r="215" spans="1:4">
      <c r="A215" s="30" t="s">
        <v>354</v>
      </c>
      <c r="B215" s="30">
        <v>216</v>
      </c>
      <c r="C215" s="30" t="str">
        <f t="shared" si="3"/>
        <v>CD30-m216</v>
      </c>
      <c r="D215" s="7">
        <v>580.46420000000001</v>
      </c>
    </row>
    <row r="216" spans="1:4">
      <c r="A216" s="30" t="s">
        <v>354</v>
      </c>
      <c r="B216" s="30">
        <v>217</v>
      </c>
      <c r="C216" s="30" t="str">
        <f t="shared" si="3"/>
        <v>CD30-m217</v>
      </c>
      <c r="D216" s="7">
        <v>617.44939999999997</v>
      </c>
    </row>
    <row r="217" spans="1:4">
      <c r="A217" s="30" t="s">
        <v>354</v>
      </c>
      <c r="B217" s="30">
        <v>218</v>
      </c>
      <c r="C217" s="30" t="str">
        <f t="shared" si="3"/>
        <v>CD30-m218</v>
      </c>
      <c r="D217" s="7">
        <v>497.5693</v>
      </c>
    </row>
    <row r="218" spans="1:4">
      <c r="A218" s="30" t="s">
        <v>354</v>
      </c>
      <c r="B218" s="30">
        <v>219</v>
      </c>
      <c r="C218" s="30" t="str">
        <f t="shared" si="3"/>
        <v>CD30-m219</v>
      </c>
      <c r="D218" s="7">
        <v>470.80239999999998</v>
      </c>
    </row>
    <row r="219" spans="1:4">
      <c r="A219" s="30" t="s">
        <v>354</v>
      </c>
      <c r="B219" s="30">
        <v>220</v>
      </c>
      <c r="C219" s="30" t="str">
        <f t="shared" si="3"/>
        <v>CD30-m220</v>
      </c>
      <c r="D219" s="7">
        <v>528.7346</v>
      </c>
    </row>
    <row r="220" spans="1:4">
      <c r="A220" s="30" t="s">
        <v>354</v>
      </c>
      <c r="B220" s="30">
        <v>221</v>
      </c>
      <c r="C220" s="30" t="str">
        <f t="shared" si="3"/>
        <v>CD30-m221</v>
      </c>
      <c r="D220" s="7">
        <v>798.88959999999997</v>
      </c>
    </row>
    <row r="221" spans="1:4">
      <c r="A221" s="30" t="s">
        <v>354</v>
      </c>
      <c r="B221" s="30">
        <v>222</v>
      </c>
      <c r="C221" s="30" t="str">
        <f t="shared" si="3"/>
        <v>CD30-m222</v>
      </c>
      <c r="D221" s="7">
        <v>168.0641</v>
      </c>
    </row>
    <row r="222" spans="1:4">
      <c r="A222" s="30" t="s">
        <v>354</v>
      </c>
      <c r="B222" s="30">
        <v>223</v>
      </c>
      <c r="C222" s="30" t="str">
        <f t="shared" si="3"/>
        <v>CD30-m223</v>
      </c>
      <c r="D222" s="7">
        <v>404.34039999999999</v>
      </c>
    </row>
    <row r="223" spans="1:4">
      <c r="A223" s="30" t="s">
        <v>354</v>
      </c>
      <c r="B223" s="30">
        <v>224</v>
      </c>
      <c r="C223" s="30" t="str">
        <f t="shared" si="3"/>
        <v>CD30-m224</v>
      </c>
      <c r="D223" s="7">
        <v>371.32139999999998</v>
      </c>
    </row>
    <row r="224" spans="1:4">
      <c r="A224" s="30" t="s">
        <v>354</v>
      </c>
      <c r="B224" s="30">
        <v>226</v>
      </c>
      <c r="C224" s="30" t="str">
        <f t="shared" si="3"/>
        <v>CD30-m226</v>
      </c>
      <c r="D224" s="7">
        <v>527.88400000000001</v>
      </c>
    </row>
    <row r="225" spans="1:4">
      <c r="A225" s="30" t="s">
        <v>354</v>
      </c>
      <c r="B225" s="30">
        <v>227</v>
      </c>
      <c r="C225" s="30" t="str">
        <f t="shared" si="3"/>
        <v>CD30-m227</v>
      </c>
      <c r="D225" s="7">
        <v>473.60910000000001</v>
      </c>
    </row>
    <row r="226" spans="1:4">
      <c r="A226" s="30" t="s">
        <v>354</v>
      </c>
      <c r="B226" s="30">
        <v>252</v>
      </c>
      <c r="C226" s="30" t="str">
        <f t="shared" si="3"/>
        <v>CD30-m252</v>
      </c>
      <c r="D226" s="7">
        <v>474.07420000000002</v>
      </c>
    </row>
    <row r="227" spans="1:4">
      <c r="A227" s="30" t="s">
        <v>354</v>
      </c>
      <c r="B227" s="30">
        <v>233</v>
      </c>
      <c r="C227" s="30" t="str">
        <f t="shared" si="3"/>
        <v>CD30-m233</v>
      </c>
      <c r="D227" s="7">
        <v>5.9999999999999995E-4</v>
      </c>
    </row>
    <row r="228" spans="1:4">
      <c r="A228" s="30" t="s">
        <v>354</v>
      </c>
      <c r="B228" s="30">
        <v>234</v>
      </c>
      <c r="C228" s="30" t="str">
        <f t="shared" si="3"/>
        <v>CD30-m234</v>
      </c>
      <c r="D228" s="7">
        <v>7.0000000000000001E-3</v>
      </c>
    </row>
    <row r="229" spans="1:4">
      <c r="A229" s="30" t="s">
        <v>354</v>
      </c>
      <c r="B229" s="30">
        <v>235</v>
      </c>
      <c r="C229" s="30" t="str">
        <f t="shared" si="3"/>
        <v>CD30-m235</v>
      </c>
      <c r="D229" s="7">
        <v>5.9999999999999995E-4</v>
      </c>
    </row>
    <row r="230" spans="1:4">
      <c r="A230" s="30" t="s">
        <v>354</v>
      </c>
      <c r="B230" s="30">
        <v>236</v>
      </c>
      <c r="C230" s="30" t="str">
        <f t="shared" si="3"/>
        <v>CD30-m236</v>
      </c>
      <c r="D230" s="7">
        <v>5.9999999999999995E-4</v>
      </c>
    </row>
    <row r="231" spans="1:4">
      <c r="A231" s="30" t="s">
        <v>354</v>
      </c>
      <c r="B231" s="30">
        <v>237</v>
      </c>
      <c r="C231" s="30" t="str">
        <f t="shared" si="3"/>
        <v>CD30-m237</v>
      </c>
      <c r="D231" s="7">
        <v>5.9999999999999995E-4</v>
      </c>
    </row>
    <row r="232" spans="1:4">
      <c r="A232" s="30" t="s">
        <v>354</v>
      </c>
      <c r="B232" s="30">
        <v>238</v>
      </c>
      <c r="C232" s="30" t="str">
        <f t="shared" si="3"/>
        <v>CD30-m238</v>
      </c>
      <c r="D232" s="7">
        <v>5.9999999999999995E-4</v>
      </c>
    </row>
    <row r="233" spans="1:4">
      <c r="A233" s="30" t="s">
        <v>354</v>
      </c>
      <c r="B233" s="30">
        <v>239</v>
      </c>
      <c r="C233" s="30" t="str">
        <f t="shared" si="3"/>
        <v>CD30-m239</v>
      </c>
      <c r="D233" s="7">
        <v>5.9999999999999995E-4</v>
      </c>
    </row>
    <row r="234" spans="1:4">
      <c r="A234" s="30" t="s">
        <v>354</v>
      </c>
      <c r="B234" s="30">
        <v>242</v>
      </c>
      <c r="C234" s="30" t="str">
        <f t="shared" si="3"/>
        <v>CD30-m242</v>
      </c>
      <c r="D234" s="7">
        <v>1.06E-2</v>
      </c>
    </row>
    <row r="235" spans="1:4">
      <c r="A235" s="30" t="s">
        <v>354</v>
      </c>
      <c r="B235" s="30">
        <v>243</v>
      </c>
      <c r="C235" s="30" t="str">
        <f t="shared" si="3"/>
        <v>CD30-m243</v>
      </c>
      <c r="D235" s="7">
        <v>5.9999999999999995E-4</v>
      </c>
    </row>
    <row r="236" spans="1:4">
      <c r="A236" s="30" t="s">
        <v>354</v>
      </c>
      <c r="B236" s="30">
        <v>244</v>
      </c>
      <c r="C236" s="30" t="str">
        <f t="shared" ref="C236:C299" si="4">_xlfn.CONCAT(A236,"-m",B236)</f>
        <v>CD30-m244</v>
      </c>
      <c r="D236" s="7">
        <v>5.9999999999999995E-4</v>
      </c>
    </row>
    <row r="237" spans="1:4">
      <c r="A237" s="30" t="s">
        <v>354</v>
      </c>
      <c r="B237" s="30">
        <v>245</v>
      </c>
      <c r="C237" s="30" t="str">
        <f t="shared" si="4"/>
        <v>CD30-m245</v>
      </c>
      <c r="D237" s="7">
        <v>5.9999999999999995E-4</v>
      </c>
    </row>
    <row r="238" spans="1:4">
      <c r="A238" s="30" t="s">
        <v>354</v>
      </c>
      <c r="B238" s="30">
        <v>246</v>
      </c>
      <c r="C238" s="30" t="str">
        <f t="shared" si="4"/>
        <v>CD30-m246</v>
      </c>
      <c r="D238" s="7">
        <v>5.9999999999999995E-4</v>
      </c>
    </row>
    <row r="239" spans="1:4">
      <c r="A239" s="30" t="s">
        <v>354</v>
      </c>
      <c r="B239" s="30">
        <v>247</v>
      </c>
      <c r="C239" s="30" t="str">
        <f t="shared" si="4"/>
        <v>CD30-m247</v>
      </c>
      <c r="D239" s="7">
        <v>5.9999999999999995E-4</v>
      </c>
    </row>
    <row r="240" spans="1:4">
      <c r="A240" s="30" t="s">
        <v>354</v>
      </c>
      <c r="B240" s="30">
        <v>193</v>
      </c>
      <c r="C240" s="30" t="str">
        <f t="shared" si="4"/>
        <v>CD30-m193</v>
      </c>
      <c r="D240" s="7">
        <v>181.98429999999999</v>
      </c>
    </row>
    <row r="241" spans="1:63">
      <c r="A241" s="30" t="s">
        <v>354</v>
      </c>
      <c r="B241" s="30">
        <v>195</v>
      </c>
      <c r="C241" s="30" t="str">
        <f t="shared" si="4"/>
        <v>CD30-m195</v>
      </c>
      <c r="D241" s="7">
        <v>235.21420000000001</v>
      </c>
    </row>
    <row r="242" spans="1:63">
      <c r="A242" s="30" t="s">
        <v>354</v>
      </c>
      <c r="B242" s="30">
        <v>196</v>
      </c>
      <c r="C242" s="30" t="str">
        <f t="shared" si="4"/>
        <v>CD30-m196</v>
      </c>
      <c r="D242" s="7">
        <v>347.66399999999999</v>
      </c>
    </row>
    <row r="243" spans="1:63">
      <c r="A243" s="30" t="s">
        <v>354</v>
      </c>
      <c r="B243" s="30">
        <v>197</v>
      </c>
      <c r="C243" s="30" t="str">
        <f t="shared" si="4"/>
        <v>CD30-m197</v>
      </c>
      <c r="D243" s="7">
        <v>347.61880000000002</v>
      </c>
    </row>
    <row r="244" spans="1:63">
      <c r="A244" s="30" t="s">
        <v>354</v>
      </c>
      <c r="B244" s="30">
        <v>203</v>
      </c>
      <c r="C244" s="30" t="str">
        <f t="shared" si="4"/>
        <v>CD30-m203</v>
      </c>
      <c r="D244" s="7">
        <v>253.77510000000001</v>
      </c>
    </row>
    <row r="245" spans="1:63">
      <c r="A245" s="30" t="s">
        <v>354</v>
      </c>
      <c r="B245" s="30">
        <v>204</v>
      </c>
      <c r="C245" s="30" t="str">
        <f t="shared" si="4"/>
        <v>CD30-m204</v>
      </c>
      <c r="D245" s="7">
        <v>488.88589999999999</v>
      </c>
    </row>
    <row r="246" spans="1:63">
      <c r="A246" s="30" t="s">
        <v>354</v>
      </c>
      <c r="B246" s="30">
        <v>205</v>
      </c>
      <c r="C246" s="30" t="str">
        <f t="shared" si="4"/>
        <v>CD30-m205</v>
      </c>
      <c r="D246" s="7">
        <v>297.62110000000001</v>
      </c>
    </row>
    <row r="247" spans="1:63">
      <c r="A247" s="30" t="s">
        <v>354</v>
      </c>
      <c r="B247" s="30">
        <v>206</v>
      </c>
      <c r="C247" s="30" t="str">
        <f t="shared" si="4"/>
        <v>CD30-m206</v>
      </c>
      <c r="D247" s="7">
        <v>296.12400000000002</v>
      </c>
    </row>
    <row r="248" spans="1:63">
      <c r="A248" s="30" t="s">
        <v>354</v>
      </c>
      <c r="B248" s="30">
        <v>207</v>
      </c>
      <c r="C248" s="30" t="str">
        <f t="shared" si="4"/>
        <v>CD30-m207</v>
      </c>
      <c r="D248" s="7">
        <v>520.05820000000006</v>
      </c>
    </row>
    <row r="249" spans="1:63">
      <c r="A249" s="30" t="s">
        <v>354</v>
      </c>
      <c r="B249" s="30">
        <v>228</v>
      </c>
      <c r="C249" s="30" t="str">
        <f t="shared" si="4"/>
        <v>CD30-m228</v>
      </c>
      <c r="D249" s="7">
        <v>209.6798</v>
      </c>
    </row>
    <row r="250" spans="1:63">
      <c r="A250" s="30" t="s">
        <v>354</v>
      </c>
      <c r="B250" s="30">
        <v>229</v>
      </c>
      <c r="C250" s="30" t="str">
        <f t="shared" si="4"/>
        <v>CD30-m229</v>
      </c>
      <c r="D250" s="7">
        <v>397.8603</v>
      </c>
    </row>
    <row r="251" spans="1:63">
      <c r="A251" s="30" t="s">
        <v>354</v>
      </c>
      <c r="B251" s="30">
        <v>230</v>
      </c>
      <c r="C251" s="30" t="str">
        <f t="shared" si="4"/>
        <v>CD30-m230</v>
      </c>
      <c r="D251" s="7">
        <v>307.74650000000003</v>
      </c>
    </row>
    <row r="252" spans="1:63">
      <c r="A252" s="30" t="s">
        <v>354</v>
      </c>
      <c r="B252" s="30">
        <v>231</v>
      </c>
      <c r="C252" s="30" t="str">
        <f t="shared" si="4"/>
        <v>CD30-m231</v>
      </c>
      <c r="D252" s="7">
        <v>396.31380000000001</v>
      </c>
    </row>
    <row r="253" spans="1:63">
      <c r="A253" s="30" t="s">
        <v>354</v>
      </c>
      <c r="B253" s="30">
        <v>232</v>
      </c>
      <c r="C253" s="30" t="str">
        <f t="shared" si="4"/>
        <v>CD30-m232</v>
      </c>
      <c r="D253" s="7">
        <v>372.30329999999998</v>
      </c>
    </row>
    <row r="254" spans="1:63">
      <c r="A254" s="30" t="s">
        <v>355</v>
      </c>
      <c r="B254" s="30">
        <v>324</v>
      </c>
      <c r="C254" s="30" t="str">
        <f t="shared" si="4"/>
        <v>CD46-m324</v>
      </c>
      <c r="D254" s="7">
        <v>6.7999999999999996E-3</v>
      </c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</row>
    <row r="255" spans="1:63">
      <c r="A255" s="30" t="s">
        <v>355</v>
      </c>
      <c r="B255" s="30">
        <v>327</v>
      </c>
      <c r="C255" s="30" t="str">
        <f t="shared" si="4"/>
        <v>CD46-m327</v>
      </c>
      <c r="D255" s="7">
        <v>6.7999999999999996E-3</v>
      </c>
    </row>
    <row r="256" spans="1:63">
      <c r="A256" s="30" t="s">
        <v>355</v>
      </c>
      <c r="B256" s="30">
        <v>328</v>
      </c>
      <c r="C256" s="30" t="str">
        <f t="shared" si="4"/>
        <v>CD46-m328</v>
      </c>
      <c r="D256" s="7">
        <v>6.7999999999999996E-3</v>
      </c>
    </row>
    <row r="257" spans="1:4">
      <c r="A257" s="30" t="s">
        <v>355</v>
      </c>
      <c r="B257" s="30">
        <v>330</v>
      </c>
      <c r="C257" s="30" t="str">
        <f t="shared" si="4"/>
        <v>CD46-m330</v>
      </c>
      <c r="D257" s="7">
        <v>1.5599999999999999E-2</v>
      </c>
    </row>
    <row r="258" spans="1:4">
      <c r="A258" s="30" t="s">
        <v>355</v>
      </c>
      <c r="B258" s="30">
        <v>331</v>
      </c>
      <c r="C258" s="30" t="str">
        <f t="shared" si="4"/>
        <v>CD46-m331</v>
      </c>
      <c r="D258" s="7">
        <v>79.352699999999999</v>
      </c>
    </row>
    <row r="259" spans="1:4">
      <c r="A259" s="30" t="s">
        <v>355</v>
      </c>
      <c r="B259" s="30">
        <v>332</v>
      </c>
      <c r="C259" s="30" t="str">
        <f t="shared" si="4"/>
        <v>CD46-m332</v>
      </c>
      <c r="D259" s="7">
        <v>34.323700000000002</v>
      </c>
    </row>
    <row r="260" spans="1:4">
      <c r="A260" s="30" t="s">
        <v>355</v>
      </c>
      <c r="B260" s="30">
        <v>333</v>
      </c>
      <c r="C260" s="30" t="str">
        <f t="shared" si="4"/>
        <v>CD46-m333</v>
      </c>
      <c r="D260" s="7">
        <v>71.940799999999996</v>
      </c>
    </row>
    <row r="261" spans="1:4">
      <c r="A261" s="30" t="s">
        <v>355</v>
      </c>
      <c r="B261" s="30">
        <v>334</v>
      </c>
      <c r="C261" s="30" t="str">
        <f t="shared" si="4"/>
        <v>CD46-m334</v>
      </c>
      <c r="D261" s="7">
        <v>73.215900000000005</v>
      </c>
    </row>
    <row r="262" spans="1:4">
      <c r="A262" s="30" t="s">
        <v>355</v>
      </c>
      <c r="B262" s="30">
        <v>336</v>
      </c>
      <c r="C262" s="30" t="str">
        <f t="shared" si="4"/>
        <v>CD46-m336</v>
      </c>
      <c r="D262" s="7">
        <v>79.2136</v>
      </c>
    </row>
    <row r="263" spans="1:4">
      <c r="A263" s="30" t="s">
        <v>355</v>
      </c>
      <c r="B263" s="30">
        <v>337</v>
      </c>
      <c r="C263" s="30" t="str">
        <f t="shared" si="4"/>
        <v>CD46-m337</v>
      </c>
      <c r="D263" s="7">
        <v>59.510100000000001</v>
      </c>
    </row>
    <row r="264" spans="1:4">
      <c r="A264" s="30" t="s">
        <v>355</v>
      </c>
      <c r="B264" s="30">
        <v>338</v>
      </c>
      <c r="C264" s="30" t="str">
        <f t="shared" si="4"/>
        <v>CD46-m338</v>
      </c>
      <c r="D264" s="7">
        <v>13.974</v>
      </c>
    </row>
    <row r="265" spans="1:4">
      <c r="A265" s="30" t="s">
        <v>355</v>
      </c>
      <c r="B265" s="30">
        <v>339</v>
      </c>
      <c r="C265" s="30" t="str">
        <f t="shared" si="4"/>
        <v>CD46-m339</v>
      </c>
      <c r="D265" s="7">
        <v>45.259599999999999</v>
      </c>
    </row>
    <row r="266" spans="1:4">
      <c r="A266" s="30" t="s">
        <v>355</v>
      </c>
      <c r="B266" s="30">
        <v>340</v>
      </c>
      <c r="C266" s="30" t="str">
        <f t="shared" si="4"/>
        <v>CD46-m340</v>
      </c>
      <c r="D266" s="7">
        <v>86.195300000000003</v>
      </c>
    </row>
    <row r="267" spans="1:4">
      <c r="A267" s="30" t="s">
        <v>355</v>
      </c>
      <c r="B267" s="30">
        <v>341</v>
      </c>
      <c r="C267" s="30" t="str">
        <f t="shared" si="4"/>
        <v>CD46-m341</v>
      </c>
      <c r="D267" s="7">
        <v>6.7999999999999996E-3</v>
      </c>
    </row>
    <row r="268" spans="1:4">
      <c r="A268" s="30" t="s">
        <v>355</v>
      </c>
      <c r="B268" s="30">
        <v>342</v>
      </c>
      <c r="C268" s="30" t="str">
        <f t="shared" si="4"/>
        <v>CD46-m342</v>
      </c>
      <c r="D268" s="7">
        <v>6.7999999999999996E-3</v>
      </c>
    </row>
    <row r="269" spans="1:4">
      <c r="A269" s="30" t="s">
        <v>355</v>
      </c>
      <c r="B269" s="30">
        <v>343</v>
      </c>
      <c r="C269" s="30" t="str">
        <f t="shared" si="4"/>
        <v>CD46-m343</v>
      </c>
      <c r="D269" s="7">
        <v>1.46E-2</v>
      </c>
    </row>
    <row r="270" spans="1:4">
      <c r="A270" s="30" t="s">
        <v>355</v>
      </c>
      <c r="B270" s="30">
        <v>344</v>
      </c>
      <c r="C270" s="30" t="str">
        <f t="shared" si="4"/>
        <v>CD46-m344</v>
      </c>
      <c r="D270" s="7">
        <v>6.7999999999999996E-3</v>
      </c>
    </row>
    <row r="271" spans="1:4">
      <c r="A271" s="30" t="s">
        <v>355</v>
      </c>
      <c r="B271" s="30">
        <v>345</v>
      </c>
      <c r="C271" s="30" t="str">
        <f t="shared" si="4"/>
        <v>CD46-m345</v>
      </c>
      <c r="D271" s="7">
        <v>3.0061</v>
      </c>
    </row>
    <row r="272" spans="1:4">
      <c r="A272" s="30" t="s">
        <v>355</v>
      </c>
      <c r="B272" s="30">
        <v>347</v>
      </c>
      <c r="C272" s="30" t="str">
        <f t="shared" si="4"/>
        <v>CD46-m347</v>
      </c>
      <c r="D272" s="7">
        <v>64.444299999999998</v>
      </c>
    </row>
    <row r="273" spans="1:4">
      <c r="A273" s="30" t="s">
        <v>355</v>
      </c>
      <c r="B273" s="30">
        <v>348</v>
      </c>
      <c r="C273" s="30" t="str">
        <f t="shared" si="4"/>
        <v>CD46-m348</v>
      </c>
      <c r="D273" s="7">
        <v>33.495699999999999</v>
      </c>
    </row>
    <row r="274" spans="1:4">
      <c r="A274" s="30" t="s">
        <v>355</v>
      </c>
      <c r="B274" s="30">
        <v>349</v>
      </c>
      <c r="C274" s="30" t="str">
        <f t="shared" si="4"/>
        <v>CD46-m349</v>
      </c>
      <c r="D274" s="7">
        <v>58.387500000000003</v>
      </c>
    </row>
    <row r="275" spans="1:4">
      <c r="A275" s="30" t="s">
        <v>355</v>
      </c>
      <c r="B275" s="30">
        <v>350</v>
      </c>
      <c r="C275" s="30" t="str">
        <f t="shared" si="4"/>
        <v>CD46-m350</v>
      </c>
      <c r="D275" s="7">
        <v>30.2867</v>
      </c>
    </row>
    <row r="276" spans="1:4">
      <c r="A276" s="30" t="s">
        <v>355</v>
      </c>
      <c r="B276" s="30">
        <v>353</v>
      </c>
      <c r="C276" s="30" t="str">
        <f t="shared" si="4"/>
        <v>CD46-m353</v>
      </c>
      <c r="D276" s="7">
        <v>52.506</v>
      </c>
    </row>
    <row r="277" spans="1:4">
      <c r="A277" s="30" t="s">
        <v>355</v>
      </c>
      <c r="B277" s="30">
        <v>354</v>
      </c>
      <c r="C277" s="30" t="str">
        <f t="shared" si="4"/>
        <v>CD46-m354</v>
      </c>
      <c r="D277" s="7">
        <v>27.495000000000001</v>
      </c>
    </row>
    <row r="278" spans="1:4">
      <c r="A278" s="30" t="s">
        <v>355</v>
      </c>
      <c r="B278" s="30">
        <v>355</v>
      </c>
      <c r="C278" s="30" t="str">
        <f t="shared" si="4"/>
        <v>CD46-m355</v>
      </c>
      <c r="D278" s="7">
        <v>39.857300000000002</v>
      </c>
    </row>
    <row r="279" spans="1:4">
      <c r="A279" s="30" t="s">
        <v>355</v>
      </c>
      <c r="B279" s="30">
        <v>356</v>
      </c>
      <c r="C279" s="30" t="str">
        <f t="shared" si="4"/>
        <v>CD46-m356</v>
      </c>
      <c r="D279" s="7">
        <v>102.99939999999999</v>
      </c>
    </row>
    <row r="280" spans="1:4">
      <c r="A280" s="30" t="s">
        <v>355</v>
      </c>
      <c r="B280" s="30">
        <v>357</v>
      </c>
      <c r="C280" s="30" t="str">
        <f t="shared" si="4"/>
        <v>CD46-m357</v>
      </c>
      <c r="D280" s="7">
        <v>0.13650000000000001</v>
      </c>
    </row>
    <row r="281" spans="1:4">
      <c r="A281" s="30" t="s">
        <v>355</v>
      </c>
      <c r="B281" s="30">
        <v>358</v>
      </c>
      <c r="C281" s="30" t="str">
        <f t="shared" si="4"/>
        <v>CD46-m358</v>
      </c>
      <c r="D281" s="7">
        <v>6.7999999999999996E-3</v>
      </c>
    </row>
    <row r="282" spans="1:4">
      <c r="A282" s="30" t="s">
        <v>355</v>
      </c>
      <c r="B282" s="30">
        <v>359</v>
      </c>
      <c r="C282" s="30" t="str">
        <f t="shared" si="4"/>
        <v>CD46-m359</v>
      </c>
      <c r="D282" s="7">
        <v>1.8100000000000002E-2</v>
      </c>
    </row>
    <row r="283" spans="1:4">
      <c r="A283" s="30" t="s">
        <v>355</v>
      </c>
      <c r="B283" s="30">
        <v>361</v>
      </c>
      <c r="C283" s="30" t="str">
        <f t="shared" si="4"/>
        <v>CD46-m361</v>
      </c>
      <c r="D283" s="7">
        <v>6.7999999999999996E-3</v>
      </c>
    </row>
    <row r="284" spans="1:4">
      <c r="A284" s="30" t="s">
        <v>355</v>
      </c>
      <c r="B284" s="30">
        <v>362</v>
      </c>
      <c r="C284" s="30" t="str">
        <f t="shared" si="4"/>
        <v>CD46-m362</v>
      </c>
      <c r="D284" s="7">
        <v>146.03970000000001</v>
      </c>
    </row>
    <row r="285" spans="1:4">
      <c r="A285" s="30" t="s">
        <v>355</v>
      </c>
      <c r="B285" s="30">
        <v>363</v>
      </c>
      <c r="C285" s="30" t="str">
        <f t="shared" si="4"/>
        <v>CD46-m363</v>
      </c>
      <c r="D285" s="7">
        <v>32.348999999999997</v>
      </c>
    </row>
    <row r="286" spans="1:4">
      <c r="A286" s="30" t="s">
        <v>355</v>
      </c>
      <c r="B286" s="30">
        <v>364</v>
      </c>
      <c r="C286" s="30" t="str">
        <f t="shared" si="4"/>
        <v>CD46-m364</v>
      </c>
      <c r="D286" s="7">
        <v>61.776600000000002</v>
      </c>
    </row>
    <row r="287" spans="1:4">
      <c r="A287" s="30" t="s">
        <v>355</v>
      </c>
      <c r="B287" s="30">
        <v>365</v>
      </c>
      <c r="C287" s="30" t="str">
        <f t="shared" si="4"/>
        <v>CD46-m365</v>
      </c>
      <c r="D287" s="7">
        <v>47.994700000000002</v>
      </c>
    </row>
    <row r="288" spans="1:4">
      <c r="A288" s="30" t="s">
        <v>355</v>
      </c>
      <c r="B288" s="30">
        <v>367</v>
      </c>
      <c r="C288" s="30" t="str">
        <f t="shared" si="4"/>
        <v>CD46-m367</v>
      </c>
      <c r="D288" s="7">
        <v>82.684399999999997</v>
      </c>
    </row>
    <row r="289" spans="1:4">
      <c r="A289" s="30" t="s">
        <v>355</v>
      </c>
      <c r="B289" s="30">
        <v>369</v>
      </c>
      <c r="C289" s="30" t="str">
        <f t="shared" si="4"/>
        <v>CD46-m369</v>
      </c>
      <c r="D289" s="7">
        <v>102.6913</v>
      </c>
    </row>
    <row r="290" spans="1:4">
      <c r="A290" s="30" t="s">
        <v>355</v>
      </c>
      <c r="B290" s="30">
        <v>370</v>
      </c>
      <c r="C290" s="30" t="str">
        <f t="shared" si="4"/>
        <v>CD46-m370</v>
      </c>
      <c r="D290" s="7">
        <v>58.5779</v>
      </c>
    </row>
    <row r="291" spans="1:4">
      <c r="A291" s="30" t="s">
        <v>355</v>
      </c>
      <c r="B291" s="30">
        <v>372</v>
      </c>
      <c r="C291" s="30" t="str">
        <f t="shared" si="4"/>
        <v>CD46-m372</v>
      </c>
      <c r="D291" s="7">
        <v>18.250599999999999</v>
      </c>
    </row>
    <row r="292" spans="1:4">
      <c r="A292" s="30" t="s">
        <v>355</v>
      </c>
      <c r="B292" s="30">
        <v>373</v>
      </c>
      <c r="C292" s="30" t="str">
        <f t="shared" si="4"/>
        <v>CD46-m373</v>
      </c>
      <c r="D292" s="7">
        <v>110.548</v>
      </c>
    </row>
    <row r="293" spans="1:4">
      <c r="A293" s="30" t="s">
        <v>355</v>
      </c>
      <c r="B293" s="30">
        <v>374</v>
      </c>
      <c r="C293" s="30" t="str">
        <f t="shared" si="4"/>
        <v>CD46-m374</v>
      </c>
      <c r="D293" s="7">
        <v>22.676100000000002</v>
      </c>
    </row>
    <row r="294" spans="1:4">
      <c r="A294" s="30" t="s">
        <v>355</v>
      </c>
      <c r="B294" s="30">
        <v>375</v>
      </c>
      <c r="C294" s="30" t="str">
        <f t="shared" si="4"/>
        <v>CD46-m375</v>
      </c>
      <c r="D294" s="7">
        <v>57.98</v>
      </c>
    </row>
    <row r="295" spans="1:4">
      <c r="A295" s="30" t="s">
        <v>355</v>
      </c>
      <c r="B295" s="30">
        <v>376</v>
      </c>
      <c r="C295" s="30" t="str">
        <f t="shared" si="4"/>
        <v>CD46-m376</v>
      </c>
      <c r="D295" s="7">
        <v>36.976300000000002</v>
      </c>
    </row>
    <row r="296" spans="1:4">
      <c r="A296" s="30" t="s">
        <v>355</v>
      </c>
      <c r="B296" s="30">
        <v>377</v>
      </c>
      <c r="C296" s="30" t="str">
        <f t="shared" si="4"/>
        <v>CD46-m377</v>
      </c>
      <c r="D296" s="7">
        <v>14.627700000000001</v>
      </c>
    </row>
    <row r="297" spans="1:4">
      <c r="A297" s="30" t="s">
        <v>355</v>
      </c>
      <c r="B297" s="30">
        <v>378</v>
      </c>
      <c r="C297" s="30" t="str">
        <f t="shared" si="4"/>
        <v>CD46-m378</v>
      </c>
      <c r="D297" s="7">
        <v>39.246899999999997</v>
      </c>
    </row>
    <row r="298" spans="1:4">
      <c r="A298" s="30" t="s">
        <v>355</v>
      </c>
      <c r="B298" s="30">
        <v>380</v>
      </c>
      <c r="C298" s="30" t="str">
        <f t="shared" si="4"/>
        <v>CD46-m380</v>
      </c>
      <c r="D298" s="7">
        <v>39.430300000000003</v>
      </c>
    </row>
    <row r="299" spans="1:4">
      <c r="A299" s="30" t="s">
        <v>355</v>
      </c>
      <c r="B299" s="30">
        <v>381</v>
      </c>
      <c r="C299" s="30" t="str">
        <f t="shared" si="4"/>
        <v>CD46-m381</v>
      </c>
      <c r="D299" s="7">
        <v>30.273800000000001</v>
      </c>
    </row>
    <row r="300" spans="1:4">
      <c r="A300" s="30" t="s">
        <v>355</v>
      </c>
      <c r="B300" s="30">
        <v>385</v>
      </c>
      <c r="C300" s="30" t="str">
        <f t="shared" ref="C300:C363" si="5">_xlfn.CONCAT(A300,"-m",B300)</f>
        <v>CD46-m385</v>
      </c>
      <c r="D300" s="7">
        <v>6.7999999999999996E-3</v>
      </c>
    </row>
    <row r="301" spans="1:4">
      <c r="A301" s="30" t="s">
        <v>355</v>
      </c>
      <c r="B301" s="30">
        <v>386</v>
      </c>
      <c r="C301" s="30" t="str">
        <f t="shared" si="5"/>
        <v>CD46-m386</v>
      </c>
      <c r="D301" s="7">
        <v>6.7999999999999996E-3</v>
      </c>
    </row>
    <row r="302" spans="1:4">
      <c r="A302" s="30" t="s">
        <v>355</v>
      </c>
      <c r="B302" s="30">
        <v>387</v>
      </c>
      <c r="C302" s="30" t="str">
        <f t="shared" si="5"/>
        <v>CD46-m387</v>
      </c>
      <c r="D302" s="7">
        <v>6.7999999999999996E-3</v>
      </c>
    </row>
    <row r="303" spans="1:4">
      <c r="A303" s="30" t="s">
        <v>355</v>
      </c>
      <c r="B303" s="30">
        <v>389</v>
      </c>
      <c r="C303" s="30" t="str">
        <f t="shared" si="5"/>
        <v>CD46-m389</v>
      </c>
      <c r="D303" s="7">
        <v>6.7999999999999996E-3</v>
      </c>
    </row>
    <row r="304" spans="1:4">
      <c r="A304" s="30" t="s">
        <v>355</v>
      </c>
      <c r="B304" s="30">
        <v>393</v>
      </c>
      <c r="C304" s="30" t="str">
        <f t="shared" si="5"/>
        <v>CD46-m393</v>
      </c>
      <c r="D304" s="7">
        <v>6.7999999999999996E-3</v>
      </c>
    </row>
    <row r="305" spans="1:78">
      <c r="A305" s="30" t="s">
        <v>355</v>
      </c>
      <c r="B305" s="30">
        <v>394</v>
      </c>
      <c r="C305" s="30" t="str">
        <f t="shared" si="5"/>
        <v>CD46-m394</v>
      </c>
      <c r="D305" s="7">
        <v>100.61239999999999</v>
      </c>
    </row>
    <row r="306" spans="1:78">
      <c r="A306" s="30" t="s">
        <v>355</v>
      </c>
      <c r="B306" s="30">
        <v>396</v>
      </c>
      <c r="C306" s="30" t="str">
        <f t="shared" si="5"/>
        <v>CD46-m396</v>
      </c>
      <c r="D306" s="7">
        <v>3.6126</v>
      </c>
    </row>
    <row r="307" spans="1:78">
      <c r="A307" s="30" t="s">
        <v>355</v>
      </c>
      <c r="B307" s="30">
        <v>397</v>
      </c>
      <c r="C307" s="30" t="str">
        <f t="shared" si="5"/>
        <v>CD46-m397</v>
      </c>
      <c r="D307" s="7">
        <v>10.085800000000001</v>
      </c>
    </row>
    <row r="308" spans="1:78">
      <c r="A308" s="30" t="s">
        <v>355</v>
      </c>
      <c r="B308" s="30">
        <v>399</v>
      </c>
      <c r="C308" s="30" t="str">
        <f t="shared" si="5"/>
        <v>CD46-m399</v>
      </c>
      <c r="D308" s="7">
        <v>15.190099999999999</v>
      </c>
    </row>
    <row r="309" spans="1:78">
      <c r="A309" s="30" t="s">
        <v>355</v>
      </c>
      <c r="B309" s="30">
        <v>400</v>
      </c>
      <c r="C309" s="30" t="str">
        <f t="shared" si="5"/>
        <v>CD46-m400</v>
      </c>
      <c r="D309" s="7">
        <v>23.422000000000001</v>
      </c>
    </row>
    <row r="310" spans="1:78">
      <c r="A310" s="30" t="s">
        <v>355</v>
      </c>
      <c r="B310" s="30">
        <v>392</v>
      </c>
      <c r="C310" s="30" t="str">
        <f t="shared" si="5"/>
        <v>CD46-m392</v>
      </c>
      <c r="D310" s="7">
        <v>26.4772</v>
      </c>
    </row>
    <row r="311" spans="1:78">
      <c r="A311" s="30" t="s">
        <v>355</v>
      </c>
      <c r="B311" s="30">
        <v>402</v>
      </c>
      <c r="C311" s="30" t="str">
        <f t="shared" si="5"/>
        <v>CD46-m402</v>
      </c>
      <c r="D311" s="7">
        <v>20.7454</v>
      </c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</row>
    <row r="312" spans="1:78">
      <c r="A312" s="30" t="s">
        <v>356</v>
      </c>
      <c r="B312" s="30">
        <v>66</v>
      </c>
      <c r="C312" s="30" t="str">
        <f>_xlfn.CONCAT(A312,"-m0",B312)</f>
        <v>CD50-m066</v>
      </c>
      <c r="D312" s="7">
        <v>54.849800000000002</v>
      </c>
    </row>
    <row r="313" spans="1:78">
      <c r="A313" s="30" t="s">
        <v>356</v>
      </c>
      <c r="B313" s="30">
        <v>67</v>
      </c>
      <c r="C313" s="30" t="str">
        <f t="shared" ref="C313:C331" si="6">_xlfn.CONCAT(A313,"-m0",B313)</f>
        <v>CD50-m067</v>
      </c>
      <c r="D313" s="7">
        <v>11.476000000000001</v>
      </c>
    </row>
    <row r="314" spans="1:78">
      <c r="A314" s="30" t="s">
        <v>356</v>
      </c>
      <c r="B314" s="30">
        <v>68</v>
      </c>
      <c r="C314" s="30" t="str">
        <f t="shared" si="6"/>
        <v>CD50-m068</v>
      </c>
      <c r="D314" s="7">
        <v>39.002200000000002</v>
      </c>
    </row>
    <row r="315" spans="1:78">
      <c r="A315" s="30" t="s">
        <v>356</v>
      </c>
      <c r="B315" s="30">
        <v>69</v>
      </c>
      <c r="C315" s="30" t="str">
        <f t="shared" si="6"/>
        <v>CD50-m069</v>
      </c>
      <c r="D315" s="7">
        <v>66.062399999999997</v>
      </c>
    </row>
    <row r="316" spans="1:78">
      <c r="A316" s="30" t="s">
        <v>356</v>
      </c>
      <c r="B316" s="30">
        <v>71</v>
      </c>
      <c r="C316" s="30" t="str">
        <f t="shared" si="6"/>
        <v>CD50-m071</v>
      </c>
      <c r="D316" s="7">
        <v>48.898099999999999</v>
      </c>
    </row>
    <row r="317" spans="1:78">
      <c r="A317" s="30" t="s">
        <v>356</v>
      </c>
      <c r="B317" s="30">
        <v>72</v>
      </c>
      <c r="C317" s="30" t="str">
        <f t="shared" si="6"/>
        <v>CD50-m072</v>
      </c>
      <c r="D317" s="7">
        <v>35.896099999999997</v>
      </c>
    </row>
    <row r="318" spans="1:78">
      <c r="A318" s="30" t="s">
        <v>356</v>
      </c>
      <c r="B318" s="30">
        <v>73</v>
      </c>
      <c r="C318" s="30" t="str">
        <f t="shared" si="6"/>
        <v>CD50-m073</v>
      </c>
      <c r="D318" s="7">
        <v>76.163600000000002</v>
      </c>
    </row>
    <row r="319" spans="1:78">
      <c r="A319" s="30" t="s">
        <v>356</v>
      </c>
      <c r="B319" s="30">
        <v>74</v>
      </c>
      <c r="C319" s="30" t="str">
        <f t="shared" si="6"/>
        <v>CD50-m074</v>
      </c>
      <c r="D319" s="7">
        <v>63.350900000000003</v>
      </c>
    </row>
    <row r="320" spans="1:78">
      <c r="A320" s="30" t="s">
        <v>356</v>
      </c>
      <c r="B320" s="30">
        <v>86</v>
      </c>
      <c r="C320" s="30" t="str">
        <f t="shared" si="6"/>
        <v>CD50-m086</v>
      </c>
      <c r="D320" s="7">
        <v>62.250900000000001</v>
      </c>
    </row>
    <row r="321" spans="1:4">
      <c r="A321" s="30" t="s">
        <v>356</v>
      </c>
      <c r="B321" s="30">
        <v>87</v>
      </c>
      <c r="C321" s="30" t="str">
        <f t="shared" si="6"/>
        <v>CD50-m087</v>
      </c>
      <c r="D321" s="7">
        <v>52.539400000000001</v>
      </c>
    </row>
    <row r="322" spans="1:4">
      <c r="A322" s="30" t="s">
        <v>356</v>
      </c>
      <c r="B322" s="30">
        <v>88</v>
      </c>
      <c r="C322" s="30" t="str">
        <f t="shared" si="6"/>
        <v>CD50-m088</v>
      </c>
      <c r="D322" s="7">
        <v>60.138399999999997</v>
      </c>
    </row>
    <row r="323" spans="1:4">
      <c r="A323" s="30" t="s">
        <v>356</v>
      </c>
      <c r="B323" s="30">
        <v>89</v>
      </c>
      <c r="C323" s="30" t="str">
        <f t="shared" si="6"/>
        <v>CD50-m089</v>
      </c>
      <c r="D323" s="7">
        <v>60.665399999999998</v>
      </c>
    </row>
    <row r="324" spans="1:4">
      <c r="A324" s="30" t="s">
        <v>356</v>
      </c>
      <c r="B324" s="30">
        <v>90</v>
      </c>
      <c r="C324" s="30" t="str">
        <f t="shared" si="6"/>
        <v>CD50-m090</v>
      </c>
      <c r="D324" s="7">
        <v>49.027000000000001</v>
      </c>
    </row>
    <row r="325" spans="1:4">
      <c r="A325" s="30" t="s">
        <v>356</v>
      </c>
      <c r="B325" s="30">
        <v>91</v>
      </c>
      <c r="C325" s="30" t="str">
        <f t="shared" si="6"/>
        <v>CD50-m091</v>
      </c>
      <c r="D325" s="7">
        <v>57.704999999999998</v>
      </c>
    </row>
    <row r="326" spans="1:4">
      <c r="A326" s="30" t="s">
        <v>356</v>
      </c>
      <c r="B326" s="30">
        <v>92</v>
      </c>
      <c r="C326" s="30" t="str">
        <f t="shared" si="6"/>
        <v>CD50-m092</v>
      </c>
      <c r="D326" s="7">
        <v>63.851100000000002</v>
      </c>
    </row>
    <row r="327" spans="1:4">
      <c r="A327" s="30" t="s">
        <v>356</v>
      </c>
      <c r="B327" s="30">
        <v>93</v>
      </c>
      <c r="C327" s="30" t="str">
        <f t="shared" si="6"/>
        <v>CD50-m093</v>
      </c>
      <c r="D327" s="7">
        <v>39.186500000000002</v>
      </c>
    </row>
    <row r="328" spans="1:4">
      <c r="A328" s="30" t="s">
        <v>356</v>
      </c>
      <c r="B328" s="30">
        <v>95</v>
      </c>
      <c r="C328" s="30" t="str">
        <f t="shared" si="6"/>
        <v>CD50-m095</v>
      </c>
      <c r="D328" s="7">
        <v>71.453500000000005</v>
      </c>
    </row>
    <row r="329" spans="1:4">
      <c r="A329" s="30" t="s">
        <v>356</v>
      </c>
      <c r="B329" s="30">
        <v>97</v>
      </c>
      <c r="C329" s="30" t="str">
        <f t="shared" si="6"/>
        <v>CD50-m097</v>
      </c>
      <c r="D329" s="7">
        <v>73.357399999999998</v>
      </c>
    </row>
    <row r="330" spans="1:4">
      <c r="A330" s="30" t="s">
        <v>356</v>
      </c>
      <c r="B330" s="30">
        <v>98</v>
      </c>
      <c r="C330" s="30" t="str">
        <f t="shared" si="6"/>
        <v>CD50-m098</v>
      </c>
      <c r="D330" s="7">
        <v>39.125799999999998</v>
      </c>
    </row>
    <row r="331" spans="1:4">
      <c r="A331" s="30" t="s">
        <v>356</v>
      </c>
      <c r="B331" s="30">
        <v>99</v>
      </c>
      <c r="C331" s="30" t="str">
        <f t="shared" si="6"/>
        <v>CD50-m099</v>
      </c>
      <c r="D331" s="7">
        <v>41.640500000000003</v>
      </c>
    </row>
    <row r="332" spans="1:4">
      <c r="A332" s="30" t="s">
        <v>356</v>
      </c>
      <c r="B332" s="30">
        <v>100</v>
      </c>
      <c r="C332" s="30" t="str">
        <f t="shared" si="5"/>
        <v>CD50-m100</v>
      </c>
      <c r="D332" s="7">
        <v>45.808399999999999</v>
      </c>
    </row>
    <row r="333" spans="1:4">
      <c r="A333" s="30" t="s">
        <v>356</v>
      </c>
      <c r="B333" s="30">
        <v>108</v>
      </c>
      <c r="C333" s="30" t="str">
        <f t="shared" si="5"/>
        <v>CD50-m108</v>
      </c>
      <c r="D333" s="7">
        <v>31.6829</v>
      </c>
    </row>
    <row r="334" spans="1:4">
      <c r="A334" s="30" t="s">
        <v>356</v>
      </c>
      <c r="B334" s="30">
        <v>109</v>
      </c>
      <c r="C334" s="30" t="str">
        <f t="shared" si="5"/>
        <v>CD50-m109</v>
      </c>
      <c r="D334" s="7">
        <v>43.685899999999997</v>
      </c>
    </row>
    <row r="335" spans="1:4">
      <c r="A335" s="30" t="s">
        <v>356</v>
      </c>
      <c r="B335" s="30">
        <v>110</v>
      </c>
      <c r="C335" s="30" t="str">
        <f t="shared" si="5"/>
        <v>CD50-m110</v>
      </c>
      <c r="D335" s="7">
        <v>59.841700000000003</v>
      </c>
    </row>
    <row r="336" spans="1:4">
      <c r="A336" s="30" t="s">
        <v>356</v>
      </c>
      <c r="B336" s="30">
        <v>112</v>
      </c>
      <c r="C336" s="30" t="str">
        <f t="shared" si="5"/>
        <v>CD50-m112</v>
      </c>
      <c r="D336" s="7">
        <v>43.833599999999997</v>
      </c>
    </row>
    <row r="337" spans="1:4">
      <c r="A337" s="30" t="s">
        <v>356</v>
      </c>
      <c r="B337" s="30">
        <v>126</v>
      </c>
      <c r="C337" s="30" t="str">
        <f t="shared" si="5"/>
        <v>CD50-m126</v>
      </c>
      <c r="D337" s="7">
        <v>44.8705</v>
      </c>
    </row>
    <row r="338" spans="1:4">
      <c r="A338" s="30" t="s">
        <v>356</v>
      </c>
      <c r="B338" s="30">
        <v>113</v>
      </c>
      <c r="C338" s="30" t="str">
        <f t="shared" si="5"/>
        <v>CD50-m113</v>
      </c>
      <c r="D338" s="7">
        <v>56.292400000000001</v>
      </c>
    </row>
    <row r="339" spans="1:4">
      <c r="A339" s="30" t="s">
        <v>356</v>
      </c>
      <c r="B339" s="30">
        <v>114</v>
      </c>
      <c r="C339" s="30" t="str">
        <f t="shared" si="5"/>
        <v>CD50-m114</v>
      </c>
      <c r="D339" s="7">
        <v>22.038900000000002</v>
      </c>
    </row>
    <row r="340" spans="1:4">
      <c r="A340" s="30" t="s">
        <v>356</v>
      </c>
      <c r="B340" s="30">
        <v>115</v>
      </c>
      <c r="C340" s="30" t="str">
        <f t="shared" si="5"/>
        <v>CD50-m115</v>
      </c>
      <c r="D340" s="7">
        <v>24.993600000000001</v>
      </c>
    </row>
    <row r="341" spans="1:4">
      <c r="A341" s="30" t="s">
        <v>356</v>
      </c>
      <c r="B341" s="30">
        <v>116</v>
      </c>
      <c r="C341" s="30" t="str">
        <f t="shared" si="5"/>
        <v>CD50-m116</v>
      </c>
      <c r="D341" s="7">
        <v>54.431600000000003</v>
      </c>
    </row>
    <row r="342" spans="1:4">
      <c r="A342" s="30" t="s">
        <v>356</v>
      </c>
      <c r="B342" s="30">
        <v>117</v>
      </c>
      <c r="C342" s="30" t="str">
        <f t="shared" si="5"/>
        <v>CD50-m117</v>
      </c>
      <c r="D342" s="7">
        <v>28.9983</v>
      </c>
    </row>
    <row r="343" spans="1:4">
      <c r="A343" s="30" t="s">
        <v>356</v>
      </c>
      <c r="B343" s="30">
        <v>118</v>
      </c>
      <c r="C343" s="30" t="str">
        <f t="shared" si="5"/>
        <v>CD50-m118</v>
      </c>
      <c r="D343" s="7">
        <v>15.816000000000001</v>
      </c>
    </row>
    <row r="344" spans="1:4">
      <c r="A344" s="30" t="s">
        <v>356</v>
      </c>
      <c r="B344" s="30">
        <v>119</v>
      </c>
      <c r="C344" s="30" t="str">
        <f t="shared" si="5"/>
        <v>CD50-m119</v>
      </c>
      <c r="D344" s="7">
        <v>27.656199999999998</v>
      </c>
    </row>
    <row r="345" spans="1:4">
      <c r="A345" s="30" t="s">
        <v>356</v>
      </c>
      <c r="B345" s="30">
        <v>120</v>
      </c>
      <c r="C345" s="30" t="str">
        <f t="shared" si="5"/>
        <v>CD50-m120</v>
      </c>
      <c r="D345" s="7">
        <v>46.297199999999997</v>
      </c>
    </row>
    <row r="346" spans="1:4">
      <c r="A346" s="30" t="s">
        <v>356</v>
      </c>
      <c r="B346" s="30">
        <v>122</v>
      </c>
      <c r="C346" s="30" t="str">
        <f t="shared" si="5"/>
        <v>CD50-m122</v>
      </c>
      <c r="D346" s="7">
        <v>50.125500000000002</v>
      </c>
    </row>
    <row r="347" spans="1:4">
      <c r="A347" s="30" t="s">
        <v>356</v>
      </c>
      <c r="B347" s="30">
        <v>130</v>
      </c>
      <c r="C347" s="30" t="str">
        <f t="shared" si="5"/>
        <v>CD50-m130</v>
      </c>
      <c r="D347" s="7">
        <v>75.0655</v>
      </c>
    </row>
    <row r="348" spans="1:4">
      <c r="A348" s="30" t="s">
        <v>356</v>
      </c>
      <c r="B348" s="30">
        <v>131</v>
      </c>
      <c r="C348" s="30" t="str">
        <f t="shared" si="5"/>
        <v>CD50-m131</v>
      </c>
      <c r="D348" s="7">
        <v>21.203199999999999</v>
      </c>
    </row>
    <row r="349" spans="1:4">
      <c r="A349" s="30" t="s">
        <v>356</v>
      </c>
      <c r="B349" s="30">
        <v>133</v>
      </c>
      <c r="C349" s="30" t="str">
        <f t="shared" si="5"/>
        <v>CD50-m133</v>
      </c>
      <c r="D349" s="7">
        <v>47.284500000000001</v>
      </c>
    </row>
    <row r="350" spans="1:4">
      <c r="A350" s="30" t="s">
        <v>356</v>
      </c>
      <c r="B350" s="30">
        <v>134</v>
      </c>
      <c r="C350" s="30" t="str">
        <f t="shared" si="5"/>
        <v>CD50-m134</v>
      </c>
      <c r="D350" s="7">
        <v>41.203600000000002</v>
      </c>
    </row>
    <row r="351" spans="1:4">
      <c r="A351" s="30" t="s">
        <v>356</v>
      </c>
      <c r="B351" s="30">
        <v>135</v>
      </c>
      <c r="C351" s="30" t="str">
        <f t="shared" si="5"/>
        <v>CD50-m135</v>
      </c>
      <c r="D351" s="7">
        <v>29.652999999999999</v>
      </c>
    </row>
    <row r="352" spans="1:4">
      <c r="A352" s="30" t="s">
        <v>356</v>
      </c>
      <c r="B352" s="30">
        <v>136</v>
      </c>
      <c r="C352" s="30" t="str">
        <f t="shared" si="5"/>
        <v>CD50-m136</v>
      </c>
      <c r="D352" s="7">
        <v>66.373800000000003</v>
      </c>
    </row>
    <row r="353" spans="1:4">
      <c r="A353" s="30" t="s">
        <v>356</v>
      </c>
      <c r="B353" s="30">
        <v>137</v>
      </c>
      <c r="C353" s="30" t="str">
        <f t="shared" si="5"/>
        <v>CD50-m137</v>
      </c>
      <c r="D353" s="7">
        <v>46.688299999999998</v>
      </c>
    </row>
    <row r="354" spans="1:4">
      <c r="A354" s="30" t="s">
        <v>356</v>
      </c>
      <c r="B354" s="30">
        <v>138</v>
      </c>
      <c r="C354" s="30" t="str">
        <f t="shared" si="5"/>
        <v>CD50-m138</v>
      </c>
      <c r="D354" s="7">
        <v>8.7096999999999998</v>
      </c>
    </row>
    <row r="355" spans="1:4">
      <c r="A355" s="30" t="s">
        <v>356</v>
      </c>
      <c r="B355" s="30">
        <v>139</v>
      </c>
      <c r="C355" s="30" t="str">
        <f t="shared" si="5"/>
        <v>CD50-m139</v>
      </c>
      <c r="D355" s="7">
        <v>68.3917</v>
      </c>
    </row>
    <row r="356" spans="1:4">
      <c r="A356" s="30" t="s">
        <v>356</v>
      </c>
      <c r="B356" s="30">
        <v>147</v>
      </c>
      <c r="C356" s="30" t="str">
        <f t="shared" si="5"/>
        <v>CD50-m147</v>
      </c>
      <c r="D356" s="7">
        <v>59.307099999999998</v>
      </c>
    </row>
    <row r="357" spans="1:4">
      <c r="A357" s="30" t="s">
        <v>356</v>
      </c>
      <c r="B357" s="30">
        <v>148</v>
      </c>
      <c r="C357" s="30" t="str">
        <f t="shared" si="5"/>
        <v>CD50-m148</v>
      </c>
      <c r="D357" s="7">
        <v>0.4597</v>
      </c>
    </row>
    <row r="358" spans="1:4">
      <c r="A358" s="30" t="s">
        <v>356</v>
      </c>
      <c r="B358" s="30">
        <v>149</v>
      </c>
      <c r="C358" s="30" t="str">
        <f t="shared" si="5"/>
        <v>CD50-m149</v>
      </c>
      <c r="D358" s="7">
        <v>53.820399999999999</v>
      </c>
    </row>
    <row r="359" spans="1:4">
      <c r="A359" s="30" t="s">
        <v>356</v>
      </c>
      <c r="B359" s="30">
        <v>150</v>
      </c>
      <c r="C359" s="30" t="str">
        <f t="shared" si="5"/>
        <v>CD50-m150</v>
      </c>
      <c r="D359" s="7">
        <v>45.237000000000002</v>
      </c>
    </row>
    <row r="360" spans="1:4">
      <c r="A360" s="30" t="s">
        <v>356</v>
      </c>
      <c r="B360" s="30">
        <v>151</v>
      </c>
      <c r="C360" s="30" t="str">
        <f t="shared" si="5"/>
        <v>CD50-m151</v>
      </c>
      <c r="D360" s="7">
        <v>64.163600000000002</v>
      </c>
    </row>
    <row r="361" spans="1:4">
      <c r="A361" s="30" t="s">
        <v>356</v>
      </c>
      <c r="B361" s="30">
        <v>152</v>
      </c>
      <c r="C361" s="30" t="str">
        <f t="shared" si="5"/>
        <v>CD50-m152</v>
      </c>
      <c r="D361" s="7">
        <v>65.427400000000006</v>
      </c>
    </row>
    <row r="362" spans="1:4">
      <c r="A362" s="30" t="s">
        <v>356</v>
      </c>
      <c r="B362" s="30">
        <v>153</v>
      </c>
      <c r="C362" s="30" t="str">
        <f t="shared" si="5"/>
        <v>CD50-m153</v>
      </c>
      <c r="D362" s="7">
        <v>49.408299999999997</v>
      </c>
    </row>
    <row r="363" spans="1:4">
      <c r="A363" s="30" t="s">
        <v>356</v>
      </c>
      <c r="B363" s="30">
        <v>154</v>
      </c>
      <c r="C363" s="30" t="str">
        <f t="shared" si="5"/>
        <v>CD50-m154</v>
      </c>
      <c r="D363" s="7">
        <v>55.127400000000002</v>
      </c>
    </row>
    <row r="364" spans="1:4">
      <c r="A364" s="30" t="s">
        <v>356</v>
      </c>
      <c r="B364" s="30">
        <v>155</v>
      </c>
      <c r="C364" s="30" t="str">
        <f t="shared" ref="C364:C427" si="7">_xlfn.CONCAT(A364,"-m",B364)</f>
        <v>CD50-m155</v>
      </c>
      <c r="D364" s="7">
        <v>82.4405</v>
      </c>
    </row>
    <row r="365" spans="1:4">
      <c r="A365" s="30" t="s">
        <v>356</v>
      </c>
      <c r="B365" s="30">
        <v>156</v>
      </c>
      <c r="C365" s="30" t="str">
        <f t="shared" si="7"/>
        <v>CD50-m156</v>
      </c>
      <c r="D365" s="7">
        <v>49.260100000000001</v>
      </c>
    </row>
    <row r="366" spans="1:4">
      <c r="A366" s="30" t="s">
        <v>356</v>
      </c>
      <c r="B366" s="30">
        <v>161</v>
      </c>
      <c r="C366" s="30" t="str">
        <f t="shared" si="7"/>
        <v>CD50-m161</v>
      </c>
      <c r="D366" s="7">
        <v>72.207400000000007</v>
      </c>
    </row>
    <row r="367" spans="1:4">
      <c r="A367" s="30" t="s">
        <v>356</v>
      </c>
      <c r="B367" s="30">
        <v>163</v>
      </c>
      <c r="C367" s="30" t="str">
        <f t="shared" si="7"/>
        <v>CD50-m163</v>
      </c>
      <c r="D367" s="7">
        <v>66.601600000000005</v>
      </c>
    </row>
    <row r="368" spans="1:4">
      <c r="A368" s="30" t="s">
        <v>356</v>
      </c>
      <c r="B368" s="30">
        <v>166</v>
      </c>
      <c r="C368" s="30" t="str">
        <f t="shared" si="7"/>
        <v>CD50-m166</v>
      </c>
      <c r="D368" s="7">
        <v>81.611900000000006</v>
      </c>
    </row>
    <row r="369" spans="1:4">
      <c r="A369" s="30" t="s">
        <v>356</v>
      </c>
      <c r="B369" s="30">
        <v>167</v>
      </c>
      <c r="C369" s="30" t="str">
        <f t="shared" si="7"/>
        <v>CD50-m167</v>
      </c>
      <c r="D369" s="7">
        <v>59.385199999999998</v>
      </c>
    </row>
    <row r="370" spans="1:4">
      <c r="A370" s="30" t="s">
        <v>356</v>
      </c>
      <c r="B370" s="30">
        <v>168</v>
      </c>
      <c r="C370" s="30" t="str">
        <f t="shared" si="7"/>
        <v>CD50-m168</v>
      </c>
      <c r="D370" s="7">
        <v>69.786600000000007</v>
      </c>
    </row>
    <row r="371" spans="1:4">
      <c r="A371" s="30" t="s">
        <v>356</v>
      </c>
      <c r="B371" s="30">
        <v>169</v>
      </c>
      <c r="C371" s="30" t="str">
        <f t="shared" si="7"/>
        <v>CD50-m169</v>
      </c>
      <c r="D371" s="7">
        <v>71.588899999999995</v>
      </c>
    </row>
    <row r="372" spans="1:4">
      <c r="A372" s="30" t="s">
        <v>356</v>
      </c>
      <c r="B372" s="30">
        <v>170</v>
      </c>
      <c r="C372" s="30" t="str">
        <f t="shared" si="7"/>
        <v>CD50-m170</v>
      </c>
      <c r="D372" s="7">
        <v>48.267899999999997</v>
      </c>
    </row>
    <row r="373" spans="1:4">
      <c r="A373" s="30" t="s">
        <v>356</v>
      </c>
      <c r="B373" s="30">
        <v>172</v>
      </c>
      <c r="C373" s="30" t="str">
        <f t="shared" si="7"/>
        <v>CD50-m172</v>
      </c>
      <c r="D373" s="7">
        <v>87.125699999999995</v>
      </c>
    </row>
    <row r="374" spans="1:4">
      <c r="A374" s="30" t="s">
        <v>356</v>
      </c>
      <c r="B374" s="30">
        <v>175</v>
      </c>
      <c r="C374" s="30" t="str">
        <f t="shared" si="7"/>
        <v>CD50-m175</v>
      </c>
      <c r="D374" s="7">
        <v>74.036299999999997</v>
      </c>
    </row>
    <row r="375" spans="1:4">
      <c r="A375" s="30" t="s">
        <v>356</v>
      </c>
      <c r="B375" s="30">
        <v>176</v>
      </c>
      <c r="C375" s="30" t="str">
        <f t="shared" si="7"/>
        <v>CD50-m176</v>
      </c>
      <c r="D375" s="7">
        <v>46.3611</v>
      </c>
    </row>
    <row r="376" spans="1:4">
      <c r="A376" s="30" t="s">
        <v>356</v>
      </c>
      <c r="B376" s="30">
        <v>181</v>
      </c>
      <c r="C376" s="30" t="str">
        <f t="shared" si="7"/>
        <v>CD50-m181</v>
      </c>
      <c r="D376" s="7">
        <v>57.919400000000003</v>
      </c>
    </row>
    <row r="377" spans="1:4">
      <c r="A377" s="30" t="s">
        <v>356</v>
      </c>
      <c r="B377" s="30">
        <v>183</v>
      </c>
      <c r="C377" s="30" t="str">
        <f t="shared" si="7"/>
        <v>CD50-m183</v>
      </c>
      <c r="D377" s="7">
        <v>43.238199999999999</v>
      </c>
    </row>
    <row r="378" spans="1:4">
      <c r="A378" s="30" t="s">
        <v>356</v>
      </c>
      <c r="B378" s="30">
        <v>184</v>
      </c>
      <c r="C378" s="30" t="str">
        <f t="shared" si="7"/>
        <v>CD50-m184</v>
      </c>
      <c r="D378" s="7">
        <v>55.787500000000001</v>
      </c>
    </row>
    <row r="379" spans="1:4">
      <c r="A379" s="30" t="s">
        <v>356</v>
      </c>
      <c r="B379" s="30">
        <v>185</v>
      </c>
      <c r="C379" s="30" t="str">
        <f t="shared" si="7"/>
        <v>CD50-m185</v>
      </c>
      <c r="D379" s="7">
        <v>62.9206</v>
      </c>
    </row>
    <row r="380" spans="1:4">
      <c r="A380" s="30" t="s">
        <v>356</v>
      </c>
      <c r="B380" s="30">
        <v>186</v>
      </c>
      <c r="C380" s="30" t="str">
        <f t="shared" si="7"/>
        <v>CD50-m186</v>
      </c>
      <c r="D380" s="7">
        <v>48.907800000000002</v>
      </c>
    </row>
    <row r="381" spans="1:4">
      <c r="A381" s="30" t="s">
        <v>356</v>
      </c>
      <c r="B381" s="30">
        <v>187</v>
      </c>
      <c r="C381" s="30" t="str">
        <f t="shared" si="7"/>
        <v>CD50-m187</v>
      </c>
      <c r="D381" s="7">
        <v>67.391599999999997</v>
      </c>
    </row>
    <row r="382" spans="1:4">
      <c r="A382" s="30" t="s">
        <v>356</v>
      </c>
      <c r="B382" s="30">
        <v>188</v>
      </c>
      <c r="C382" s="30" t="str">
        <f t="shared" si="7"/>
        <v>CD50-m188</v>
      </c>
      <c r="D382" s="7">
        <v>67.866500000000002</v>
      </c>
    </row>
    <row r="383" spans="1:4">
      <c r="A383" s="30" t="s">
        <v>356</v>
      </c>
      <c r="B383" s="30">
        <v>189</v>
      </c>
      <c r="C383" s="30" t="str">
        <f t="shared" si="7"/>
        <v>CD50-m189</v>
      </c>
      <c r="D383" s="7">
        <v>46.440300000000001</v>
      </c>
    </row>
    <row r="384" spans="1:4">
      <c r="A384" s="30" t="s">
        <v>356</v>
      </c>
      <c r="B384" s="30">
        <v>190</v>
      </c>
      <c r="C384" s="30" t="str">
        <f t="shared" si="7"/>
        <v>CD50-m190</v>
      </c>
      <c r="D384" s="7">
        <v>46.499299999999998</v>
      </c>
    </row>
    <row r="385" spans="1:83">
      <c r="A385" s="30" t="s">
        <v>356</v>
      </c>
      <c r="B385" s="30">
        <v>191</v>
      </c>
      <c r="C385" s="30" t="str">
        <f t="shared" si="7"/>
        <v>CD50-m191</v>
      </c>
      <c r="D385" s="7">
        <v>78.524799999999999</v>
      </c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</row>
    <row r="386" spans="1:83">
      <c r="A386" s="30" t="s">
        <v>357</v>
      </c>
      <c r="B386" s="30">
        <v>653</v>
      </c>
      <c r="C386" s="30" t="str">
        <f t="shared" si="7"/>
        <v>CD56-m653</v>
      </c>
      <c r="D386" s="7">
        <v>38.501100000000001</v>
      </c>
    </row>
    <row r="387" spans="1:83">
      <c r="A387" s="30" t="s">
        <v>357</v>
      </c>
      <c r="B387" s="30">
        <v>673</v>
      </c>
      <c r="C387" s="30" t="str">
        <f t="shared" si="7"/>
        <v>CD56-m673</v>
      </c>
      <c r="D387" s="7">
        <v>48.312800000000003</v>
      </c>
    </row>
    <row r="388" spans="1:83">
      <c r="A388" s="30" t="s">
        <v>357</v>
      </c>
      <c r="B388" s="30">
        <v>675</v>
      </c>
      <c r="C388" s="30" t="str">
        <f t="shared" si="7"/>
        <v>CD56-m675</v>
      </c>
      <c r="D388" s="7">
        <v>36.746600000000001</v>
      </c>
    </row>
    <row r="389" spans="1:83">
      <c r="A389" s="30" t="s">
        <v>357</v>
      </c>
      <c r="B389" s="30">
        <v>670</v>
      </c>
      <c r="C389" s="30" t="str">
        <f t="shared" si="7"/>
        <v>CD56-m670</v>
      </c>
      <c r="D389" s="7">
        <v>31.552800000000001</v>
      </c>
    </row>
    <row r="390" spans="1:83">
      <c r="A390" s="30" t="s">
        <v>357</v>
      </c>
      <c r="B390" s="30">
        <v>671</v>
      </c>
      <c r="C390" s="30" t="str">
        <f t="shared" si="7"/>
        <v>CD56-m671</v>
      </c>
      <c r="D390" s="7">
        <v>33.646299999999997</v>
      </c>
    </row>
    <row r="391" spans="1:83">
      <c r="A391" s="30" t="s">
        <v>357</v>
      </c>
      <c r="B391" s="30">
        <v>678</v>
      </c>
      <c r="C391" s="30" t="str">
        <f t="shared" si="7"/>
        <v>CD56-m678</v>
      </c>
      <c r="D391" s="7">
        <v>21.9693</v>
      </c>
    </row>
    <row r="392" spans="1:83">
      <c r="A392" s="30" t="s">
        <v>357</v>
      </c>
      <c r="B392" s="30">
        <v>703</v>
      </c>
      <c r="C392" s="30" t="str">
        <f t="shared" si="7"/>
        <v>CD56-m703</v>
      </c>
      <c r="D392" s="7">
        <v>5.9188000000000001</v>
      </c>
    </row>
    <row r="393" spans="1:83">
      <c r="A393" s="30" t="s">
        <v>357</v>
      </c>
      <c r="B393" s="30">
        <v>704</v>
      </c>
      <c r="C393" s="30" t="str">
        <f t="shared" si="7"/>
        <v>CD56-m704</v>
      </c>
      <c r="D393" s="7">
        <v>3.9824000000000002</v>
      </c>
    </row>
    <row r="394" spans="1:83">
      <c r="A394" s="30" t="s">
        <v>357</v>
      </c>
      <c r="B394" s="30">
        <v>705</v>
      </c>
      <c r="C394" s="30" t="str">
        <f t="shared" si="7"/>
        <v>CD56-m705</v>
      </c>
      <c r="D394" s="7">
        <v>1.0686</v>
      </c>
    </row>
    <row r="395" spans="1:83">
      <c r="A395" s="30" t="s">
        <v>357</v>
      </c>
      <c r="B395" s="30">
        <v>706</v>
      </c>
      <c r="C395" s="30" t="str">
        <f t="shared" si="7"/>
        <v>CD56-m706</v>
      </c>
      <c r="D395" s="7">
        <v>12.155099999999999</v>
      </c>
    </row>
    <row r="396" spans="1:83">
      <c r="A396" s="30" t="s">
        <v>357</v>
      </c>
      <c r="B396" s="30">
        <v>707</v>
      </c>
      <c r="C396" s="30" t="str">
        <f t="shared" si="7"/>
        <v>CD56-m707</v>
      </c>
      <c r="D396" s="7">
        <v>2.9773999999999998</v>
      </c>
    </row>
    <row r="397" spans="1:83">
      <c r="A397" s="30" t="s">
        <v>357</v>
      </c>
      <c r="B397" s="30">
        <v>708</v>
      </c>
      <c r="C397" s="30" t="str">
        <f t="shared" si="7"/>
        <v>CD56-m708</v>
      </c>
      <c r="D397" s="7">
        <v>27.469000000000001</v>
      </c>
    </row>
    <row r="398" spans="1:83">
      <c r="A398" s="30" t="s">
        <v>357</v>
      </c>
      <c r="B398" s="30">
        <v>709</v>
      </c>
      <c r="C398" s="30" t="str">
        <f t="shared" si="7"/>
        <v>CD56-m709</v>
      </c>
      <c r="D398" s="7">
        <v>20.896699999999999</v>
      </c>
    </row>
    <row r="399" spans="1:83">
      <c r="A399" s="30" t="s">
        <v>357</v>
      </c>
      <c r="B399" s="30">
        <v>710</v>
      </c>
      <c r="C399" s="30" t="str">
        <f t="shared" si="7"/>
        <v>CD56-m710</v>
      </c>
      <c r="D399" s="7">
        <v>25.903099999999998</v>
      </c>
    </row>
    <row r="400" spans="1:83">
      <c r="A400" s="30" t="s">
        <v>357</v>
      </c>
      <c r="B400" s="30">
        <v>711</v>
      </c>
      <c r="C400" s="30" t="str">
        <f t="shared" si="7"/>
        <v>CD56-m711</v>
      </c>
      <c r="D400" s="7">
        <v>28.487400000000001</v>
      </c>
    </row>
    <row r="401" spans="1:4">
      <c r="A401" s="30" t="s">
        <v>357</v>
      </c>
      <c r="B401" s="30">
        <v>712</v>
      </c>
      <c r="C401" s="30" t="str">
        <f t="shared" si="7"/>
        <v>CD56-m712</v>
      </c>
      <c r="D401" s="7">
        <v>15.769500000000001</v>
      </c>
    </row>
    <row r="402" spans="1:4">
      <c r="A402" s="30" t="s">
        <v>357</v>
      </c>
      <c r="B402" s="30">
        <v>713</v>
      </c>
      <c r="C402" s="30" t="str">
        <f t="shared" si="7"/>
        <v>CD56-m713</v>
      </c>
      <c r="D402" s="7">
        <v>13.289099999999999</v>
      </c>
    </row>
    <row r="403" spans="1:4">
      <c r="A403" s="30" t="s">
        <v>357</v>
      </c>
      <c r="B403" s="30">
        <v>602</v>
      </c>
      <c r="C403" s="30" t="str">
        <f t="shared" si="7"/>
        <v>CD56-m602</v>
      </c>
      <c r="D403" s="7">
        <v>30.302600000000002</v>
      </c>
    </row>
    <row r="404" spans="1:4">
      <c r="A404" s="30" t="s">
        <v>357</v>
      </c>
      <c r="B404" s="30">
        <v>604</v>
      </c>
      <c r="C404" s="30" t="str">
        <f t="shared" si="7"/>
        <v>CD56-m604</v>
      </c>
      <c r="D404" s="7">
        <v>10.1777</v>
      </c>
    </row>
    <row r="405" spans="1:4">
      <c r="A405" s="30" t="s">
        <v>357</v>
      </c>
      <c r="B405" s="30">
        <v>610</v>
      </c>
      <c r="C405" s="30" t="str">
        <f t="shared" si="7"/>
        <v>CD56-m610</v>
      </c>
      <c r="D405" s="7">
        <v>4.3737000000000004</v>
      </c>
    </row>
    <row r="406" spans="1:4">
      <c r="A406" s="30" t="s">
        <v>357</v>
      </c>
      <c r="B406" s="30">
        <v>595</v>
      </c>
      <c r="C406" s="30" t="str">
        <f t="shared" si="7"/>
        <v>CD56-m595</v>
      </c>
      <c r="D406" s="7">
        <v>19.374700000000001</v>
      </c>
    </row>
    <row r="407" spans="1:4">
      <c r="A407" s="30" t="s">
        <v>357</v>
      </c>
      <c r="B407" s="30">
        <v>598</v>
      </c>
      <c r="C407" s="30" t="str">
        <f t="shared" si="7"/>
        <v>CD56-m598</v>
      </c>
      <c r="D407" s="7">
        <v>21.534700000000001</v>
      </c>
    </row>
    <row r="408" spans="1:4">
      <c r="A408" s="30" t="s">
        <v>357</v>
      </c>
      <c r="B408" s="30">
        <v>608</v>
      </c>
      <c r="C408" s="30" t="str">
        <f t="shared" si="7"/>
        <v>CD56-m608</v>
      </c>
      <c r="D408" s="7">
        <v>25.108499999999999</v>
      </c>
    </row>
    <row r="409" spans="1:4">
      <c r="A409" s="30" t="s">
        <v>357</v>
      </c>
      <c r="B409" s="30">
        <v>644</v>
      </c>
      <c r="C409" s="30" t="str">
        <f t="shared" si="7"/>
        <v>CD56-m644</v>
      </c>
      <c r="D409" s="7">
        <v>23.552299999999999</v>
      </c>
    </row>
    <row r="410" spans="1:4">
      <c r="A410" s="30" t="s">
        <v>357</v>
      </c>
      <c r="B410" s="30">
        <v>662</v>
      </c>
      <c r="C410" s="30" t="str">
        <f t="shared" si="7"/>
        <v>CD56-m662</v>
      </c>
      <c r="D410" s="7">
        <v>27.979600000000001</v>
      </c>
    </row>
    <row r="411" spans="1:4">
      <c r="A411" s="30" t="s">
        <v>357</v>
      </c>
      <c r="B411" s="30">
        <v>663</v>
      </c>
      <c r="C411" s="30" t="str">
        <f t="shared" si="7"/>
        <v>CD56-m663</v>
      </c>
      <c r="D411" s="7">
        <v>29.908799999999999</v>
      </c>
    </row>
    <row r="412" spans="1:4">
      <c r="A412" s="30" t="s">
        <v>357</v>
      </c>
      <c r="B412" s="30">
        <v>672</v>
      </c>
      <c r="C412" s="30" t="str">
        <f t="shared" si="7"/>
        <v>CD56-m672</v>
      </c>
      <c r="D412" s="7">
        <v>9.7940000000000005</v>
      </c>
    </row>
    <row r="413" spans="1:4">
      <c r="A413" s="30" t="s">
        <v>357</v>
      </c>
      <c r="B413" s="30">
        <v>624</v>
      </c>
      <c r="C413" s="30" t="str">
        <f t="shared" si="7"/>
        <v>CD56-m624</v>
      </c>
      <c r="D413" s="7">
        <v>10.642899999999999</v>
      </c>
    </row>
    <row r="414" spans="1:4">
      <c r="A414" s="30" t="s">
        <v>357</v>
      </c>
      <c r="B414" s="30">
        <v>633</v>
      </c>
      <c r="C414" s="30" t="str">
        <f t="shared" si="7"/>
        <v>CD56-m633</v>
      </c>
      <c r="D414" s="7">
        <v>13.1213</v>
      </c>
    </row>
    <row r="415" spans="1:4">
      <c r="A415" s="30" t="s">
        <v>357</v>
      </c>
      <c r="B415" s="30">
        <v>636</v>
      </c>
      <c r="C415" s="30" t="str">
        <f t="shared" si="7"/>
        <v>CD56-m636</v>
      </c>
      <c r="D415" s="7">
        <v>8.9220000000000006</v>
      </c>
    </row>
    <row r="416" spans="1:4">
      <c r="A416" s="30" t="s">
        <v>357</v>
      </c>
      <c r="B416" s="30">
        <v>664</v>
      </c>
      <c r="C416" s="30" t="str">
        <f t="shared" si="7"/>
        <v>CD56-m664</v>
      </c>
      <c r="D416" s="7">
        <v>26.4512</v>
      </c>
    </row>
    <row r="417" spans="1:4">
      <c r="A417" s="30" t="s">
        <v>357</v>
      </c>
      <c r="B417" s="30">
        <v>681</v>
      </c>
      <c r="C417" s="30" t="str">
        <f t="shared" si="7"/>
        <v>CD56-m681</v>
      </c>
      <c r="D417" s="7">
        <v>29.191299999999998</v>
      </c>
    </row>
    <row r="418" spans="1:4">
      <c r="A418" s="30" t="s">
        <v>357</v>
      </c>
      <c r="B418" s="30">
        <v>682</v>
      </c>
      <c r="C418" s="30" t="str">
        <f t="shared" si="7"/>
        <v>CD56-m682</v>
      </c>
      <c r="D418" s="7">
        <v>23.741</v>
      </c>
    </row>
    <row r="419" spans="1:4">
      <c r="A419" s="30" t="s">
        <v>357</v>
      </c>
      <c r="B419" s="30">
        <v>683</v>
      </c>
      <c r="C419" s="30" t="str">
        <f t="shared" si="7"/>
        <v>CD56-m683</v>
      </c>
      <c r="D419" s="7">
        <v>3.0125000000000002</v>
      </c>
    </row>
    <row r="420" spans="1:4">
      <c r="A420" s="30" t="s">
        <v>357</v>
      </c>
      <c r="B420" s="30">
        <v>684</v>
      </c>
      <c r="C420" s="30" t="str">
        <f t="shared" si="7"/>
        <v>CD56-m684</v>
      </c>
      <c r="D420" s="7">
        <v>1.6817</v>
      </c>
    </row>
    <row r="421" spans="1:4">
      <c r="A421" s="30" t="s">
        <v>357</v>
      </c>
      <c r="B421" s="30">
        <v>685</v>
      </c>
      <c r="C421" s="30" t="str">
        <f t="shared" si="7"/>
        <v>CD56-m685</v>
      </c>
      <c r="D421" s="7">
        <v>5.1128999999999998</v>
      </c>
    </row>
    <row r="422" spans="1:4">
      <c r="A422" s="30" t="s">
        <v>357</v>
      </c>
      <c r="B422" s="30">
        <v>686</v>
      </c>
      <c r="C422" s="30" t="str">
        <f t="shared" si="7"/>
        <v>CD56-m686</v>
      </c>
      <c r="D422" s="7">
        <v>1.2722</v>
      </c>
    </row>
    <row r="423" spans="1:4">
      <c r="A423" s="30" t="s">
        <v>357</v>
      </c>
      <c r="B423" s="30">
        <v>687</v>
      </c>
      <c r="C423" s="30" t="str">
        <f t="shared" si="7"/>
        <v>CD56-m687</v>
      </c>
      <c r="D423" s="7">
        <v>2.8428</v>
      </c>
    </row>
    <row r="424" spans="1:4">
      <c r="A424" s="30" t="s">
        <v>357</v>
      </c>
      <c r="B424" s="30">
        <v>688</v>
      </c>
      <c r="C424" s="30" t="str">
        <f t="shared" si="7"/>
        <v>CD56-m688</v>
      </c>
      <c r="D424" s="7">
        <v>18.757300000000001</v>
      </c>
    </row>
    <row r="425" spans="1:4">
      <c r="A425" s="30" t="s">
        <v>357</v>
      </c>
      <c r="B425" s="30">
        <v>689</v>
      </c>
      <c r="C425" s="30" t="str">
        <f t="shared" si="7"/>
        <v>CD56-m689</v>
      </c>
      <c r="D425" s="7">
        <v>10.2692</v>
      </c>
    </row>
    <row r="426" spans="1:4">
      <c r="A426" s="30" t="s">
        <v>357</v>
      </c>
      <c r="B426" s="30">
        <v>690</v>
      </c>
      <c r="C426" s="30" t="str">
        <f t="shared" si="7"/>
        <v>CD56-m690</v>
      </c>
      <c r="D426" s="7">
        <v>16.9117</v>
      </c>
    </row>
    <row r="427" spans="1:4">
      <c r="A427" s="30" t="s">
        <v>357</v>
      </c>
      <c r="B427" s="30">
        <v>691</v>
      </c>
      <c r="C427" s="30" t="str">
        <f t="shared" si="7"/>
        <v>CD56-m691</v>
      </c>
      <c r="D427" s="7">
        <v>20.060600000000001</v>
      </c>
    </row>
    <row r="428" spans="1:4">
      <c r="A428" s="30" t="s">
        <v>357</v>
      </c>
      <c r="B428" s="30">
        <v>601</v>
      </c>
      <c r="C428" s="30" t="str">
        <f t="shared" ref="C428:C462" si="8">_xlfn.CONCAT(A428,"-m",B428)</f>
        <v>CD56-m601</v>
      </c>
      <c r="D428" s="7">
        <v>40.902200000000001</v>
      </c>
    </row>
    <row r="429" spans="1:4">
      <c r="A429" s="30" t="s">
        <v>357</v>
      </c>
      <c r="B429" s="30">
        <v>605</v>
      </c>
      <c r="C429" s="30" t="str">
        <f t="shared" si="8"/>
        <v>CD56-m605</v>
      </c>
      <c r="D429" s="7">
        <v>39.447299999999998</v>
      </c>
    </row>
    <row r="430" spans="1:4">
      <c r="A430" s="30" t="s">
        <v>357</v>
      </c>
      <c r="B430" s="30">
        <v>606</v>
      </c>
      <c r="C430" s="30" t="str">
        <f t="shared" si="8"/>
        <v>CD56-m606</v>
      </c>
      <c r="D430" s="7">
        <v>50.455199999999998</v>
      </c>
    </row>
    <row r="431" spans="1:4">
      <c r="A431" s="30" t="s">
        <v>357</v>
      </c>
      <c r="B431" s="30">
        <v>603</v>
      </c>
      <c r="C431" s="30" t="str">
        <f t="shared" si="8"/>
        <v>CD56-m603</v>
      </c>
      <c r="D431" s="7">
        <v>14.7349</v>
      </c>
    </row>
    <row r="432" spans="1:4">
      <c r="A432" s="30" t="s">
        <v>357</v>
      </c>
      <c r="B432" s="30">
        <v>611</v>
      </c>
      <c r="C432" s="30" t="str">
        <f t="shared" si="8"/>
        <v>CD56-m611</v>
      </c>
      <c r="D432" s="7">
        <v>41.432400000000001</v>
      </c>
    </row>
    <row r="433" spans="1:4">
      <c r="A433" s="30" t="s">
        <v>357</v>
      </c>
      <c r="B433" s="30">
        <v>617</v>
      </c>
      <c r="C433" s="30" t="str">
        <f t="shared" si="8"/>
        <v>CD56-m617</v>
      </c>
      <c r="D433" s="7">
        <v>116.136</v>
      </c>
    </row>
    <row r="434" spans="1:4">
      <c r="A434" s="30" t="s">
        <v>357</v>
      </c>
      <c r="B434" s="30">
        <v>637</v>
      </c>
      <c r="C434" s="30" t="str">
        <f t="shared" si="8"/>
        <v>CD56-m637</v>
      </c>
      <c r="D434" s="7">
        <v>25.121200000000002</v>
      </c>
    </row>
    <row r="435" spans="1:4">
      <c r="A435" s="30" t="s">
        <v>357</v>
      </c>
      <c r="B435" s="30">
        <v>645</v>
      </c>
      <c r="C435" s="30" t="str">
        <f t="shared" si="8"/>
        <v>CD56-m645</v>
      </c>
      <c r="D435" s="7">
        <v>29.654199999999999</v>
      </c>
    </row>
    <row r="436" spans="1:4">
      <c r="A436" s="30" t="s">
        <v>357</v>
      </c>
      <c r="B436" s="30">
        <v>650</v>
      </c>
      <c r="C436" s="30" t="str">
        <f t="shared" si="8"/>
        <v>CD56-m650</v>
      </c>
      <c r="D436" s="7">
        <v>3.7000999999999999</v>
      </c>
    </row>
    <row r="437" spans="1:4">
      <c r="A437" s="30" t="s">
        <v>357</v>
      </c>
      <c r="B437" s="30">
        <v>657</v>
      </c>
      <c r="C437" s="30" t="str">
        <f t="shared" si="8"/>
        <v>CD56-m657</v>
      </c>
      <c r="D437" s="7">
        <v>71.082999999999998</v>
      </c>
    </row>
    <row r="438" spans="1:4">
      <c r="A438" s="30" t="s">
        <v>357</v>
      </c>
      <c r="B438" s="30">
        <v>647</v>
      </c>
      <c r="C438" s="30" t="str">
        <f t="shared" si="8"/>
        <v>CD56-m647</v>
      </c>
      <c r="D438" s="7">
        <v>42.023600000000002</v>
      </c>
    </row>
    <row r="439" spans="1:4">
      <c r="A439" s="30" t="s">
        <v>357</v>
      </c>
      <c r="B439" s="30">
        <v>665</v>
      </c>
      <c r="C439" s="30" t="str">
        <f t="shared" si="8"/>
        <v>CD56-m665</v>
      </c>
      <c r="D439" s="7">
        <v>36.6494</v>
      </c>
    </row>
    <row r="440" spans="1:4">
      <c r="A440" s="30" t="s">
        <v>357</v>
      </c>
      <c r="B440" s="30">
        <v>668</v>
      </c>
      <c r="C440" s="30" t="str">
        <f t="shared" si="8"/>
        <v>CD56-m668</v>
      </c>
      <c r="D440" s="7">
        <v>10.738799999999999</v>
      </c>
    </row>
    <row r="441" spans="1:4">
      <c r="A441" s="30" t="s">
        <v>357</v>
      </c>
      <c r="B441" s="30">
        <v>692</v>
      </c>
      <c r="C441" s="30" t="str">
        <f t="shared" si="8"/>
        <v>CD56-m692</v>
      </c>
      <c r="D441" s="7">
        <v>36.243200000000002</v>
      </c>
    </row>
    <row r="442" spans="1:4">
      <c r="A442" s="30" t="s">
        <v>357</v>
      </c>
      <c r="B442" s="30">
        <v>693</v>
      </c>
      <c r="C442" s="30" t="str">
        <f t="shared" si="8"/>
        <v>CD56-m693</v>
      </c>
      <c r="D442" s="7">
        <v>10.2287</v>
      </c>
    </row>
    <row r="443" spans="1:4">
      <c r="A443" s="30" t="s">
        <v>357</v>
      </c>
      <c r="B443" s="30">
        <v>694</v>
      </c>
      <c r="C443" s="30" t="str">
        <f t="shared" si="8"/>
        <v>CD56-m694</v>
      </c>
      <c r="D443" s="7">
        <v>16.336600000000001</v>
      </c>
    </row>
    <row r="444" spans="1:4">
      <c r="A444" s="30" t="s">
        <v>357</v>
      </c>
      <c r="B444" s="30">
        <v>695</v>
      </c>
      <c r="C444" s="30" t="str">
        <f t="shared" si="8"/>
        <v>CD56-m695</v>
      </c>
      <c r="D444" s="7">
        <v>5.3825000000000003</v>
      </c>
    </row>
    <row r="445" spans="1:4">
      <c r="A445" s="30" t="s">
        <v>357</v>
      </c>
      <c r="B445" s="30">
        <v>696</v>
      </c>
      <c r="C445" s="30" t="str">
        <f t="shared" si="8"/>
        <v>CD56-m696</v>
      </c>
      <c r="D445" s="7">
        <v>24.215199999999999</v>
      </c>
    </row>
    <row r="446" spans="1:4">
      <c r="A446" s="30" t="s">
        <v>357</v>
      </c>
      <c r="B446" s="30">
        <v>697</v>
      </c>
      <c r="C446" s="30" t="str">
        <f t="shared" si="8"/>
        <v>CD56-m697</v>
      </c>
      <c r="D446" s="7">
        <v>27.779900000000001</v>
      </c>
    </row>
    <row r="447" spans="1:4">
      <c r="A447" s="30" t="s">
        <v>357</v>
      </c>
      <c r="B447" s="30">
        <v>698</v>
      </c>
      <c r="C447" s="30" t="str">
        <f t="shared" si="8"/>
        <v>CD56-m698</v>
      </c>
      <c r="D447" s="7">
        <v>22.4117</v>
      </c>
    </row>
    <row r="448" spans="1:4">
      <c r="A448" s="30" t="s">
        <v>357</v>
      </c>
      <c r="B448" s="30">
        <v>699</v>
      </c>
      <c r="C448" s="30" t="str">
        <f t="shared" si="8"/>
        <v>CD56-m699</v>
      </c>
      <c r="D448" s="7">
        <v>41.7348</v>
      </c>
    </row>
    <row r="449" spans="1:4">
      <c r="A449" s="30" t="s">
        <v>357</v>
      </c>
      <c r="B449" s="30">
        <v>700</v>
      </c>
      <c r="C449" s="30" t="str">
        <f t="shared" si="8"/>
        <v>CD56-m700</v>
      </c>
      <c r="D449" s="7">
        <v>28.9849</v>
      </c>
    </row>
    <row r="450" spans="1:4">
      <c r="A450" s="30" t="s">
        <v>357</v>
      </c>
      <c r="B450" s="30">
        <v>701</v>
      </c>
      <c r="C450" s="30" t="str">
        <f t="shared" si="8"/>
        <v>CD56-m701</v>
      </c>
      <c r="D450" s="7">
        <v>57.377099999999999</v>
      </c>
    </row>
    <row r="451" spans="1:4">
      <c r="A451" s="30" t="s">
        <v>357</v>
      </c>
      <c r="B451" s="30">
        <v>702</v>
      </c>
      <c r="C451" s="30" t="str">
        <f t="shared" si="8"/>
        <v>CD56-m702</v>
      </c>
      <c r="D451" s="7">
        <v>43.780799999999999</v>
      </c>
    </row>
    <row r="452" spans="1:4">
      <c r="A452" s="30" t="s">
        <v>357</v>
      </c>
      <c r="B452" s="30">
        <v>612</v>
      </c>
      <c r="C452" s="30" t="str">
        <f t="shared" si="8"/>
        <v>CD56-m612</v>
      </c>
      <c r="D452" s="7">
        <v>4.5499999999999999E-2</v>
      </c>
    </row>
    <row r="453" spans="1:4">
      <c r="A453" s="30" t="s">
        <v>357</v>
      </c>
      <c r="B453" s="30">
        <v>620</v>
      </c>
      <c r="C453" s="30" t="str">
        <f t="shared" si="8"/>
        <v>CD56-m620</v>
      </c>
      <c r="D453" s="7">
        <v>1.6E-2</v>
      </c>
    </row>
    <row r="454" spans="1:4">
      <c r="A454" s="30" t="s">
        <v>357</v>
      </c>
      <c r="B454" s="30">
        <v>618</v>
      </c>
      <c r="C454" s="30" t="str">
        <f t="shared" si="8"/>
        <v>CD56-m618</v>
      </c>
      <c r="D454" s="7">
        <v>6.7999999999999996E-3</v>
      </c>
    </row>
    <row r="455" spans="1:4">
      <c r="A455" s="30" t="s">
        <v>357</v>
      </c>
      <c r="B455" s="30">
        <v>666</v>
      </c>
      <c r="C455" s="30" t="str">
        <f t="shared" si="8"/>
        <v>CD56-m666</v>
      </c>
      <c r="D455" s="7">
        <v>6.1600000000000002E-2</v>
      </c>
    </row>
    <row r="456" spans="1:4">
      <c r="A456" s="30" t="s">
        <v>357</v>
      </c>
      <c r="B456" s="30">
        <v>669</v>
      </c>
      <c r="C456" s="30" t="str">
        <f t="shared" si="8"/>
        <v>CD56-m669</v>
      </c>
      <c r="D456" s="7">
        <v>5.0299999999999997E-2</v>
      </c>
    </row>
    <row r="457" spans="1:4">
      <c r="A457" s="30" t="s">
        <v>357</v>
      </c>
      <c r="B457" s="30">
        <v>676</v>
      </c>
      <c r="C457" s="30" t="str">
        <f t="shared" si="8"/>
        <v>CD56-m676</v>
      </c>
      <c r="D457" s="7">
        <v>1.3100000000000001E-2</v>
      </c>
    </row>
    <row r="458" spans="1:4">
      <c r="A458" s="30" t="s">
        <v>357</v>
      </c>
      <c r="B458" s="30">
        <v>680</v>
      </c>
      <c r="C458" s="30" t="str">
        <f t="shared" si="8"/>
        <v>CD56-m680</v>
      </c>
      <c r="D458" s="7">
        <v>1.0999999999999999E-2</v>
      </c>
    </row>
    <row r="459" spans="1:4">
      <c r="A459" s="30" t="s">
        <v>357</v>
      </c>
      <c r="B459" s="30">
        <v>714</v>
      </c>
      <c r="C459" s="30" t="str">
        <f t="shared" si="8"/>
        <v>CD56-m714</v>
      </c>
      <c r="D459" s="7">
        <v>7.1999999999999998E-3</v>
      </c>
    </row>
    <row r="460" spans="1:4">
      <c r="A460" s="30" t="s">
        <v>357</v>
      </c>
      <c r="B460" s="30">
        <v>715</v>
      </c>
      <c r="C460" s="30" t="str">
        <f t="shared" si="8"/>
        <v>CD56-m715</v>
      </c>
      <c r="D460" s="7">
        <v>6.7999999999999996E-3</v>
      </c>
    </row>
    <row r="461" spans="1:4">
      <c r="A461" s="30" t="s">
        <v>357</v>
      </c>
      <c r="B461" s="30">
        <v>716</v>
      </c>
      <c r="C461" s="30" t="str">
        <f t="shared" si="8"/>
        <v>CD56-m716</v>
      </c>
      <c r="D461" s="7">
        <v>6.7999999999999996E-3</v>
      </c>
    </row>
    <row r="462" spans="1:4">
      <c r="A462" s="30" t="s">
        <v>357</v>
      </c>
      <c r="B462" s="30">
        <v>717</v>
      </c>
      <c r="C462" s="30" t="str">
        <f t="shared" si="8"/>
        <v>CD56-m717</v>
      </c>
      <c r="D462" s="7">
        <v>6.7999999999999996E-3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409A-AAC5-D740-82B6-55E901E8A5C8}">
  <dimension ref="A1:F174"/>
  <sheetViews>
    <sheetView workbookViewId="0">
      <selection activeCell="A32" sqref="A32:A33"/>
    </sheetView>
  </sheetViews>
  <sheetFormatPr baseColWidth="10" defaultRowHeight="16"/>
  <cols>
    <col min="1" max="1" width="14" bestFit="1" customWidth="1"/>
    <col min="2" max="2" width="18.33203125" bestFit="1" customWidth="1"/>
    <col min="3" max="3" width="14.5" bestFit="1" customWidth="1"/>
    <col min="4" max="4" width="8" bestFit="1" customWidth="1"/>
  </cols>
  <sheetData>
    <row r="1" spans="1:6" ht="17">
      <c r="A1" s="27" t="s">
        <v>293</v>
      </c>
      <c r="B1" s="27" t="s">
        <v>109</v>
      </c>
      <c r="C1" s="27" t="s">
        <v>110</v>
      </c>
      <c r="D1" s="27" t="s">
        <v>111</v>
      </c>
      <c r="E1" s="27" t="s">
        <v>112</v>
      </c>
      <c r="F1" s="27" t="s">
        <v>113</v>
      </c>
    </row>
    <row r="2" spans="1:6" ht="17">
      <c r="A2" s="28" t="s">
        <v>31</v>
      </c>
      <c r="B2" s="26">
        <v>12</v>
      </c>
      <c r="C2" s="26"/>
      <c r="D2" s="26">
        <v>1</v>
      </c>
      <c r="E2" s="26"/>
      <c r="F2" s="26"/>
    </row>
    <row r="3" spans="1:6" ht="17">
      <c r="A3" s="28" t="s">
        <v>32</v>
      </c>
      <c r="B3" s="26">
        <v>7</v>
      </c>
      <c r="C3" s="26"/>
      <c r="D3" s="26">
        <v>1</v>
      </c>
      <c r="E3" s="26"/>
      <c r="F3" s="26"/>
    </row>
    <row r="4" spans="1:6" ht="17">
      <c r="A4" s="28" t="s">
        <v>33</v>
      </c>
      <c r="B4" s="26">
        <v>4</v>
      </c>
      <c r="C4" s="26"/>
      <c r="D4" s="26">
        <v>1</v>
      </c>
      <c r="E4" s="26"/>
      <c r="F4" s="26"/>
    </row>
    <row r="5" spans="1:6" ht="17">
      <c r="A5" s="28" t="s">
        <v>34</v>
      </c>
      <c r="B5" s="26">
        <v>5</v>
      </c>
      <c r="C5" s="26"/>
      <c r="D5" s="26">
        <v>1</v>
      </c>
      <c r="E5" s="26"/>
      <c r="F5" s="26"/>
    </row>
    <row r="6" spans="1:6" ht="17">
      <c r="A6" s="28" t="s">
        <v>35</v>
      </c>
      <c r="B6" s="26">
        <v>14</v>
      </c>
      <c r="C6" s="26"/>
      <c r="D6" s="26">
        <v>1</v>
      </c>
      <c r="E6" s="26"/>
      <c r="F6" s="26"/>
    </row>
    <row r="7" spans="1:6" ht="17">
      <c r="A7" s="28" t="s">
        <v>229</v>
      </c>
      <c r="B7" s="26">
        <v>3</v>
      </c>
      <c r="C7" s="26"/>
      <c r="D7" s="26">
        <v>1</v>
      </c>
      <c r="E7" s="26"/>
      <c r="F7" s="26"/>
    </row>
    <row r="8" spans="1:6" ht="17">
      <c r="A8" s="28" t="s">
        <v>36</v>
      </c>
      <c r="B8" s="26">
        <v>5</v>
      </c>
      <c r="C8" s="26"/>
      <c r="D8" s="26">
        <v>1</v>
      </c>
      <c r="E8" s="26"/>
      <c r="F8" s="26"/>
    </row>
    <row r="9" spans="1:6" ht="17">
      <c r="A9" s="28" t="s">
        <v>37</v>
      </c>
      <c r="B9" s="26">
        <v>8</v>
      </c>
      <c r="C9" s="26"/>
      <c r="D9" s="26">
        <v>1</v>
      </c>
      <c r="E9" s="26"/>
      <c r="F9" s="26"/>
    </row>
    <row r="10" spans="1:6" ht="17">
      <c r="A10" s="28" t="s">
        <v>38</v>
      </c>
      <c r="B10" s="26">
        <v>2</v>
      </c>
      <c r="C10" s="26"/>
      <c r="D10" s="26">
        <v>1</v>
      </c>
      <c r="E10" s="26"/>
      <c r="F10" s="26"/>
    </row>
    <row r="11" spans="1:6" ht="17">
      <c r="A11" s="28" t="s">
        <v>39</v>
      </c>
      <c r="B11" s="26">
        <v>2</v>
      </c>
      <c r="C11" s="26"/>
      <c r="D11" s="26">
        <v>1</v>
      </c>
      <c r="E11" s="26"/>
      <c r="F11" s="26"/>
    </row>
    <row r="12" spans="1:6" ht="17">
      <c r="A12" s="28" t="s">
        <v>14</v>
      </c>
      <c r="B12" s="26">
        <v>10</v>
      </c>
      <c r="C12" s="26"/>
      <c r="D12" s="26">
        <v>1</v>
      </c>
      <c r="E12" s="26"/>
      <c r="F12" s="26"/>
    </row>
    <row r="13" spans="1:6" ht="17">
      <c r="A13" s="28" t="s">
        <v>15</v>
      </c>
      <c r="B13" s="26">
        <v>3</v>
      </c>
      <c r="C13" s="26"/>
      <c r="D13" s="26">
        <v>1</v>
      </c>
      <c r="E13" s="26"/>
      <c r="F13" s="26"/>
    </row>
    <row r="14" spans="1:6" ht="17">
      <c r="A14" s="28" t="s">
        <v>16</v>
      </c>
      <c r="B14" s="26">
        <v>4</v>
      </c>
      <c r="C14" s="26"/>
      <c r="D14" s="26">
        <v>1</v>
      </c>
      <c r="E14" s="26"/>
      <c r="F14" s="26"/>
    </row>
    <row r="15" spans="1:6" ht="17">
      <c r="A15" s="28" t="s">
        <v>17</v>
      </c>
      <c r="B15" s="26">
        <v>3</v>
      </c>
      <c r="C15" s="26"/>
      <c r="D15" s="26">
        <v>1</v>
      </c>
      <c r="E15" s="26"/>
      <c r="F15" s="26"/>
    </row>
    <row r="16" spans="1:6" ht="17">
      <c r="A16" s="28" t="s">
        <v>18</v>
      </c>
      <c r="B16" s="26">
        <v>4</v>
      </c>
      <c r="C16" s="26"/>
      <c r="D16" s="26">
        <v>1</v>
      </c>
      <c r="E16" s="26"/>
      <c r="F16" s="26"/>
    </row>
    <row r="17" spans="1:6" ht="17">
      <c r="A17" s="28" t="s">
        <v>246</v>
      </c>
      <c r="B17" s="26">
        <v>4</v>
      </c>
      <c r="C17" s="26"/>
      <c r="D17" s="26">
        <v>1</v>
      </c>
      <c r="E17" s="26"/>
      <c r="F17" s="26"/>
    </row>
    <row r="18" spans="1:6" ht="17">
      <c r="A18" s="28" t="s">
        <v>247</v>
      </c>
      <c r="B18" s="26">
        <v>4</v>
      </c>
      <c r="C18" s="26"/>
      <c r="D18" s="26">
        <v>1</v>
      </c>
      <c r="E18" s="26"/>
      <c r="F18" s="26"/>
    </row>
    <row r="19" spans="1:6" ht="17">
      <c r="A19" s="28" t="s">
        <v>19</v>
      </c>
      <c r="B19" s="26">
        <v>6</v>
      </c>
      <c r="C19" s="26"/>
      <c r="D19" s="26">
        <v>1</v>
      </c>
      <c r="E19" s="26"/>
      <c r="F19" s="26"/>
    </row>
    <row r="20" spans="1:6" ht="17">
      <c r="A20" s="28" t="s">
        <v>20</v>
      </c>
      <c r="B20" s="26">
        <v>15</v>
      </c>
      <c r="C20" s="26"/>
      <c r="D20" s="26">
        <v>1</v>
      </c>
      <c r="E20" s="26"/>
      <c r="F20" s="26"/>
    </row>
    <row r="21" spans="1:6" ht="17">
      <c r="A21" s="28" t="s">
        <v>21</v>
      </c>
      <c r="B21" s="26">
        <v>8</v>
      </c>
      <c r="C21" s="26"/>
      <c r="D21" s="26">
        <v>1</v>
      </c>
      <c r="E21" s="26"/>
      <c r="F21" s="26"/>
    </row>
    <row r="22" spans="1:6" ht="17">
      <c r="A22" s="28" t="s">
        <v>22</v>
      </c>
      <c r="B22" s="26">
        <v>5</v>
      </c>
      <c r="C22" s="26"/>
      <c r="D22" s="26">
        <v>1</v>
      </c>
      <c r="E22" s="26"/>
      <c r="F22" s="26"/>
    </row>
    <row r="23" spans="1:6" ht="17">
      <c r="A23" s="28" t="s">
        <v>23</v>
      </c>
      <c r="B23" s="26">
        <v>5</v>
      </c>
      <c r="C23" s="26"/>
      <c r="D23" s="26">
        <v>1</v>
      </c>
      <c r="E23" s="26"/>
      <c r="F23" s="26"/>
    </row>
    <row r="24" spans="1:6" ht="17">
      <c r="A24" s="28" t="s">
        <v>24</v>
      </c>
      <c r="B24" s="26">
        <v>5</v>
      </c>
      <c r="C24" s="26"/>
      <c r="D24" s="26">
        <v>1</v>
      </c>
      <c r="E24" s="26"/>
      <c r="F24" s="26"/>
    </row>
    <row r="25" spans="1:6" ht="17">
      <c r="A25" s="28" t="s">
        <v>25</v>
      </c>
      <c r="B25" s="26">
        <v>3</v>
      </c>
      <c r="C25" s="26"/>
      <c r="D25" s="26">
        <v>1</v>
      </c>
      <c r="E25" s="26"/>
      <c r="F25" s="26"/>
    </row>
    <row r="26" spans="1:6" ht="17">
      <c r="A26" s="28" t="s">
        <v>26</v>
      </c>
      <c r="B26" s="26">
        <v>14</v>
      </c>
      <c r="C26" s="26"/>
      <c r="D26" s="26">
        <v>1</v>
      </c>
      <c r="E26" s="26"/>
      <c r="F26" s="26"/>
    </row>
    <row r="27" spans="1:6" ht="17">
      <c r="A27" s="28" t="s">
        <v>27</v>
      </c>
      <c r="B27" s="26">
        <v>6</v>
      </c>
      <c r="C27" s="26"/>
      <c r="D27" s="26">
        <v>1</v>
      </c>
      <c r="E27" s="26"/>
      <c r="F27" s="26"/>
    </row>
    <row r="28" spans="1:6" ht="17">
      <c r="A28" s="28" t="s">
        <v>28</v>
      </c>
      <c r="B28" s="26">
        <v>4</v>
      </c>
      <c r="C28" s="26"/>
      <c r="D28" s="26">
        <v>1</v>
      </c>
      <c r="E28" s="26"/>
      <c r="F28" s="26"/>
    </row>
    <row r="29" spans="1:6" ht="17">
      <c r="A29" s="28" t="s">
        <v>257</v>
      </c>
      <c r="B29" s="26">
        <v>4</v>
      </c>
      <c r="C29" s="26"/>
      <c r="D29" s="26">
        <v>1</v>
      </c>
      <c r="E29" s="26"/>
      <c r="F29" s="26"/>
    </row>
    <row r="30" spans="1:6" ht="17">
      <c r="A30" s="28" t="s">
        <v>29</v>
      </c>
      <c r="B30" s="26">
        <v>2</v>
      </c>
      <c r="C30" s="26"/>
      <c r="D30" s="26">
        <v>1</v>
      </c>
      <c r="E30" s="26"/>
      <c r="F30" s="26"/>
    </row>
    <row r="31" spans="1:6" ht="17">
      <c r="A31" s="28" t="s">
        <v>30</v>
      </c>
      <c r="B31" s="26">
        <v>4</v>
      </c>
      <c r="C31" s="26"/>
      <c r="D31" s="26">
        <v>1</v>
      </c>
      <c r="E31" s="26"/>
      <c r="F31" s="26"/>
    </row>
    <row r="32" spans="1:6">
      <c r="A32" s="24" t="s">
        <v>272</v>
      </c>
      <c r="B32" s="24">
        <v>2</v>
      </c>
      <c r="C32" s="23"/>
      <c r="D32" s="24">
        <v>1</v>
      </c>
      <c r="E32" s="23"/>
      <c r="F32" s="23"/>
    </row>
    <row r="33" spans="1:6">
      <c r="A33" s="24" t="s">
        <v>273</v>
      </c>
      <c r="B33" s="24">
        <v>2</v>
      </c>
      <c r="C33" s="23"/>
      <c r="D33" s="24">
        <v>1</v>
      </c>
      <c r="E33" s="23"/>
      <c r="F33" s="23"/>
    </row>
    <row r="34" spans="1:6" ht="17">
      <c r="A34" s="28" t="s">
        <v>225</v>
      </c>
      <c r="B34" s="26">
        <v>20</v>
      </c>
      <c r="C34" s="26"/>
      <c r="D34" s="26">
        <v>0</v>
      </c>
      <c r="E34" s="26"/>
      <c r="F34" s="26"/>
    </row>
    <row r="35" spans="1:6" ht="17">
      <c r="A35" s="28" t="s">
        <v>226</v>
      </c>
      <c r="B35" s="26">
        <v>22</v>
      </c>
      <c r="C35" s="26"/>
      <c r="D35" s="26">
        <v>0</v>
      </c>
      <c r="E35" s="26"/>
      <c r="F35" s="26"/>
    </row>
    <row r="36" spans="1:6" ht="17">
      <c r="A36" s="28" t="s">
        <v>227</v>
      </c>
      <c r="B36" s="26">
        <v>14</v>
      </c>
      <c r="C36" s="26"/>
      <c r="D36" s="26">
        <v>0</v>
      </c>
      <c r="E36" s="26"/>
      <c r="F36" s="26"/>
    </row>
    <row r="37" spans="1:6" ht="17">
      <c r="A37" s="28" t="s">
        <v>228</v>
      </c>
      <c r="B37" s="26">
        <v>15</v>
      </c>
      <c r="C37" s="26"/>
      <c r="D37" s="26">
        <v>0</v>
      </c>
      <c r="E37" s="26"/>
      <c r="F37" s="26"/>
    </row>
    <row r="38" spans="1:6" ht="17">
      <c r="A38" s="28" t="s">
        <v>230</v>
      </c>
      <c r="B38" s="26">
        <v>22</v>
      </c>
      <c r="C38" s="26"/>
      <c r="D38" s="26">
        <v>0</v>
      </c>
      <c r="E38" s="26"/>
      <c r="F38" s="26"/>
    </row>
    <row r="39" spans="1:6" ht="17">
      <c r="A39" s="28" t="s">
        <v>232</v>
      </c>
      <c r="B39" s="26">
        <v>22</v>
      </c>
      <c r="C39" s="26"/>
      <c r="D39" s="26">
        <v>0</v>
      </c>
      <c r="E39" s="26"/>
      <c r="F39" s="26"/>
    </row>
    <row r="40" spans="1:6" ht="17">
      <c r="A40" s="28" t="s">
        <v>233</v>
      </c>
      <c r="B40" s="26">
        <v>17</v>
      </c>
      <c r="C40" s="26"/>
      <c r="D40" s="26">
        <v>0</v>
      </c>
      <c r="E40" s="26"/>
      <c r="F40" s="26"/>
    </row>
    <row r="41" spans="1:6" ht="17">
      <c r="A41" s="28" t="s">
        <v>234</v>
      </c>
      <c r="B41" s="26">
        <v>12</v>
      </c>
      <c r="C41" s="26"/>
      <c r="D41" s="26">
        <v>0</v>
      </c>
      <c r="E41" s="26"/>
      <c r="F41" s="26"/>
    </row>
    <row r="42" spans="1:6" ht="17">
      <c r="A42" s="28" t="s">
        <v>235</v>
      </c>
      <c r="B42" s="26">
        <v>17</v>
      </c>
      <c r="C42" s="26"/>
      <c r="D42" s="26">
        <v>0</v>
      </c>
      <c r="E42" s="26"/>
      <c r="F42" s="26"/>
    </row>
    <row r="43" spans="1:6" ht="17">
      <c r="A43" s="28" t="s">
        <v>236</v>
      </c>
      <c r="B43" s="26">
        <v>9</v>
      </c>
      <c r="C43" s="26"/>
      <c r="D43" s="26">
        <v>0</v>
      </c>
      <c r="E43" s="26"/>
      <c r="F43" s="26"/>
    </row>
    <row r="44" spans="1:6" ht="17">
      <c r="A44" s="28" t="s">
        <v>237</v>
      </c>
      <c r="B44" s="26">
        <v>17</v>
      </c>
      <c r="C44" s="26"/>
      <c r="D44" s="26">
        <v>0</v>
      </c>
      <c r="E44" s="26"/>
      <c r="F44" s="26"/>
    </row>
    <row r="45" spans="1:6" ht="17">
      <c r="A45" s="28" t="s">
        <v>239</v>
      </c>
      <c r="B45" s="26">
        <v>22</v>
      </c>
      <c r="C45" s="26"/>
      <c r="D45" s="26">
        <v>0</v>
      </c>
      <c r="E45" s="26"/>
      <c r="F45" s="26"/>
    </row>
    <row r="46" spans="1:6" ht="17">
      <c r="A46" s="28" t="s">
        <v>240</v>
      </c>
      <c r="B46" s="26">
        <v>4</v>
      </c>
      <c r="C46" s="26"/>
      <c r="D46" s="26">
        <v>0</v>
      </c>
      <c r="E46" s="26"/>
      <c r="F46" s="26"/>
    </row>
    <row r="47" spans="1:6" ht="17">
      <c r="A47" s="28" t="s">
        <v>241</v>
      </c>
      <c r="B47" s="26">
        <v>16</v>
      </c>
      <c r="C47" s="26"/>
      <c r="D47" s="26">
        <v>0</v>
      </c>
      <c r="E47" s="26"/>
      <c r="F47" s="26"/>
    </row>
    <row r="48" spans="1:6" ht="17">
      <c r="A48" s="28" t="s">
        <v>242</v>
      </c>
      <c r="B48" s="26">
        <v>7</v>
      </c>
      <c r="C48" s="26"/>
      <c r="D48" s="26">
        <v>0</v>
      </c>
      <c r="E48" s="26"/>
      <c r="F48" s="26"/>
    </row>
    <row r="49" spans="1:6" ht="17">
      <c r="A49" s="28" t="s">
        <v>243</v>
      </c>
      <c r="B49" s="26">
        <v>7</v>
      </c>
      <c r="C49" s="26"/>
      <c r="D49" s="26">
        <v>0</v>
      </c>
      <c r="E49" s="26"/>
      <c r="F49" s="26"/>
    </row>
    <row r="50" spans="1:6" ht="17">
      <c r="A50" s="28" t="s">
        <v>244</v>
      </c>
      <c r="B50" s="26">
        <v>7</v>
      </c>
      <c r="C50" s="26"/>
      <c r="D50" s="26">
        <v>0</v>
      </c>
      <c r="E50" s="26"/>
      <c r="F50" s="26"/>
    </row>
    <row r="51" spans="1:6" ht="17">
      <c r="A51" s="28" t="s">
        <v>250</v>
      </c>
      <c r="B51" s="26">
        <v>12</v>
      </c>
      <c r="C51" s="26"/>
      <c r="D51" s="26">
        <v>0</v>
      </c>
      <c r="E51" s="26"/>
      <c r="F51" s="26"/>
    </row>
    <row r="52" spans="1:6" ht="17">
      <c r="A52" s="28" t="s">
        <v>251</v>
      </c>
      <c r="B52" s="26">
        <v>11</v>
      </c>
      <c r="C52" s="26"/>
      <c r="D52" s="26">
        <v>0</v>
      </c>
      <c r="E52" s="26"/>
      <c r="F52" s="26"/>
    </row>
    <row r="53" spans="1:6" ht="17">
      <c r="A53" s="28" t="s">
        <v>252</v>
      </c>
      <c r="B53" s="26">
        <v>8</v>
      </c>
      <c r="C53" s="26"/>
      <c r="D53" s="26">
        <v>0</v>
      </c>
      <c r="E53" s="26"/>
      <c r="F53" s="26"/>
    </row>
    <row r="54" spans="1:6" ht="17">
      <c r="A54" s="28" t="s">
        <v>253</v>
      </c>
      <c r="B54" s="26">
        <v>6</v>
      </c>
      <c r="C54" s="26"/>
      <c r="D54" s="26">
        <v>0</v>
      </c>
      <c r="E54" s="26"/>
      <c r="F54" s="26"/>
    </row>
    <row r="55" spans="1:6" ht="17">
      <c r="A55" s="28" t="s">
        <v>254</v>
      </c>
      <c r="B55" s="26">
        <v>11</v>
      </c>
      <c r="C55" s="26"/>
      <c r="D55" s="26">
        <v>0</v>
      </c>
      <c r="E55" s="26"/>
      <c r="F55" s="26"/>
    </row>
    <row r="56" spans="1:6" ht="17">
      <c r="A56" s="28" t="s">
        <v>255</v>
      </c>
      <c r="B56" s="26">
        <v>7</v>
      </c>
      <c r="C56" s="26"/>
      <c r="D56" s="26">
        <v>0</v>
      </c>
      <c r="E56" s="26"/>
      <c r="F56" s="26"/>
    </row>
    <row r="57" spans="1:6" ht="17">
      <c r="A57" s="28" t="s">
        <v>256</v>
      </c>
      <c r="B57" s="26">
        <v>20</v>
      </c>
      <c r="C57" s="26"/>
      <c r="D57" s="26">
        <v>0</v>
      </c>
      <c r="E57" s="26"/>
      <c r="F57" s="26"/>
    </row>
    <row r="58" spans="1:6" ht="17">
      <c r="A58" s="28" t="s">
        <v>171</v>
      </c>
      <c r="B58" s="26">
        <v>2</v>
      </c>
      <c r="C58" s="26">
        <v>1</v>
      </c>
      <c r="D58" s="26"/>
      <c r="E58" s="26"/>
      <c r="F58" s="26"/>
    </row>
    <row r="59" spans="1:6" ht="17">
      <c r="A59" s="28" t="s">
        <v>172</v>
      </c>
      <c r="B59" s="26">
        <v>2</v>
      </c>
      <c r="C59" s="26">
        <v>1</v>
      </c>
      <c r="D59" s="26"/>
      <c r="E59" s="26"/>
      <c r="F59" s="26"/>
    </row>
    <row r="60" spans="1:6" ht="17">
      <c r="A60" s="28" t="s">
        <v>173</v>
      </c>
      <c r="B60" s="26">
        <v>2</v>
      </c>
      <c r="C60" s="26">
        <v>1</v>
      </c>
      <c r="D60" s="26"/>
      <c r="E60" s="26"/>
      <c r="F60" s="26"/>
    </row>
    <row r="61" spans="1:6" ht="17">
      <c r="A61" s="28" t="s">
        <v>174</v>
      </c>
      <c r="B61" s="26">
        <v>2</v>
      </c>
      <c r="C61" s="26">
        <v>1</v>
      </c>
      <c r="D61" s="26"/>
      <c r="E61" s="26"/>
      <c r="F61" s="26"/>
    </row>
    <row r="62" spans="1:6" ht="17">
      <c r="A62" s="28" t="s">
        <v>175</v>
      </c>
      <c r="B62" s="26">
        <v>2</v>
      </c>
      <c r="C62" s="26">
        <v>1</v>
      </c>
      <c r="D62" s="26"/>
      <c r="E62" s="26"/>
      <c r="F62" s="26"/>
    </row>
    <row r="63" spans="1:6" ht="17">
      <c r="A63" s="28" t="s">
        <v>176</v>
      </c>
      <c r="B63" s="26">
        <v>2</v>
      </c>
      <c r="C63" s="26">
        <v>1</v>
      </c>
      <c r="D63" s="26"/>
      <c r="E63" s="26"/>
      <c r="F63" s="26"/>
    </row>
    <row r="64" spans="1:6" ht="17">
      <c r="A64" s="28" t="s">
        <v>177</v>
      </c>
      <c r="B64" s="26">
        <v>2</v>
      </c>
      <c r="C64" s="26">
        <v>1</v>
      </c>
      <c r="D64" s="26"/>
      <c r="E64" s="26"/>
      <c r="F64" s="26"/>
    </row>
    <row r="65" spans="1:6" ht="17">
      <c r="A65" s="28" t="s">
        <v>178</v>
      </c>
      <c r="B65" s="26">
        <v>2</v>
      </c>
      <c r="C65" s="26">
        <v>1</v>
      </c>
      <c r="D65" s="26"/>
      <c r="E65" s="26"/>
      <c r="F65" s="26"/>
    </row>
    <row r="66" spans="1:6" ht="17">
      <c r="A66" s="28" t="s">
        <v>179</v>
      </c>
      <c r="B66" s="26">
        <v>2</v>
      </c>
      <c r="C66" s="26">
        <v>1</v>
      </c>
      <c r="D66" s="26"/>
      <c r="E66" s="26"/>
      <c r="F66" s="26"/>
    </row>
    <row r="67" spans="1:6" ht="17">
      <c r="A67" s="28" t="s">
        <v>180</v>
      </c>
      <c r="B67" s="26">
        <v>2</v>
      </c>
      <c r="C67" s="26">
        <v>1</v>
      </c>
      <c r="D67" s="26"/>
      <c r="E67" s="26"/>
      <c r="F67" s="26"/>
    </row>
    <row r="68" spans="1:6" ht="17">
      <c r="A68" s="28" t="s">
        <v>181</v>
      </c>
      <c r="B68" s="26">
        <v>2</v>
      </c>
      <c r="C68" s="26">
        <v>1</v>
      </c>
      <c r="D68" s="26"/>
      <c r="E68" s="26"/>
      <c r="F68" s="26"/>
    </row>
    <row r="69" spans="1:6" ht="17">
      <c r="A69" s="28" t="s">
        <v>182</v>
      </c>
      <c r="B69" s="26">
        <v>2</v>
      </c>
      <c r="C69" s="26">
        <v>1</v>
      </c>
      <c r="D69" s="26"/>
      <c r="E69" s="26"/>
      <c r="F69" s="26"/>
    </row>
    <row r="70" spans="1:6" ht="17">
      <c r="A70" s="28" t="s">
        <v>183</v>
      </c>
      <c r="B70" s="26">
        <v>2</v>
      </c>
      <c r="C70" s="26">
        <v>1</v>
      </c>
      <c r="D70" s="26"/>
      <c r="E70" s="26"/>
      <c r="F70" s="26"/>
    </row>
    <row r="71" spans="1:6" ht="17">
      <c r="A71" s="28" t="s">
        <v>184</v>
      </c>
      <c r="B71" s="26">
        <v>2</v>
      </c>
      <c r="C71" s="26">
        <v>1</v>
      </c>
      <c r="D71" s="26"/>
      <c r="E71" s="26"/>
      <c r="F71" s="26"/>
    </row>
    <row r="72" spans="1:6" ht="17">
      <c r="A72" s="28" t="s">
        <v>185</v>
      </c>
      <c r="B72" s="26">
        <v>2</v>
      </c>
      <c r="C72" s="26">
        <v>1</v>
      </c>
      <c r="D72" s="26"/>
      <c r="E72" s="26"/>
      <c r="F72" s="26"/>
    </row>
    <row r="73" spans="1:6" ht="17">
      <c r="A73" s="28" t="s">
        <v>186</v>
      </c>
      <c r="B73" s="26">
        <v>2</v>
      </c>
      <c r="C73" s="26">
        <v>1</v>
      </c>
      <c r="D73" s="26"/>
      <c r="E73" s="26"/>
      <c r="F73" s="26"/>
    </row>
    <row r="74" spans="1:6" ht="17">
      <c r="A74" s="28" t="s">
        <v>187</v>
      </c>
      <c r="B74" s="26">
        <v>2</v>
      </c>
      <c r="C74" s="26">
        <v>1</v>
      </c>
      <c r="D74" s="26"/>
      <c r="E74" s="26"/>
      <c r="F74" s="26"/>
    </row>
    <row r="75" spans="1:6" ht="17">
      <c r="A75" s="28" t="s">
        <v>188</v>
      </c>
      <c r="B75" s="26">
        <v>2</v>
      </c>
      <c r="C75" s="26">
        <v>1</v>
      </c>
      <c r="D75" s="26"/>
      <c r="E75" s="26"/>
      <c r="F75" s="26"/>
    </row>
    <row r="76" spans="1:6" ht="17">
      <c r="A76" s="28" t="s">
        <v>189</v>
      </c>
      <c r="B76" s="26">
        <v>2</v>
      </c>
      <c r="C76" s="26">
        <v>1</v>
      </c>
      <c r="D76" s="26"/>
      <c r="E76" s="26"/>
      <c r="F76" s="26"/>
    </row>
    <row r="77" spans="1:6" ht="17">
      <c r="A77" s="28" t="s">
        <v>190</v>
      </c>
      <c r="B77" s="26">
        <v>2</v>
      </c>
      <c r="C77" s="26">
        <v>1</v>
      </c>
      <c r="D77" s="26"/>
      <c r="E77" s="26"/>
      <c r="F77" s="26"/>
    </row>
    <row r="78" spans="1:6" ht="17">
      <c r="A78" s="28" t="s">
        <v>191</v>
      </c>
      <c r="B78" s="26">
        <v>2</v>
      </c>
      <c r="C78" s="26">
        <v>1</v>
      </c>
      <c r="D78" s="26"/>
      <c r="E78" s="26"/>
      <c r="F78" s="26"/>
    </row>
    <row r="79" spans="1:6" ht="17">
      <c r="A79" s="28" t="s">
        <v>192</v>
      </c>
      <c r="B79" s="26">
        <v>2</v>
      </c>
      <c r="C79" s="26">
        <v>1</v>
      </c>
      <c r="D79" s="26"/>
      <c r="E79" s="26"/>
      <c r="F79" s="26"/>
    </row>
    <row r="80" spans="1:6" ht="17">
      <c r="A80" s="28" t="s">
        <v>193</v>
      </c>
      <c r="B80" s="26">
        <v>2</v>
      </c>
      <c r="C80" s="26">
        <v>1</v>
      </c>
      <c r="D80" s="26"/>
      <c r="E80" s="26"/>
      <c r="F80" s="26"/>
    </row>
    <row r="81" spans="1:6" ht="17">
      <c r="A81" s="28" t="s">
        <v>194</v>
      </c>
      <c r="B81" s="26">
        <v>2</v>
      </c>
      <c r="C81" s="26">
        <v>1</v>
      </c>
      <c r="D81" s="26"/>
      <c r="E81" s="26"/>
      <c r="F81" s="26"/>
    </row>
    <row r="82" spans="1:6" ht="17">
      <c r="A82" s="28" t="s">
        <v>195</v>
      </c>
      <c r="B82" s="26">
        <v>2</v>
      </c>
      <c r="C82" s="26">
        <v>1</v>
      </c>
      <c r="D82" s="26"/>
      <c r="E82" s="26"/>
      <c r="F82" s="26"/>
    </row>
    <row r="83" spans="1:6" ht="17">
      <c r="A83" s="28" t="s">
        <v>196</v>
      </c>
      <c r="B83" s="26">
        <v>2</v>
      </c>
      <c r="C83" s="26">
        <v>1</v>
      </c>
      <c r="D83" s="26"/>
      <c r="E83" s="26"/>
      <c r="F83" s="26"/>
    </row>
    <row r="84" spans="1:6" ht="17">
      <c r="A84" s="28" t="s">
        <v>197</v>
      </c>
      <c r="B84" s="26">
        <v>2</v>
      </c>
      <c r="C84" s="26">
        <v>1</v>
      </c>
      <c r="D84" s="26"/>
      <c r="E84" s="26"/>
      <c r="F84" s="26"/>
    </row>
    <row r="85" spans="1:6" ht="17">
      <c r="A85" s="28" t="s">
        <v>198</v>
      </c>
      <c r="B85" s="26">
        <v>3</v>
      </c>
      <c r="C85" s="26">
        <v>1</v>
      </c>
      <c r="D85" s="26"/>
      <c r="E85" s="26"/>
      <c r="F85" s="26"/>
    </row>
    <row r="86" spans="1:6" ht="17">
      <c r="A86" s="28" t="s">
        <v>199</v>
      </c>
      <c r="B86" s="26">
        <v>2</v>
      </c>
      <c r="C86" s="26">
        <v>1</v>
      </c>
      <c r="D86" s="26"/>
      <c r="E86" s="26"/>
      <c r="F86" s="26"/>
    </row>
    <row r="87" spans="1:6" ht="17">
      <c r="A87" s="28" t="s">
        <v>200</v>
      </c>
      <c r="B87" s="26">
        <v>2</v>
      </c>
      <c r="C87" s="26">
        <v>1</v>
      </c>
      <c r="D87" s="26"/>
      <c r="E87" s="26"/>
      <c r="F87" s="26"/>
    </row>
    <row r="88" spans="1:6" ht="17">
      <c r="A88" s="28" t="s">
        <v>201</v>
      </c>
      <c r="B88" s="26">
        <v>2</v>
      </c>
      <c r="C88" s="26">
        <v>1</v>
      </c>
      <c r="D88" s="26"/>
      <c r="E88" s="26"/>
      <c r="F88" s="26"/>
    </row>
    <row r="89" spans="1:6" ht="17">
      <c r="A89" s="28" t="s">
        <v>202</v>
      </c>
      <c r="B89" s="26">
        <v>2</v>
      </c>
      <c r="C89" s="26">
        <v>1</v>
      </c>
      <c r="D89" s="26"/>
      <c r="E89" s="26"/>
      <c r="F89" s="26"/>
    </row>
    <row r="90" spans="1:6" ht="17">
      <c r="A90" s="28" t="s">
        <v>203</v>
      </c>
      <c r="B90" s="26">
        <v>2</v>
      </c>
      <c r="C90" s="26">
        <v>1</v>
      </c>
      <c r="D90" s="26"/>
      <c r="E90" s="26"/>
      <c r="F90" s="26"/>
    </row>
    <row r="91" spans="1:6" ht="17">
      <c r="A91" s="28" t="s">
        <v>204</v>
      </c>
      <c r="B91" s="26">
        <v>2</v>
      </c>
      <c r="C91" s="26">
        <v>1</v>
      </c>
      <c r="D91" s="26"/>
      <c r="E91" s="26"/>
      <c r="F91" s="26"/>
    </row>
    <row r="92" spans="1:6" ht="17">
      <c r="A92" s="28" t="s">
        <v>205</v>
      </c>
      <c r="B92" s="26">
        <v>2</v>
      </c>
      <c r="C92" s="26">
        <v>1</v>
      </c>
      <c r="D92" s="26"/>
      <c r="E92" s="26"/>
      <c r="F92" s="26"/>
    </row>
    <row r="93" spans="1:6" ht="17">
      <c r="A93" s="28" t="s">
        <v>206</v>
      </c>
      <c r="B93" s="26">
        <v>2</v>
      </c>
      <c r="C93" s="26">
        <v>1</v>
      </c>
      <c r="D93" s="26"/>
      <c r="E93" s="26"/>
      <c r="F93" s="26"/>
    </row>
    <row r="94" spans="1:6" ht="17">
      <c r="A94" s="28" t="s">
        <v>207</v>
      </c>
      <c r="B94" s="26">
        <v>2</v>
      </c>
      <c r="C94" s="26">
        <v>1</v>
      </c>
      <c r="D94" s="26"/>
      <c r="E94" s="26"/>
      <c r="F94" s="26"/>
    </row>
    <row r="95" spans="1:6" ht="17">
      <c r="A95" s="28" t="s">
        <v>208</v>
      </c>
      <c r="B95" s="26">
        <v>2</v>
      </c>
      <c r="C95" s="26">
        <v>1</v>
      </c>
      <c r="D95" s="26"/>
      <c r="E95" s="26"/>
      <c r="F95" s="26"/>
    </row>
    <row r="96" spans="1:6" ht="17">
      <c r="A96" s="28" t="s">
        <v>209</v>
      </c>
      <c r="B96" s="26">
        <v>2</v>
      </c>
      <c r="C96" s="26">
        <v>1</v>
      </c>
      <c r="D96" s="26"/>
      <c r="E96" s="26"/>
      <c r="F96" s="26"/>
    </row>
    <row r="97" spans="1:6" ht="17">
      <c r="A97" s="28" t="s">
        <v>210</v>
      </c>
      <c r="B97" s="26">
        <v>2</v>
      </c>
      <c r="C97" s="26">
        <v>1</v>
      </c>
      <c r="D97" s="26"/>
      <c r="E97" s="26"/>
      <c r="F97" s="26"/>
    </row>
    <row r="98" spans="1:6" ht="17">
      <c r="A98" s="28" t="s">
        <v>211</v>
      </c>
      <c r="B98" s="26">
        <v>2</v>
      </c>
      <c r="C98" s="26">
        <v>1</v>
      </c>
      <c r="D98" s="26"/>
      <c r="E98" s="26"/>
      <c r="F98" s="26"/>
    </row>
    <row r="99" spans="1:6" ht="17">
      <c r="A99" s="28" t="s">
        <v>212</v>
      </c>
      <c r="B99" s="26">
        <v>2</v>
      </c>
      <c r="C99" s="26">
        <v>1</v>
      </c>
      <c r="D99" s="26"/>
      <c r="E99" s="26"/>
      <c r="F99" s="26"/>
    </row>
    <row r="100" spans="1:6" ht="17">
      <c r="A100" s="28" t="s">
        <v>213</v>
      </c>
      <c r="B100" s="26">
        <v>2</v>
      </c>
      <c r="C100" s="26">
        <v>1</v>
      </c>
      <c r="D100" s="26"/>
      <c r="E100" s="26"/>
      <c r="F100" s="26"/>
    </row>
    <row r="101" spans="1:6" ht="17">
      <c r="A101" s="28" t="s">
        <v>214</v>
      </c>
      <c r="B101" s="26">
        <v>2</v>
      </c>
      <c r="C101" s="26">
        <v>1</v>
      </c>
      <c r="D101" s="26"/>
      <c r="E101" s="26"/>
      <c r="F101" s="26"/>
    </row>
    <row r="102" spans="1:6" ht="17">
      <c r="A102" s="29" t="s">
        <v>215</v>
      </c>
      <c r="B102" s="26"/>
      <c r="C102" s="26"/>
      <c r="D102" s="26"/>
      <c r="E102" s="26"/>
      <c r="F102" s="26"/>
    </row>
    <row r="103" spans="1:6" ht="17">
      <c r="A103" s="28" t="s">
        <v>216</v>
      </c>
      <c r="B103" s="26">
        <v>2</v>
      </c>
      <c r="C103" s="26">
        <v>1</v>
      </c>
      <c r="D103" s="26"/>
      <c r="E103" s="26"/>
      <c r="F103" s="26"/>
    </row>
    <row r="104" spans="1:6" ht="17">
      <c r="A104" s="28" t="s">
        <v>217</v>
      </c>
      <c r="B104" s="26">
        <v>2</v>
      </c>
      <c r="C104" s="26">
        <v>1</v>
      </c>
      <c r="D104" s="26"/>
      <c r="E104" s="26"/>
      <c r="F104" s="26"/>
    </row>
    <row r="105" spans="1:6" ht="17">
      <c r="A105" s="28" t="s">
        <v>218</v>
      </c>
      <c r="B105" s="26">
        <v>2</v>
      </c>
      <c r="C105" s="26">
        <v>1</v>
      </c>
      <c r="D105" s="26"/>
      <c r="E105" s="26"/>
      <c r="F105" s="26"/>
    </row>
    <row r="106" spans="1:6" ht="17">
      <c r="A106" s="28" t="s">
        <v>219</v>
      </c>
      <c r="B106" s="26">
        <v>2</v>
      </c>
      <c r="C106" s="26">
        <v>1</v>
      </c>
      <c r="D106" s="26"/>
      <c r="E106" s="26"/>
      <c r="F106" s="26"/>
    </row>
    <row r="107" spans="1:6" ht="17">
      <c r="A107" s="28" t="s">
        <v>220</v>
      </c>
      <c r="B107" s="26">
        <v>2</v>
      </c>
      <c r="C107" s="26">
        <v>1</v>
      </c>
      <c r="D107" s="26"/>
      <c r="E107" s="26"/>
      <c r="F107" s="26"/>
    </row>
    <row r="108" spans="1:6" ht="17">
      <c r="A108" s="28" t="s">
        <v>221</v>
      </c>
      <c r="B108" s="26">
        <v>2</v>
      </c>
      <c r="C108" s="26">
        <v>1</v>
      </c>
      <c r="D108" s="26"/>
      <c r="E108" s="26"/>
      <c r="F108" s="26"/>
    </row>
    <row r="109" spans="1:6" ht="17">
      <c r="A109" s="29" t="s">
        <v>222</v>
      </c>
      <c r="B109" s="26"/>
      <c r="C109" s="26"/>
      <c r="D109" s="26"/>
      <c r="E109" s="26"/>
      <c r="F109" s="26"/>
    </row>
    <row r="110" spans="1:6" ht="17">
      <c r="A110" s="28" t="s">
        <v>223</v>
      </c>
      <c r="B110" s="26">
        <v>2</v>
      </c>
      <c r="C110" s="26">
        <v>1</v>
      </c>
      <c r="D110" s="26"/>
      <c r="E110" s="26"/>
      <c r="F110" s="26"/>
    </row>
    <row r="111" spans="1:6" ht="17">
      <c r="A111" s="28" t="s">
        <v>224</v>
      </c>
      <c r="B111" s="26">
        <v>2</v>
      </c>
      <c r="C111" s="26">
        <v>1</v>
      </c>
      <c r="D111" s="26"/>
      <c r="E111" s="26"/>
      <c r="F111" s="26"/>
    </row>
    <row r="112" spans="1:6" ht="17">
      <c r="A112" s="29" t="s">
        <v>231</v>
      </c>
      <c r="B112" s="26"/>
      <c r="C112" s="26"/>
      <c r="D112" s="26"/>
      <c r="E112" s="26"/>
      <c r="F112" s="26"/>
    </row>
    <row r="113" spans="1:6" ht="17">
      <c r="A113" s="29" t="s">
        <v>238</v>
      </c>
      <c r="B113" s="26"/>
      <c r="C113" s="26"/>
      <c r="D113" s="26"/>
      <c r="E113" s="26"/>
      <c r="F113" s="26"/>
    </row>
    <row r="114" spans="1:6" ht="17">
      <c r="A114" s="29" t="s">
        <v>245</v>
      </c>
      <c r="B114" s="26"/>
      <c r="C114" s="26"/>
      <c r="D114" s="26"/>
      <c r="E114" s="26"/>
      <c r="F114" s="26"/>
    </row>
    <row r="115" spans="1:6" ht="17">
      <c r="A115" s="29" t="s">
        <v>248</v>
      </c>
      <c r="B115" s="26"/>
      <c r="C115" s="26"/>
      <c r="D115" s="26"/>
      <c r="E115" s="26"/>
      <c r="F115" s="26"/>
    </row>
    <row r="116" spans="1:6" ht="17">
      <c r="A116" s="29" t="s">
        <v>249</v>
      </c>
      <c r="B116" s="26"/>
      <c r="C116" s="26"/>
      <c r="D116" s="26"/>
      <c r="E116" s="26"/>
      <c r="F116" s="26"/>
    </row>
    <row r="117" spans="1:6" ht="17">
      <c r="A117" s="29" t="s">
        <v>258</v>
      </c>
      <c r="B117" s="26"/>
      <c r="C117" s="26"/>
      <c r="D117" s="26"/>
      <c r="E117" s="26"/>
      <c r="F117" s="26"/>
    </row>
    <row r="118" spans="1:6" ht="17">
      <c r="A118" s="28" t="s">
        <v>259</v>
      </c>
      <c r="B118" s="26">
        <v>2</v>
      </c>
      <c r="C118" s="26"/>
      <c r="D118" s="26"/>
      <c r="E118" s="26">
        <v>1</v>
      </c>
      <c r="F118" s="26"/>
    </row>
    <row r="119" spans="1:6" ht="17">
      <c r="A119" s="28" t="s">
        <v>260</v>
      </c>
      <c r="B119" s="26">
        <v>2</v>
      </c>
      <c r="C119" s="26"/>
      <c r="D119" s="26"/>
      <c r="E119" s="26">
        <v>1</v>
      </c>
      <c r="F119" s="26"/>
    </row>
    <row r="120" spans="1:6" ht="17">
      <c r="A120" s="28" t="s">
        <v>261</v>
      </c>
      <c r="B120" s="26">
        <v>2</v>
      </c>
      <c r="C120" s="26"/>
      <c r="D120" s="26"/>
      <c r="E120" s="26">
        <v>1</v>
      </c>
      <c r="F120" s="26"/>
    </row>
    <row r="121" spans="1:6" ht="17">
      <c r="A121" s="28" t="s">
        <v>262</v>
      </c>
      <c r="B121" s="26">
        <v>2</v>
      </c>
      <c r="C121" s="26"/>
      <c r="D121" s="26"/>
      <c r="E121" s="26">
        <v>1</v>
      </c>
      <c r="F121" s="26"/>
    </row>
    <row r="122" spans="1:6" ht="17">
      <c r="A122" s="28" t="s">
        <v>263</v>
      </c>
      <c r="B122" s="26">
        <v>2</v>
      </c>
      <c r="C122" s="26"/>
      <c r="D122" s="26"/>
      <c r="E122" s="26">
        <v>1</v>
      </c>
      <c r="F122" s="26"/>
    </row>
    <row r="123" spans="1:6" ht="17">
      <c r="A123" s="28" t="s">
        <v>264</v>
      </c>
      <c r="B123" s="26">
        <v>2</v>
      </c>
      <c r="C123" s="26"/>
      <c r="D123" s="26"/>
      <c r="E123" s="26">
        <v>1</v>
      </c>
      <c r="F123" s="26"/>
    </row>
    <row r="124" spans="1:6" ht="17">
      <c r="A124" s="28" t="s">
        <v>265</v>
      </c>
      <c r="B124" s="26">
        <v>2</v>
      </c>
      <c r="C124" s="26"/>
      <c r="D124" s="26"/>
      <c r="E124" s="26">
        <v>1</v>
      </c>
      <c r="F124" s="26"/>
    </row>
    <row r="125" spans="1:6" ht="17">
      <c r="A125" s="28" t="s">
        <v>266</v>
      </c>
      <c r="B125" s="26">
        <v>2</v>
      </c>
      <c r="C125" s="26"/>
      <c r="D125" s="26"/>
      <c r="E125" s="26">
        <v>1</v>
      </c>
      <c r="F125" s="26"/>
    </row>
    <row r="126" spans="1:6" ht="17">
      <c r="A126" s="28" t="s">
        <v>267</v>
      </c>
      <c r="B126" s="26">
        <v>2</v>
      </c>
      <c r="C126" s="26"/>
      <c r="D126" s="26"/>
      <c r="E126" s="26">
        <v>1</v>
      </c>
      <c r="F126" s="26"/>
    </row>
    <row r="127" spans="1:6" ht="17">
      <c r="A127" s="28" t="s">
        <v>268</v>
      </c>
      <c r="B127" s="26">
        <v>3</v>
      </c>
      <c r="C127" s="26"/>
      <c r="D127" s="26"/>
      <c r="E127" s="26"/>
      <c r="F127" s="26">
        <v>1</v>
      </c>
    </row>
    <row r="128" spans="1:6" ht="17">
      <c r="A128" s="28" t="s">
        <v>269</v>
      </c>
      <c r="B128" s="26">
        <v>3</v>
      </c>
      <c r="C128" s="26"/>
      <c r="D128" s="26"/>
      <c r="E128" s="26"/>
      <c r="F128" s="26">
        <v>1</v>
      </c>
    </row>
    <row r="129" spans="1:6" ht="17">
      <c r="A129" s="28" t="s">
        <v>270</v>
      </c>
      <c r="B129" s="26">
        <v>2</v>
      </c>
      <c r="C129" s="26"/>
      <c r="D129" s="26"/>
      <c r="E129" s="26"/>
      <c r="F129" s="26">
        <v>1</v>
      </c>
    </row>
    <row r="130" spans="1:6" ht="17">
      <c r="A130" s="28" t="s">
        <v>271</v>
      </c>
      <c r="B130" s="26">
        <v>3</v>
      </c>
      <c r="C130" s="26"/>
      <c r="D130" s="26"/>
      <c r="E130" s="26"/>
      <c r="F130" s="26">
        <v>1</v>
      </c>
    </row>
    <row r="131" spans="1:6" ht="17">
      <c r="A131" s="28" t="s">
        <v>272</v>
      </c>
      <c r="B131" s="26">
        <v>2</v>
      </c>
      <c r="C131" s="26"/>
      <c r="D131" s="26"/>
      <c r="E131" s="26"/>
      <c r="F131" s="26">
        <v>1</v>
      </c>
    </row>
    <row r="132" spans="1:6" ht="17">
      <c r="A132" s="28" t="s">
        <v>273</v>
      </c>
      <c r="B132" s="26">
        <v>2</v>
      </c>
      <c r="C132" s="26"/>
      <c r="D132" s="26"/>
      <c r="E132" s="26"/>
      <c r="F132" s="26">
        <v>1</v>
      </c>
    </row>
    <row r="133" spans="1:6" ht="17">
      <c r="A133" s="28" t="s">
        <v>274</v>
      </c>
      <c r="B133" s="26">
        <v>3</v>
      </c>
      <c r="C133" s="26"/>
      <c r="D133" s="26"/>
      <c r="E133" s="26"/>
      <c r="F133" s="26">
        <v>1</v>
      </c>
    </row>
    <row r="134" spans="1:6" ht="17">
      <c r="A134" s="28" t="s">
        <v>275</v>
      </c>
      <c r="B134" s="26">
        <v>3</v>
      </c>
      <c r="C134" s="26"/>
      <c r="D134" s="26"/>
      <c r="E134" s="26"/>
      <c r="F134" s="26">
        <v>1</v>
      </c>
    </row>
    <row r="135" spans="1:6" ht="17">
      <c r="A135" s="28" t="s">
        <v>276</v>
      </c>
      <c r="B135" s="26">
        <v>3</v>
      </c>
      <c r="C135" s="26"/>
      <c r="D135" s="26"/>
      <c r="E135" s="26"/>
      <c r="F135" s="26">
        <v>1</v>
      </c>
    </row>
    <row r="136" spans="1:6" ht="17">
      <c r="A136" s="28" t="s">
        <v>277</v>
      </c>
      <c r="B136" s="26">
        <v>4</v>
      </c>
      <c r="C136" s="26"/>
      <c r="D136" s="26"/>
      <c r="E136" s="26"/>
      <c r="F136" s="26">
        <v>1</v>
      </c>
    </row>
    <row r="137" spans="1:6" ht="17">
      <c r="A137" s="28" t="s">
        <v>278</v>
      </c>
      <c r="B137" s="26">
        <v>2</v>
      </c>
      <c r="C137" s="26"/>
      <c r="D137" s="26"/>
      <c r="E137" s="26"/>
      <c r="F137" s="26">
        <v>1</v>
      </c>
    </row>
    <row r="138" spans="1:6" ht="17">
      <c r="A138" s="28" t="s">
        <v>279</v>
      </c>
      <c r="B138" s="26">
        <v>2</v>
      </c>
      <c r="C138" s="26"/>
      <c r="D138" s="26"/>
      <c r="E138" s="26"/>
      <c r="F138" s="26">
        <v>1</v>
      </c>
    </row>
    <row r="139" spans="1:6" ht="17">
      <c r="A139" s="28" t="s">
        <v>280</v>
      </c>
      <c r="B139" s="26">
        <v>2</v>
      </c>
      <c r="C139" s="26"/>
      <c r="D139" s="26"/>
      <c r="E139" s="26"/>
      <c r="F139" s="26">
        <v>1</v>
      </c>
    </row>
    <row r="140" spans="1:6" ht="17">
      <c r="A140" s="28" t="s">
        <v>281</v>
      </c>
      <c r="B140" s="26">
        <v>2</v>
      </c>
      <c r="C140" s="26"/>
      <c r="D140" s="26"/>
      <c r="E140" s="26"/>
      <c r="F140" s="26">
        <v>1</v>
      </c>
    </row>
    <row r="141" spans="1:6" ht="17">
      <c r="A141" s="28" t="s">
        <v>282</v>
      </c>
      <c r="B141" s="26">
        <v>2</v>
      </c>
      <c r="C141" s="26"/>
      <c r="D141" s="26"/>
      <c r="E141" s="26"/>
      <c r="F141" s="26">
        <v>1</v>
      </c>
    </row>
    <row r="142" spans="1:6" ht="17">
      <c r="A142" s="28" t="s">
        <v>283</v>
      </c>
      <c r="B142" s="26">
        <v>2</v>
      </c>
      <c r="C142" s="26"/>
      <c r="D142" s="26"/>
      <c r="E142" s="26"/>
      <c r="F142" s="26">
        <v>1</v>
      </c>
    </row>
    <row r="143" spans="1:6" ht="17">
      <c r="A143" s="28" t="s">
        <v>284</v>
      </c>
      <c r="B143" s="26">
        <v>4</v>
      </c>
      <c r="C143" s="26"/>
      <c r="D143" s="26"/>
      <c r="E143" s="26"/>
      <c r="F143" s="26">
        <v>1</v>
      </c>
    </row>
    <row r="144" spans="1:6" ht="17">
      <c r="A144" s="28" t="s">
        <v>285</v>
      </c>
      <c r="B144" s="26">
        <v>4</v>
      </c>
      <c r="C144" s="26"/>
      <c r="D144" s="26"/>
      <c r="E144" s="26"/>
      <c r="F144" s="26">
        <v>1</v>
      </c>
    </row>
    <row r="145" spans="1:6" ht="17">
      <c r="A145" s="28" t="s">
        <v>286</v>
      </c>
      <c r="B145" s="26">
        <v>2</v>
      </c>
      <c r="C145" s="26"/>
      <c r="D145" s="26"/>
      <c r="E145" s="26"/>
      <c r="F145" s="26">
        <v>1</v>
      </c>
    </row>
    <row r="146" spans="1:6" ht="17">
      <c r="A146" s="28" t="s">
        <v>287</v>
      </c>
      <c r="B146" s="26">
        <v>2</v>
      </c>
      <c r="C146" s="26"/>
      <c r="D146" s="26"/>
      <c r="E146" s="26"/>
      <c r="F146" s="26">
        <v>1</v>
      </c>
    </row>
    <row r="147" spans="1:6" ht="17">
      <c r="A147" s="28" t="s">
        <v>288</v>
      </c>
      <c r="B147" s="26">
        <v>2</v>
      </c>
      <c r="C147" s="26"/>
      <c r="D147" s="26"/>
      <c r="E147" s="26"/>
      <c r="F147" s="26">
        <v>1</v>
      </c>
    </row>
    <row r="148" spans="1:6" ht="17">
      <c r="A148" s="28" t="s">
        <v>289</v>
      </c>
      <c r="B148" s="26">
        <v>4</v>
      </c>
      <c r="C148" s="26"/>
      <c r="D148" s="26"/>
      <c r="E148" s="26"/>
      <c r="F148" s="26">
        <v>1</v>
      </c>
    </row>
    <row r="149" spans="1:6" ht="17">
      <c r="A149" s="28" t="s">
        <v>290</v>
      </c>
      <c r="B149" s="26">
        <v>2</v>
      </c>
      <c r="C149" s="26"/>
      <c r="D149" s="26"/>
      <c r="E149" s="26"/>
      <c r="F149" s="26">
        <v>1</v>
      </c>
    </row>
    <row r="150" spans="1:6" ht="17">
      <c r="A150" s="28" t="s">
        <v>291</v>
      </c>
      <c r="B150" s="26">
        <v>2</v>
      </c>
      <c r="C150" s="26"/>
      <c r="D150" s="26"/>
      <c r="E150" s="26"/>
      <c r="F150" s="26">
        <v>1</v>
      </c>
    </row>
    <row r="151" spans="1:6" ht="17">
      <c r="A151" s="28" t="s">
        <v>292</v>
      </c>
      <c r="B151" s="26">
        <v>2</v>
      </c>
      <c r="C151" s="26"/>
      <c r="D151" s="26"/>
      <c r="E151" s="26"/>
      <c r="F151" s="26">
        <v>1</v>
      </c>
    </row>
    <row r="152" spans="1:6">
      <c r="A152" s="25" t="s">
        <v>148</v>
      </c>
      <c r="B152" s="23"/>
      <c r="C152" s="23"/>
      <c r="D152" s="23"/>
      <c r="E152" s="23"/>
      <c r="F152" s="23"/>
    </row>
    <row r="153" spans="1:6">
      <c r="A153" s="24" t="s">
        <v>149</v>
      </c>
      <c r="B153" s="24">
        <v>2</v>
      </c>
      <c r="C153" s="23"/>
      <c r="D153" s="23"/>
      <c r="E153" s="24">
        <v>1</v>
      </c>
      <c r="F153" s="23"/>
    </row>
    <row r="154" spans="1:6">
      <c r="A154" s="24" t="s">
        <v>150</v>
      </c>
      <c r="B154" s="24">
        <v>2</v>
      </c>
      <c r="C154" s="23"/>
      <c r="D154" s="23"/>
      <c r="E154" s="24">
        <v>1</v>
      </c>
      <c r="F154" s="23"/>
    </row>
    <row r="155" spans="1:6">
      <c r="A155" s="24" t="s">
        <v>151</v>
      </c>
      <c r="B155" s="24">
        <v>2</v>
      </c>
      <c r="C155" s="23"/>
      <c r="D155" s="23"/>
      <c r="E155" s="24">
        <v>1</v>
      </c>
      <c r="F155" s="23"/>
    </row>
    <row r="156" spans="1:6">
      <c r="A156" s="24" t="s">
        <v>152</v>
      </c>
      <c r="B156" s="24">
        <v>2</v>
      </c>
      <c r="C156" s="23"/>
      <c r="D156" s="23"/>
      <c r="E156" s="24">
        <v>1</v>
      </c>
      <c r="F156" s="23"/>
    </row>
    <row r="157" spans="1:6">
      <c r="A157" s="24" t="s">
        <v>153</v>
      </c>
      <c r="B157" s="24">
        <v>2</v>
      </c>
      <c r="C157" s="23"/>
      <c r="D157" s="23"/>
      <c r="E157" s="24">
        <v>1</v>
      </c>
      <c r="F157" s="23"/>
    </row>
    <row r="158" spans="1:6">
      <c r="A158" s="24" t="s">
        <v>154</v>
      </c>
      <c r="B158" s="24">
        <v>2</v>
      </c>
      <c r="C158" s="23"/>
      <c r="D158" s="23"/>
      <c r="E158" s="24">
        <v>1</v>
      </c>
      <c r="F158" s="23"/>
    </row>
    <row r="159" spans="1:6">
      <c r="A159" s="24" t="s">
        <v>155</v>
      </c>
      <c r="B159" s="24">
        <v>3</v>
      </c>
      <c r="C159" s="23"/>
      <c r="D159" s="23"/>
      <c r="E159" s="24">
        <v>1</v>
      </c>
      <c r="F159" s="23"/>
    </row>
    <row r="160" spans="1:6">
      <c r="A160" s="24" t="s">
        <v>156</v>
      </c>
      <c r="B160" s="24">
        <v>2</v>
      </c>
      <c r="C160" s="23"/>
      <c r="D160" s="23"/>
      <c r="E160" s="23"/>
      <c r="F160" s="24">
        <v>1</v>
      </c>
    </row>
    <row r="161" spans="1:6">
      <c r="A161" s="24" t="s">
        <v>157</v>
      </c>
      <c r="B161" s="24">
        <v>2</v>
      </c>
      <c r="C161" s="23"/>
      <c r="D161" s="23"/>
      <c r="E161" s="23"/>
      <c r="F161" s="24">
        <v>1</v>
      </c>
    </row>
    <row r="162" spans="1:6">
      <c r="A162" s="24" t="s">
        <v>158</v>
      </c>
      <c r="B162" s="24">
        <v>2</v>
      </c>
      <c r="C162" s="23"/>
      <c r="D162" s="23"/>
      <c r="E162" s="23"/>
      <c r="F162" s="24">
        <v>1</v>
      </c>
    </row>
    <row r="163" spans="1:6">
      <c r="A163" s="24" t="s">
        <v>159</v>
      </c>
      <c r="B163" s="24">
        <v>2</v>
      </c>
      <c r="C163" s="23"/>
      <c r="D163" s="23"/>
      <c r="E163" s="23"/>
      <c r="F163" s="24">
        <v>1</v>
      </c>
    </row>
    <row r="164" spans="1:6">
      <c r="A164" s="24" t="s">
        <v>160</v>
      </c>
      <c r="B164" s="24">
        <v>2</v>
      </c>
      <c r="C164" s="23"/>
      <c r="D164" s="23"/>
      <c r="E164" s="23"/>
      <c r="F164" s="24">
        <v>1</v>
      </c>
    </row>
    <row r="165" spans="1:6">
      <c r="A165" s="24" t="s">
        <v>161</v>
      </c>
      <c r="B165" s="24">
        <v>2</v>
      </c>
      <c r="C165" s="23"/>
      <c r="D165" s="23"/>
      <c r="E165" s="23"/>
      <c r="F165" s="24">
        <v>1</v>
      </c>
    </row>
    <row r="166" spans="1:6">
      <c r="A166" s="24" t="s">
        <v>162</v>
      </c>
      <c r="B166" s="24">
        <v>2</v>
      </c>
      <c r="C166" s="23"/>
      <c r="D166" s="23"/>
      <c r="E166" s="23"/>
      <c r="F166" s="24">
        <v>1</v>
      </c>
    </row>
    <row r="167" spans="1:6">
      <c r="A167" s="24" t="s">
        <v>163</v>
      </c>
      <c r="B167" s="24">
        <v>3</v>
      </c>
      <c r="C167" s="23"/>
      <c r="D167" s="23"/>
      <c r="E167" s="23"/>
      <c r="F167" s="23"/>
    </row>
    <row r="168" spans="1:6">
      <c r="A168" s="24" t="s">
        <v>164</v>
      </c>
      <c r="B168" s="24">
        <v>3</v>
      </c>
      <c r="C168" s="23"/>
      <c r="D168" s="23"/>
      <c r="E168" s="23"/>
      <c r="F168" s="23"/>
    </row>
    <row r="169" spans="1:6">
      <c r="A169" s="24" t="s">
        <v>165</v>
      </c>
      <c r="B169" s="24">
        <v>2</v>
      </c>
      <c r="C169" s="23"/>
      <c r="D169" s="23"/>
      <c r="E169" s="23"/>
      <c r="F169" s="23"/>
    </row>
    <row r="170" spans="1:6">
      <c r="A170" s="24" t="s">
        <v>166</v>
      </c>
      <c r="B170" s="24">
        <v>2</v>
      </c>
      <c r="C170" s="23"/>
      <c r="D170" s="23"/>
      <c r="E170" s="23"/>
      <c r="F170" s="23"/>
    </row>
    <row r="171" spans="1:6">
      <c r="A171" s="24" t="s">
        <v>167</v>
      </c>
      <c r="B171" s="24">
        <v>2</v>
      </c>
      <c r="C171" s="23"/>
      <c r="D171" s="23"/>
      <c r="E171" s="23"/>
      <c r="F171" s="23"/>
    </row>
    <row r="172" spans="1:6">
      <c r="A172" s="24" t="s">
        <v>168</v>
      </c>
      <c r="B172" s="24">
        <v>2</v>
      </c>
      <c r="C172" s="23"/>
      <c r="D172" s="23"/>
      <c r="E172" s="23"/>
      <c r="F172" s="23"/>
    </row>
    <row r="173" spans="1:6">
      <c r="A173" s="24" t="s">
        <v>169</v>
      </c>
      <c r="B173" s="24">
        <v>2</v>
      </c>
      <c r="C173" s="23"/>
      <c r="D173" s="23"/>
      <c r="E173" s="23"/>
      <c r="F173" s="23"/>
    </row>
    <row r="174" spans="1:6">
      <c r="A174" s="24" t="s">
        <v>170</v>
      </c>
      <c r="B174" s="24">
        <v>2</v>
      </c>
      <c r="C174" s="23"/>
      <c r="D174" s="23"/>
      <c r="E174" s="23"/>
      <c r="F174" s="23"/>
    </row>
  </sheetData>
  <autoFilter ref="A1:F1" xr:uid="{72A1409A-AAC5-D740-82B6-55E901E8A5C8}">
    <sortState xmlns:xlrd2="http://schemas.microsoft.com/office/spreadsheetml/2017/richdata2" ref="A2:F174">
      <sortCondition descending="1" ref="D1:D174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C6E1-95D7-F34A-8822-08A943BB07D4}">
  <sheetPr filterMode="1"/>
  <dimension ref="A1:AH944"/>
  <sheetViews>
    <sheetView workbookViewId="0">
      <selection activeCell="X224" sqref="X224"/>
    </sheetView>
  </sheetViews>
  <sheetFormatPr baseColWidth="10" defaultRowHeight="16"/>
  <cols>
    <col min="5" max="5" width="0" hidden="1" customWidth="1"/>
  </cols>
  <sheetData>
    <row r="1" spans="1:34">
      <c r="B1" t="s">
        <v>53</v>
      </c>
      <c r="C1" t="s">
        <v>54</v>
      </c>
      <c r="D1" t="s">
        <v>70</v>
      </c>
      <c r="E1" t="s">
        <v>55</v>
      </c>
      <c r="F1" t="s">
        <v>69</v>
      </c>
      <c r="G1" t="s">
        <v>56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68</v>
      </c>
    </row>
    <row r="2" spans="1:34" hidden="1">
      <c r="A2">
        <v>0</v>
      </c>
      <c r="B2">
        <v>1</v>
      </c>
      <c r="C2">
        <v>1</v>
      </c>
      <c r="D2" t="s">
        <v>43</v>
      </c>
      <c r="E2" t="s">
        <v>43</v>
      </c>
      <c r="F2" t="b">
        <f>D2=G2</f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f>COUNTIF(H2:AG2,"&gt;0.25")</f>
        <v>0</v>
      </c>
    </row>
    <row r="3" spans="1:34">
      <c r="A3">
        <v>1</v>
      </c>
      <c r="B3">
        <v>2</v>
      </c>
      <c r="C3">
        <v>2</v>
      </c>
      <c r="D3" t="s">
        <v>10</v>
      </c>
      <c r="E3" t="s">
        <v>10</v>
      </c>
      <c r="F3" t="b">
        <f t="shared" ref="F3:F66" si="0">D3=G3</f>
        <v>0</v>
      </c>
      <c r="G3" t="s">
        <v>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0.29861111111111099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0.98858230256898205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f t="shared" ref="AH3:AH66" si="1">COUNTIF(H3:AG3,"&gt;0.25")</f>
        <v>2</v>
      </c>
    </row>
    <row r="4" spans="1:34" hidden="1">
      <c r="A4">
        <v>2</v>
      </c>
      <c r="B4">
        <v>3</v>
      </c>
      <c r="C4">
        <v>3</v>
      </c>
      <c r="D4" t="s">
        <v>47</v>
      </c>
      <c r="E4" t="s">
        <v>47</v>
      </c>
      <c r="F4" t="b">
        <f t="shared" si="0"/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f t="shared" si="1"/>
        <v>0</v>
      </c>
    </row>
    <row r="5" spans="1:34" hidden="1">
      <c r="A5">
        <v>3</v>
      </c>
      <c r="B5">
        <v>4</v>
      </c>
      <c r="C5">
        <v>4</v>
      </c>
      <c r="D5" t="s">
        <v>8</v>
      </c>
      <c r="E5" t="s">
        <v>8</v>
      </c>
      <c r="F5" t="b">
        <f t="shared" si="0"/>
        <v>1</v>
      </c>
      <c r="G5" t="s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0.100992410974897</v>
      </c>
      <c r="AC5">
        <v>0</v>
      </c>
      <c r="AD5">
        <v>0</v>
      </c>
      <c r="AE5">
        <v>0</v>
      </c>
      <c r="AF5">
        <v>0</v>
      </c>
      <c r="AG5">
        <v>0</v>
      </c>
      <c r="AH5">
        <f t="shared" si="1"/>
        <v>0</v>
      </c>
    </row>
    <row r="6" spans="1:34" hidden="1">
      <c r="A6">
        <v>4</v>
      </c>
      <c r="B6">
        <v>4</v>
      </c>
      <c r="C6">
        <v>4</v>
      </c>
      <c r="D6" t="s">
        <v>8</v>
      </c>
      <c r="E6" t="s">
        <v>8</v>
      </c>
      <c r="F6" t="b">
        <f t="shared" si="0"/>
        <v>0</v>
      </c>
      <c r="G6" t="s">
        <v>10</v>
      </c>
      <c r="H6">
        <v>0</v>
      </c>
      <c r="I6">
        <v>0</v>
      </c>
      <c r="J6">
        <v>0</v>
      </c>
      <c r="K6">
        <v>0</v>
      </c>
      <c r="L6">
        <v>0</v>
      </c>
      <c r="M6">
        <v>0.15833333333333299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f t="shared" si="1"/>
        <v>0</v>
      </c>
    </row>
    <row r="7" spans="1:34" hidden="1">
      <c r="A7">
        <v>5</v>
      </c>
      <c r="B7">
        <v>5</v>
      </c>
      <c r="C7" t="s">
        <v>57</v>
      </c>
      <c r="D7" t="s">
        <v>4</v>
      </c>
      <c r="E7" t="s">
        <v>58</v>
      </c>
      <c r="F7" t="b">
        <f t="shared" si="0"/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f t="shared" si="1"/>
        <v>0</v>
      </c>
    </row>
    <row r="8" spans="1:34" hidden="1">
      <c r="A8">
        <v>6</v>
      </c>
      <c r="B8">
        <v>6</v>
      </c>
      <c r="C8" t="s">
        <v>59</v>
      </c>
      <c r="D8" t="s">
        <v>46</v>
      </c>
      <c r="E8" t="s">
        <v>58</v>
      </c>
      <c r="F8" t="b">
        <f t="shared" si="0"/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f t="shared" si="1"/>
        <v>0</v>
      </c>
    </row>
    <row r="9" spans="1:34" hidden="1">
      <c r="A9">
        <v>7</v>
      </c>
      <c r="B9">
        <v>7</v>
      </c>
      <c r="C9" t="s">
        <v>60</v>
      </c>
      <c r="D9" t="s">
        <v>10</v>
      </c>
      <c r="E9" t="s">
        <v>58</v>
      </c>
      <c r="F9" t="b">
        <f t="shared" si="0"/>
        <v>0</v>
      </c>
      <c r="G9" t="s">
        <v>43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0.19104477611940299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f t="shared" si="1"/>
        <v>0</v>
      </c>
    </row>
    <row r="10" spans="1:34" hidden="1">
      <c r="A10">
        <v>8</v>
      </c>
      <c r="B10">
        <v>8</v>
      </c>
      <c r="C10">
        <v>5</v>
      </c>
      <c r="D10" t="s">
        <v>8</v>
      </c>
      <c r="E10" t="s">
        <v>6</v>
      </c>
      <c r="F10" t="b">
        <f t="shared" si="0"/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f t="shared" si="1"/>
        <v>0</v>
      </c>
    </row>
    <row r="11" spans="1:34" hidden="1">
      <c r="A11">
        <v>9</v>
      </c>
      <c r="B11">
        <v>9</v>
      </c>
      <c r="C11">
        <v>6</v>
      </c>
      <c r="D11" t="s">
        <v>3</v>
      </c>
      <c r="E11" t="s">
        <v>8</v>
      </c>
      <c r="F11" t="b">
        <f t="shared" si="0"/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f t="shared" si="1"/>
        <v>0</v>
      </c>
    </row>
    <row r="12" spans="1:34" hidden="1">
      <c r="A12">
        <v>10</v>
      </c>
      <c r="B12">
        <v>10</v>
      </c>
      <c r="C12">
        <v>7</v>
      </c>
      <c r="D12" t="s">
        <v>61</v>
      </c>
      <c r="E12" t="s">
        <v>61</v>
      </c>
      <c r="F12" t="b">
        <f t="shared" si="0"/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f t="shared" si="1"/>
        <v>0</v>
      </c>
    </row>
    <row r="13" spans="1:34" hidden="1">
      <c r="A13">
        <v>11</v>
      </c>
      <c r="B13">
        <v>11</v>
      </c>
      <c r="C13">
        <v>8</v>
      </c>
      <c r="D13" t="s">
        <v>44</v>
      </c>
      <c r="E13" t="s">
        <v>44</v>
      </c>
      <c r="F13" t="b">
        <f t="shared" si="0"/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f t="shared" si="1"/>
        <v>0</v>
      </c>
    </row>
    <row r="14" spans="1:34" hidden="1">
      <c r="A14">
        <v>12</v>
      </c>
      <c r="B14">
        <v>12</v>
      </c>
      <c r="C14">
        <v>9</v>
      </c>
      <c r="D14" t="s">
        <v>9</v>
      </c>
      <c r="E14" t="s">
        <v>9</v>
      </c>
      <c r="F14" t="b">
        <f t="shared" si="0"/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f t="shared" si="1"/>
        <v>0</v>
      </c>
    </row>
    <row r="15" spans="1:34" hidden="1">
      <c r="A15">
        <v>13</v>
      </c>
      <c r="B15">
        <v>13</v>
      </c>
      <c r="C15">
        <v>10</v>
      </c>
      <c r="D15" t="s">
        <v>42</v>
      </c>
      <c r="E15" t="s">
        <v>42</v>
      </c>
      <c r="F15" t="b">
        <f t="shared" si="0"/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f t="shared" si="1"/>
        <v>0</v>
      </c>
    </row>
    <row r="16" spans="1:34" hidden="1">
      <c r="A16">
        <v>14</v>
      </c>
      <c r="B16">
        <v>14</v>
      </c>
      <c r="C16">
        <v>11</v>
      </c>
      <c r="D16" t="s">
        <v>62</v>
      </c>
      <c r="E16" t="s">
        <v>62</v>
      </c>
      <c r="F16" t="b">
        <f t="shared" si="0"/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f t="shared" si="1"/>
        <v>0</v>
      </c>
    </row>
    <row r="17" spans="1:34" hidden="1">
      <c r="A17">
        <v>15</v>
      </c>
      <c r="B17">
        <v>15</v>
      </c>
      <c r="C17">
        <v>12</v>
      </c>
      <c r="D17" t="s">
        <v>8</v>
      </c>
      <c r="E17" t="s">
        <v>10</v>
      </c>
      <c r="F17" t="b">
        <f t="shared" si="0"/>
        <v>0</v>
      </c>
      <c r="G17" t="s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0.104565537555228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f t="shared" si="1"/>
        <v>0</v>
      </c>
    </row>
    <row r="18" spans="1:34">
      <c r="A18">
        <v>16</v>
      </c>
      <c r="B18">
        <v>15</v>
      </c>
      <c r="C18">
        <v>12</v>
      </c>
      <c r="D18" t="s">
        <v>8</v>
      </c>
      <c r="E18" t="s">
        <v>10</v>
      </c>
      <c r="F18" t="b">
        <f t="shared" si="0"/>
        <v>0</v>
      </c>
      <c r="G18" t="s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0.32400589101619998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f t="shared" si="1"/>
        <v>1</v>
      </c>
    </row>
    <row r="19" spans="1:34" hidden="1">
      <c r="A19">
        <v>17</v>
      </c>
      <c r="B19" t="s">
        <v>63</v>
      </c>
      <c r="C19">
        <v>13</v>
      </c>
      <c r="D19" t="s">
        <v>58</v>
      </c>
      <c r="E19" t="s">
        <v>62</v>
      </c>
      <c r="F19" t="b">
        <f t="shared" si="0"/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f t="shared" si="1"/>
        <v>0</v>
      </c>
    </row>
    <row r="20" spans="1:34" hidden="1">
      <c r="A20">
        <v>18</v>
      </c>
      <c r="B20" t="s">
        <v>64</v>
      </c>
      <c r="C20">
        <v>14</v>
      </c>
      <c r="D20" t="s">
        <v>58</v>
      </c>
      <c r="E20" t="s">
        <v>4</v>
      </c>
      <c r="F20" t="b">
        <f t="shared" si="0"/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f t="shared" si="1"/>
        <v>0</v>
      </c>
    </row>
    <row r="21" spans="1:34" hidden="1">
      <c r="A21">
        <v>19</v>
      </c>
      <c r="B21" t="s">
        <v>65</v>
      </c>
      <c r="C21">
        <v>15</v>
      </c>
      <c r="D21" t="s">
        <v>58</v>
      </c>
      <c r="E21" t="s">
        <v>62</v>
      </c>
      <c r="F21" t="b">
        <f t="shared" si="0"/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f t="shared" si="1"/>
        <v>0</v>
      </c>
    </row>
    <row r="22" spans="1:34" hidden="1">
      <c r="A22">
        <v>20</v>
      </c>
      <c r="B22" t="s">
        <v>66</v>
      </c>
      <c r="C22">
        <v>16</v>
      </c>
      <c r="D22" t="s">
        <v>58</v>
      </c>
      <c r="E22" t="s">
        <v>10</v>
      </c>
      <c r="F22" t="b">
        <f t="shared" si="0"/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f t="shared" si="1"/>
        <v>0</v>
      </c>
    </row>
    <row r="23" spans="1:34">
      <c r="A23">
        <v>21</v>
      </c>
      <c r="B23">
        <v>16</v>
      </c>
      <c r="C23">
        <v>17</v>
      </c>
      <c r="D23" t="s">
        <v>4</v>
      </c>
      <c r="E23" t="s">
        <v>62</v>
      </c>
      <c r="F23" t="b">
        <f t="shared" si="0"/>
        <v>0</v>
      </c>
      <c r="G23" t="s">
        <v>10</v>
      </c>
      <c r="H23">
        <v>0</v>
      </c>
      <c r="I23">
        <v>0</v>
      </c>
      <c r="J23">
        <v>0</v>
      </c>
      <c r="K23">
        <v>0</v>
      </c>
      <c r="L23">
        <v>0</v>
      </c>
      <c r="M23">
        <v>0.91027496382054995</v>
      </c>
      <c r="N23">
        <v>0.23434991974317801</v>
      </c>
      <c r="O23">
        <v>0.16591928251120999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f t="shared" si="1"/>
        <v>1</v>
      </c>
    </row>
    <row r="24" spans="1:34" hidden="1">
      <c r="A24">
        <v>22</v>
      </c>
      <c r="B24">
        <v>17</v>
      </c>
      <c r="C24">
        <v>18</v>
      </c>
      <c r="D24" t="s">
        <v>4</v>
      </c>
      <c r="E24" t="s">
        <v>4</v>
      </c>
      <c r="F24" t="b">
        <f t="shared" si="0"/>
        <v>1</v>
      </c>
      <c r="G24" t="s">
        <v>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0.132521974306964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f t="shared" si="1"/>
        <v>0</v>
      </c>
    </row>
    <row r="25" spans="1:34" hidden="1">
      <c r="A25">
        <v>23</v>
      </c>
      <c r="B25">
        <v>18</v>
      </c>
      <c r="C25">
        <v>19</v>
      </c>
      <c r="D25" t="s">
        <v>46</v>
      </c>
      <c r="E25" t="s">
        <v>2</v>
      </c>
      <c r="F25" t="b">
        <f t="shared" si="0"/>
        <v>0</v>
      </c>
      <c r="G25" t="s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0.13934426229508101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f t="shared" si="1"/>
        <v>0</v>
      </c>
    </row>
    <row r="26" spans="1:34" hidden="1">
      <c r="A26">
        <v>24</v>
      </c>
      <c r="B26">
        <v>18</v>
      </c>
      <c r="C26">
        <v>19</v>
      </c>
      <c r="D26" t="s">
        <v>46</v>
      </c>
      <c r="E26" t="s">
        <v>2</v>
      </c>
      <c r="F26" t="b">
        <f t="shared" si="0"/>
        <v>1</v>
      </c>
      <c r="G26" t="s">
        <v>46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0.35629032258064502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f t="shared" si="1"/>
        <v>1</v>
      </c>
    </row>
    <row r="27" spans="1:34" hidden="1">
      <c r="A27">
        <v>25</v>
      </c>
      <c r="B27">
        <v>19</v>
      </c>
      <c r="C27">
        <v>20</v>
      </c>
      <c r="D27" t="s">
        <v>42</v>
      </c>
      <c r="E27" t="s">
        <v>43</v>
      </c>
      <c r="F27" t="b">
        <f t="shared" si="0"/>
        <v>1</v>
      </c>
      <c r="G27" t="s">
        <v>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0.41946308724832199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f t="shared" si="1"/>
        <v>1</v>
      </c>
    </row>
    <row r="28" spans="1:34" hidden="1">
      <c r="A28">
        <v>26</v>
      </c>
      <c r="B28">
        <v>20</v>
      </c>
      <c r="C28">
        <v>21</v>
      </c>
      <c r="D28" t="s">
        <v>42</v>
      </c>
      <c r="E28" t="s">
        <v>42</v>
      </c>
      <c r="F28" t="b">
        <f t="shared" si="0"/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f t="shared" si="1"/>
        <v>0</v>
      </c>
    </row>
    <row r="29" spans="1:34" hidden="1">
      <c r="A29">
        <v>27</v>
      </c>
      <c r="B29">
        <v>21</v>
      </c>
      <c r="C29">
        <v>22</v>
      </c>
      <c r="D29" t="s">
        <v>42</v>
      </c>
      <c r="E29" t="s">
        <v>42</v>
      </c>
      <c r="F29" t="b">
        <f t="shared" si="0"/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f t="shared" si="1"/>
        <v>0</v>
      </c>
    </row>
    <row r="30" spans="1:34" hidden="1">
      <c r="A30">
        <v>28</v>
      </c>
      <c r="B30">
        <v>22</v>
      </c>
      <c r="C30">
        <v>23</v>
      </c>
      <c r="D30" t="s">
        <v>4</v>
      </c>
      <c r="E30" t="s">
        <v>4</v>
      </c>
      <c r="F30" t="b">
        <f t="shared" si="0"/>
        <v>0</v>
      </c>
      <c r="G30" t="s">
        <v>10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0.112520092873727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f t="shared" si="1"/>
        <v>0</v>
      </c>
    </row>
    <row r="31" spans="1:34">
      <c r="A31">
        <v>29</v>
      </c>
      <c r="B31">
        <v>23</v>
      </c>
      <c r="C31">
        <v>24</v>
      </c>
      <c r="D31" t="s">
        <v>2</v>
      </c>
      <c r="E31" t="s">
        <v>43</v>
      </c>
      <c r="F31" t="b">
        <f t="shared" si="0"/>
        <v>0</v>
      </c>
      <c r="G31" t="s">
        <v>46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0.36464933362464402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f t="shared" si="1"/>
        <v>1</v>
      </c>
    </row>
    <row r="32" spans="1:34" hidden="1">
      <c r="A32">
        <v>30</v>
      </c>
      <c r="B32">
        <v>23</v>
      </c>
      <c r="C32">
        <v>24</v>
      </c>
      <c r="D32" t="s">
        <v>2</v>
      </c>
      <c r="E32" t="s">
        <v>43</v>
      </c>
      <c r="F32" t="b">
        <f t="shared" si="0"/>
        <v>1</v>
      </c>
      <c r="G32" t="s">
        <v>2</v>
      </c>
      <c r="H32">
        <v>0</v>
      </c>
      <c r="I32">
        <v>0.24611973392461101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f t="shared" si="1"/>
        <v>0</v>
      </c>
    </row>
    <row r="33" spans="1:34" hidden="1">
      <c r="A33">
        <v>31</v>
      </c>
      <c r="B33">
        <v>24</v>
      </c>
      <c r="C33">
        <v>25</v>
      </c>
      <c r="D33" t="s">
        <v>42</v>
      </c>
      <c r="E33" t="s">
        <v>42</v>
      </c>
      <c r="F33" t="b">
        <f t="shared" si="0"/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f t="shared" si="1"/>
        <v>0</v>
      </c>
    </row>
    <row r="34" spans="1:34" hidden="1">
      <c r="A34">
        <v>32</v>
      </c>
      <c r="B34">
        <v>25</v>
      </c>
      <c r="C34">
        <v>26</v>
      </c>
      <c r="D34" t="s">
        <v>43</v>
      </c>
      <c r="E34" t="s">
        <v>43</v>
      </c>
      <c r="F34" t="b">
        <f t="shared" si="0"/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f t="shared" si="1"/>
        <v>0</v>
      </c>
    </row>
    <row r="35" spans="1:34" hidden="1">
      <c r="A35">
        <v>33</v>
      </c>
      <c r="B35">
        <v>26</v>
      </c>
      <c r="C35">
        <v>27</v>
      </c>
      <c r="D35" t="s">
        <v>46</v>
      </c>
      <c r="E35" t="s">
        <v>46</v>
      </c>
      <c r="F35" t="b">
        <f t="shared" si="0"/>
        <v>1</v>
      </c>
      <c r="G35" t="s">
        <v>46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0.308619091751621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f t="shared" si="1"/>
        <v>1</v>
      </c>
    </row>
    <row r="36" spans="1:34" hidden="1">
      <c r="A36">
        <v>34</v>
      </c>
      <c r="B36">
        <v>27</v>
      </c>
      <c r="C36">
        <v>28</v>
      </c>
      <c r="D36" t="s">
        <v>50</v>
      </c>
      <c r="E36" t="s">
        <v>50</v>
      </c>
      <c r="F36" t="b">
        <f t="shared" si="0"/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f t="shared" si="1"/>
        <v>0</v>
      </c>
    </row>
    <row r="37" spans="1:34" hidden="1">
      <c r="A37">
        <v>35</v>
      </c>
      <c r="B37">
        <v>28</v>
      </c>
      <c r="C37">
        <v>29</v>
      </c>
      <c r="D37" t="s">
        <v>7</v>
      </c>
      <c r="E37" t="s">
        <v>7</v>
      </c>
      <c r="F37" t="b">
        <f t="shared" si="0"/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f t="shared" si="1"/>
        <v>0</v>
      </c>
    </row>
    <row r="38" spans="1:34" hidden="1">
      <c r="A38">
        <v>36</v>
      </c>
      <c r="B38">
        <v>29</v>
      </c>
      <c r="C38">
        <v>30</v>
      </c>
      <c r="D38" t="s">
        <v>1</v>
      </c>
      <c r="E38" t="s">
        <v>1</v>
      </c>
      <c r="F38" t="b">
        <f t="shared" si="0"/>
        <v>1</v>
      </c>
      <c r="G38" t="s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0.168831168831168</v>
      </c>
      <c r="AF38">
        <v>0</v>
      </c>
      <c r="AG38">
        <v>0</v>
      </c>
      <c r="AH38">
        <f t="shared" si="1"/>
        <v>0</v>
      </c>
    </row>
    <row r="39" spans="1:34">
      <c r="A39">
        <v>37</v>
      </c>
      <c r="B39">
        <v>30</v>
      </c>
      <c r="C39">
        <v>31</v>
      </c>
      <c r="D39" t="s">
        <v>47</v>
      </c>
      <c r="E39" t="s">
        <v>2</v>
      </c>
      <c r="F39" t="b">
        <f t="shared" si="0"/>
        <v>0</v>
      </c>
      <c r="G39" t="s">
        <v>46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0.31122900088417299</v>
      </c>
      <c r="V39">
        <v>0</v>
      </c>
      <c r="W39">
        <v>0</v>
      </c>
      <c r="X39">
        <v>0</v>
      </c>
      <c r="Y39">
        <v>0.60695187165775399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f t="shared" si="1"/>
        <v>2</v>
      </c>
    </row>
    <row r="40" spans="1:34" hidden="1">
      <c r="A40">
        <v>38</v>
      </c>
      <c r="B40">
        <v>30</v>
      </c>
      <c r="C40">
        <v>31</v>
      </c>
      <c r="D40" t="s">
        <v>47</v>
      </c>
      <c r="E40" t="s">
        <v>2</v>
      </c>
      <c r="F40" t="b">
        <f t="shared" si="0"/>
        <v>0</v>
      </c>
      <c r="G40" t="s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0.201771783683723</v>
      </c>
      <c r="AG40">
        <v>0</v>
      </c>
      <c r="AH40">
        <f t="shared" si="1"/>
        <v>0</v>
      </c>
    </row>
    <row r="41" spans="1:34">
      <c r="A41">
        <v>39</v>
      </c>
      <c r="B41">
        <v>31</v>
      </c>
      <c r="C41">
        <v>32</v>
      </c>
      <c r="D41" t="s">
        <v>6</v>
      </c>
      <c r="E41" t="s">
        <v>6</v>
      </c>
      <c r="F41" t="b">
        <f t="shared" si="0"/>
        <v>0</v>
      </c>
      <c r="G41" t="s">
        <v>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0.93326424870466296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f t="shared" si="1"/>
        <v>1</v>
      </c>
    </row>
    <row r="42" spans="1:34" hidden="1">
      <c r="A42">
        <v>40</v>
      </c>
      <c r="B42">
        <v>32</v>
      </c>
      <c r="C42">
        <v>33</v>
      </c>
      <c r="D42" t="s">
        <v>8</v>
      </c>
      <c r="E42" t="s">
        <v>8</v>
      </c>
      <c r="F42" t="b">
        <f t="shared" si="0"/>
        <v>0</v>
      </c>
      <c r="G42" t="s">
        <v>10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0.15021536252692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f t="shared" si="1"/>
        <v>0</v>
      </c>
    </row>
    <row r="43" spans="1:34" hidden="1">
      <c r="A43">
        <v>41</v>
      </c>
      <c r="B43">
        <v>32</v>
      </c>
      <c r="C43">
        <v>33</v>
      </c>
      <c r="D43" t="s">
        <v>8</v>
      </c>
      <c r="E43" t="s">
        <v>8</v>
      </c>
      <c r="F43" t="b">
        <f t="shared" si="0"/>
        <v>1</v>
      </c>
      <c r="G43" t="s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0.39778354161754298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f t="shared" si="1"/>
        <v>1</v>
      </c>
    </row>
    <row r="44" spans="1:34" hidden="1">
      <c r="A44">
        <v>42</v>
      </c>
      <c r="B44">
        <v>33</v>
      </c>
      <c r="C44">
        <v>34</v>
      </c>
      <c r="D44" t="s">
        <v>42</v>
      </c>
      <c r="E44" t="s">
        <v>42</v>
      </c>
      <c r="F44" t="b">
        <f t="shared" si="0"/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f t="shared" si="1"/>
        <v>0</v>
      </c>
    </row>
    <row r="45" spans="1:34" hidden="1">
      <c r="A45">
        <v>43</v>
      </c>
      <c r="B45">
        <v>34</v>
      </c>
      <c r="C45">
        <v>35</v>
      </c>
      <c r="D45" t="s">
        <v>62</v>
      </c>
      <c r="E45" t="s">
        <v>62</v>
      </c>
      <c r="F45" t="b">
        <f t="shared" si="0"/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f t="shared" si="1"/>
        <v>0</v>
      </c>
    </row>
    <row r="46" spans="1:34" hidden="1">
      <c r="A46">
        <v>44</v>
      </c>
      <c r="B46">
        <v>35</v>
      </c>
      <c r="C46">
        <v>36</v>
      </c>
      <c r="D46" t="s">
        <v>47</v>
      </c>
      <c r="E46" t="s">
        <v>47</v>
      </c>
      <c r="F46" t="b">
        <f t="shared" si="0"/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f t="shared" si="1"/>
        <v>0</v>
      </c>
    </row>
    <row r="47" spans="1:34" hidden="1">
      <c r="A47">
        <v>45</v>
      </c>
      <c r="B47">
        <v>36</v>
      </c>
      <c r="C47">
        <v>37</v>
      </c>
      <c r="D47" t="s">
        <v>2</v>
      </c>
      <c r="E47" t="s">
        <v>2</v>
      </c>
      <c r="F47" t="b">
        <f t="shared" si="0"/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f t="shared" si="1"/>
        <v>0</v>
      </c>
    </row>
    <row r="48" spans="1:34">
      <c r="A48">
        <v>46</v>
      </c>
      <c r="B48">
        <v>37</v>
      </c>
      <c r="C48">
        <v>38</v>
      </c>
      <c r="D48" t="s">
        <v>47</v>
      </c>
      <c r="E48" t="s">
        <v>47</v>
      </c>
      <c r="F48" t="b">
        <f t="shared" si="0"/>
        <v>0</v>
      </c>
      <c r="G48" t="s">
        <v>46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0.99593165174938902</v>
      </c>
      <c r="V48">
        <v>0</v>
      </c>
      <c r="W48">
        <v>0</v>
      </c>
      <c r="X48">
        <v>0</v>
      </c>
      <c r="Y48">
        <v>0.11037277147487801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f t="shared" si="1"/>
        <v>1</v>
      </c>
    </row>
    <row r="49" spans="1:34" hidden="1">
      <c r="A49">
        <v>47</v>
      </c>
      <c r="B49">
        <v>38</v>
      </c>
      <c r="C49">
        <v>39</v>
      </c>
      <c r="D49" t="s">
        <v>61</v>
      </c>
      <c r="E49" t="s">
        <v>61</v>
      </c>
      <c r="F49" t="b">
        <f t="shared" si="0"/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f t="shared" si="1"/>
        <v>0</v>
      </c>
    </row>
    <row r="50" spans="1:34" hidden="1">
      <c r="A50">
        <v>48</v>
      </c>
      <c r="B50">
        <v>39</v>
      </c>
      <c r="C50">
        <v>40</v>
      </c>
      <c r="D50" t="s">
        <v>61</v>
      </c>
      <c r="E50" t="s">
        <v>61</v>
      </c>
      <c r="F50" t="b">
        <f t="shared" si="0"/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f t="shared" si="1"/>
        <v>0</v>
      </c>
    </row>
    <row r="51" spans="1:34" hidden="1">
      <c r="A51">
        <v>49</v>
      </c>
      <c r="B51">
        <v>40</v>
      </c>
      <c r="C51">
        <v>41</v>
      </c>
      <c r="D51" t="s">
        <v>4</v>
      </c>
      <c r="E51" t="s">
        <v>4</v>
      </c>
      <c r="F51" t="b">
        <f t="shared" si="0"/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f t="shared" si="1"/>
        <v>0</v>
      </c>
    </row>
    <row r="52" spans="1:34">
      <c r="A52">
        <v>50</v>
      </c>
      <c r="B52">
        <v>41</v>
      </c>
      <c r="C52">
        <v>42</v>
      </c>
      <c r="D52" t="s">
        <v>47</v>
      </c>
      <c r="E52" t="s">
        <v>47</v>
      </c>
      <c r="F52" t="b">
        <f t="shared" si="0"/>
        <v>0</v>
      </c>
      <c r="G52" t="s">
        <v>46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0.50597349262646996</v>
      </c>
      <c r="AG52">
        <v>0</v>
      </c>
      <c r="AH52">
        <f t="shared" si="1"/>
        <v>1</v>
      </c>
    </row>
    <row r="53" spans="1:34" hidden="1">
      <c r="A53">
        <v>51</v>
      </c>
      <c r="B53">
        <v>42</v>
      </c>
      <c r="C53">
        <v>43</v>
      </c>
      <c r="D53" t="s">
        <v>45</v>
      </c>
      <c r="E53" t="s">
        <v>45</v>
      </c>
      <c r="F53" t="b">
        <f t="shared" si="0"/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f t="shared" si="1"/>
        <v>0</v>
      </c>
    </row>
    <row r="54" spans="1:34" hidden="1">
      <c r="A54">
        <v>52</v>
      </c>
      <c r="B54">
        <v>43</v>
      </c>
      <c r="C54">
        <v>44</v>
      </c>
      <c r="D54" t="s">
        <v>47</v>
      </c>
      <c r="E54" t="s">
        <v>47</v>
      </c>
      <c r="F54" t="b">
        <f t="shared" si="0"/>
        <v>1</v>
      </c>
      <c r="G54" t="s">
        <v>47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0.43283991228070101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f t="shared" si="1"/>
        <v>1</v>
      </c>
    </row>
    <row r="55" spans="1:34" hidden="1">
      <c r="A55">
        <v>53</v>
      </c>
      <c r="B55">
        <v>44</v>
      </c>
      <c r="C55">
        <v>45</v>
      </c>
      <c r="D55" t="s">
        <v>62</v>
      </c>
      <c r="E55" t="s">
        <v>62</v>
      </c>
      <c r="F55" t="b">
        <f t="shared" si="0"/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f t="shared" si="1"/>
        <v>0</v>
      </c>
    </row>
    <row r="56" spans="1:34" hidden="1">
      <c r="A56">
        <v>54</v>
      </c>
      <c r="B56">
        <v>45</v>
      </c>
      <c r="C56">
        <v>46</v>
      </c>
      <c r="D56" t="s">
        <v>8</v>
      </c>
      <c r="E56" t="s">
        <v>8</v>
      </c>
      <c r="F56" t="b">
        <f t="shared" si="0"/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f t="shared" si="1"/>
        <v>0</v>
      </c>
    </row>
    <row r="57" spans="1:34" hidden="1">
      <c r="A57">
        <v>55</v>
      </c>
      <c r="B57">
        <v>46</v>
      </c>
      <c r="C57">
        <v>47</v>
      </c>
      <c r="D57" t="s">
        <v>6</v>
      </c>
      <c r="E57" t="s">
        <v>6</v>
      </c>
      <c r="F57" t="b">
        <f t="shared" si="0"/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f t="shared" si="1"/>
        <v>0</v>
      </c>
    </row>
    <row r="58" spans="1:34" hidden="1">
      <c r="A58">
        <v>56</v>
      </c>
      <c r="B58">
        <v>47</v>
      </c>
      <c r="C58">
        <v>48</v>
      </c>
      <c r="D58" t="s">
        <v>2</v>
      </c>
      <c r="E58" t="s">
        <v>1</v>
      </c>
      <c r="F58" t="b">
        <f t="shared" si="0"/>
        <v>0</v>
      </c>
      <c r="G58" t="s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0.163723916532905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f t="shared" si="1"/>
        <v>0</v>
      </c>
    </row>
    <row r="59" spans="1:34" hidden="1">
      <c r="A59">
        <v>57</v>
      </c>
      <c r="B59">
        <v>48</v>
      </c>
      <c r="C59">
        <v>49</v>
      </c>
      <c r="D59" t="s">
        <v>2</v>
      </c>
      <c r="E59" t="s">
        <v>2</v>
      </c>
      <c r="F59" t="b">
        <f t="shared" si="0"/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f t="shared" si="1"/>
        <v>0</v>
      </c>
    </row>
    <row r="60" spans="1:34" hidden="1">
      <c r="A60">
        <v>58</v>
      </c>
      <c r="B60">
        <v>49</v>
      </c>
      <c r="C60">
        <v>50</v>
      </c>
      <c r="D60" t="s">
        <v>2</v>
      </c>
      <c r="E60" t="s">
        <v>2</v>
      </c>
      <c r="F60" t="b">
        <f t="shared" si="0"/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f t="shared" si="1"/>
        <v>0</v>
      </c>
    </row>
    <row r="61" spans="1:34" hidden="1">
      <c r="A61">
        <v>59</v>
      </c>
      <c r="B61">
        <v>50</v>
      </c>
      <c r="C61">
        <v>51</v>
      </c>
      <c r="D61" t="s">
        <v>2</v>
      </c>
      <c r="E61" t="s">
        <v>2</v>
      </c>
      <c r="F61" t="b">
        <f t="shared" si="0"/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f t="shared" si="1"/>
        <v>0</v>
      </c>
    </row>
    <row r="62" spans="1:34" hidden="1">
      <c r="A62">
        <v>60</v>
      </c>
      <c r="B62">
        <v>51</v>
      </c>
      <c r="C62">
        <v>52</v>
      </c>
      <c r="D62" t="s">
        <v>42</v>
      </c>
      <c r="E62" t="s">
        <v>42</v>
      </c>
      <c r="F62" t="b">
        <f t="shared" si="0"/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f t="shared" si="1"/>
        <v>0</v>
      </c>
    </row>
    <row r="63" spans="1:34" hidden="1">
      <c r="A63">
        <v>61</v>
      </c>
      <c r="B63">
        <v>52</v>
      </c>
      <c r="C63">
        <v>53</v>
      </c>
      <c r="D63" t="s">
        <v>48</v>
      </c>
      <c r="E63" t="s">
        <v>48</v>
      </c>
      <c r="F63" t="b">
        <f t="shared" si="0"/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f t="shared" si="1"/>
        <v>0</v>
      </c>
    </row>
    <row r="64" spans="1:34" hidden="1">
      <c r="A64">
        <v>62</v>
      </c>
      <c r="B64">
        <v>53</v>
      </c>
      <c r="C64">
        <v>54</v>
      </c>
      <c r="D64" t="s">
        <v>50</v>
      </c>
      <c r="E64" t="s">
        <v>50</v>
      </c>
      <c r="F64" t="b">
        <f t="shared" si="0"/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f t="shared" si="1"/>
        <v>0</v>
      </c>
    </row>
    <row r="65" spans="1:34" hidden="1">
      <c r="A65">
        <v>63</v>
      </c>
      <c r="B65">
        <v>54</v>
      </c>
      <c r="C65">
        <v>55</v>
      </c>
      <c r="D65" t="s">
        <v>1</v>
      </c>
      <c r="E65" t="s">
        <v>1</v>
      </c>
      <c r="F65" t="b">
        <f t="shared" si="0"/>
        <v>1</v>
      </c>
      <c r="G65" t="s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0.108841843088418</v>
      </c>
      <c r="AG65">
        <v>0</v>
      </c>
      <c r="AH65">
        <f t="shared" si="1"/>
        <v>0</v>
      </c>
    </row>
    <row r="66" spans="1:34" hidden="1">
      <c r="A66">
        <v>64</v>
      </c>
      <c r="B66">
        <v>55</v>
      </c>
      <c r="C66">
        <v>56</v>
      </c>
      <c r="D66" t="s">
        <v>7</v>
      </c>
      <c r="E66" t="s">
        <v>7</v>
      </c>
      <c r="F66" t="b">
        <f t="shared" si="0"/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f t="shared" si="1"/>
        <v>0</v>
      </c>
    </row>
    <row r="67" spans="1:34" hidden="1">
      <c r="A67">
        <v>65</v>
      </c>
      <c r="B67">
        <v>56</v>
      </c>
      <c r="C67">
        <v>57</v>
      </c>
      <c r="D67" t="s">
        <v>5</v>
      </c>
      <c r="E67" t="s">
        <v>5</v>
      </c>
      <c r="F67" t="b">
        <f t="shared" ref="F67:F130" si="2">D67=G67</f>
        <v>1</v>
      </c>
      <c r="G67" t="s">
        <v>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0.546336367706312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f t="shared" ref="AH67:AH130" si="3">COUNTIF(H67:AG67,"&gt;0.25")</f>
        <v>1</v>
      </c>
    </row>
    <row r="68" spans="1:34" hidden="1">
      <c r="A68">
        <v>66</v>
      </c>
      <c r="B68">
        <v>57</v>
      </c>
      <c r="C68">
        <v>58</v>
      </c>
      <c r="D68" t="s">
        <v>1</v>
      </c>
      <c r="E68" t="s">
        <v>1</v>
      </c>
      <c r="F68" t="b">
        <f t="shared" si="2"/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f t="shared" si="3"/>
        <v>0</v>
      </c>
    </row>
    <row r="69" spans="1:34" hidden="1">
      <c r="A69">
        <v>67</v>
      </c>
      <c r="B69">
        <v>58</v>
      </c>
      <c r="C69">
        <v>59</v>
      </c>
      <c r="D69" t="s">
        <v>8</v>
      </c>
      <c r="E69" t="s">
        <v>8</v>
      </c>
      <c r="F69" t="b">
        <f t="shared" si="2"/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f t="shared" si="3"/>
        <v>0</v>
      </c>
    </row>
    <row r="70" spans="1:34" hidden="1">
      <c r="A70">
        <v>68</v>
      </c>
      <c r="B70">
        <v>59</v>
      </c>
      <c r="C70">
        <v>60</v>
      </c>
      <c r="D70" t="s">
        <v>1</v>
      </c>
      <c r="E70" t="s">
        <v>1</v>
      </c>
      <c r="F70" t="b">
        <f t="shared" si="2"/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f t="shared" si="3"/>
        <v>0</v>
      </c>
    </row>
    <row r="71" spans="1:34" hidden="1">
      <c r="A71">
        <v>69</v>
      </c>
      <c r="B71">
        <v>60</v>
      </c>
      <c r="C71">
        <v>61</v>
      </c>
      <c r="D71" t="s">
        <v>61</v>
      </c>
      <c r="E71" t="s">
        <v>61</v>
      </c>
      <c r="F71" t="b">
        <f t="shared" si="2"/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f t="shared" si="3"/>
        <v>0</v>
      </c>
    </row>
    <row r="72" spans="1:34" hidden="1">
      <c r="A72">
        <v>70</v>
      </c>
      <c r="B72">
        <v>61</v>
      </c>
      <c r="C72">
        <v>62</v>
      </c>
      <c r="D72" t="s">
        <v>5</v>
      </c>
      <c r="E72" t="s">
        <v>5</v>
      </c>
      <c r="F72" t="b">
        <f t="shared" si="2"/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f t="shared" si="3"/>
        <v>0</v>
      </c>
    </row>
    <row r="73" spans="1:34" hidden="1">
      <c r="A73">
        <v>71</v>
      </c>
      <c r="B73">
        <v>62</v>
      </c>
      <c r="C73">
        <v>63</v>
      </c>
      <c r="D73" t="s">
        <v>2</v>
      </c>
      <c r="E73" t="s">
        <v>2</v>
      </c>
      <c r="F73" t="b">
        <f t="shared" si="2"/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f t="shared" si="3"/>
        <v>0</v>
      </c>
    </row>
    <row r="74" spans="1:34" hidden="1">
      <c r="A74">
        <v>72</v>
      </c>
      <c r="B74">
        <v>63</v>
      </c>
      <c r="C74">
        <v>64</v>
      </c>
      <c r="D74" t="s">
        <v>6</v>
      </c>
      <c r="E74" t="s">
        <v>6</v>
      </c>
      <c r="F74" t="b">
        <f t="shared" si="2"/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f t="shared" si="3"/>
        <v>0</v>
      </c>
    </row>
    <row r="75" spans="1:34" hidden="1">
      <c r="A75">
        <v>73</v>
      </c>
      <c r="B75">
        <v>64</v>
      </c>
      <c r="C75">
        <v>65</v>
      </c>
      <c r="D75" t="s">
        <v>47</v>
      </c>
      <c r="E75" t="s">
        <v>47</v>
      </c>
      <c r="F75" t="b">
        <f t="shared" si="2"/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f t="shared" si="3"/>
        <v>0</v>
      </c>
    </row>
    <row r="76" spans="1:34" hidden="1">
      <c r="A76">
        <v>74</v>
      </c>
      <c r="B76">
        <v>65</v>
      </c>
      <c r="C76">
        <v>66</v>
      </c>
      <c r="D76" t="s">
        <v>9</v>
      </c>
      <c r="E76" t="s">
        <v>9</v>
      </c>
      <c r="F76" t="b">
        <f t="shared" si="2"/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f t="shared" si="3"/>
        <v>0</v>
      </c>
    </row>
    <row r="77" spans="1:34" hidden="1">
      <c r="A77">
        <v>75</v>
      </c>
      <c r="B77">
        <v>66</v>
      </c>
      <c r="C77">
        <v>67</v>
      </c>
      <c r="D77" t="s">
        <v>3</v>
      </c>
      <c r="E77" t="s">
        <v>3</v>
      </c>
      <c r="F77" t="b">
        <f t="shared" si="2"/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f t="shared" si="3"/>
        <v>0</v>
      </c>
    </row>
    <row r="78" spans="1:34" hidden="1">
      <c r="A78">
        <v>76</v>
      </c>
      <c r="B78">
        <v>67</v>
      </c>
      <c r="C78">
        <v>68</v>
      </c>
      <c r="D78" t="s">
        <v>47</v>
      </c>
      <c r="E78" t="s">
        <v>47</v>
      </c>
      <c r="F78" t="b">
        <f t="shared" si="2"/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f t="shared" si="3"/>
        <v>0</v>
      </c>
    </row>
    <row r="79" spans="1:34" hidden="1">
      <c r="A79">
        <v>77</v>
      </c>
      <c r="B79">
        <v>68</v>
      </c>
      <c r="C79">
        <v>69</v>
      </c>
      <c r="D79" t="s">
        <v>62</v>
      </c>
      <c r="E79" t="s">
        <v>62</v>
      </c>
      <c r="F79" t="b">
        <f t="shared" si="2"/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f t="shared" si="3"/>
        <v>0</v>
      </c>
    </row>
    <row r="80" spans="1:34" hidden="1">
      <c r="A80">
        <v>78</v>
      </c>
      <c r="B80">
        <v>69</v>
      </c>
      <c r="C80">
        <v>70</v>
      </c>
      <c r="D80" t="s">
        <v>1</v>
      </c>
      <c r="E80" t="s">
        <v>1</v>
      </c>
      <c r="F80" t="b">
        <f t="shared" si="2"/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f t="shared" si="3"/>
        <v>0</v>
      </c>
    </row>
    <row r="81" spans="1:34" hidden="1">
      <c r="A81">
        <v>79</v>
      </c>
      <c r="B81">
        <v>70</v>
      </c>
      <c r="C81">
        <v>71</v>
      </c>
      <c r="D81" t="s">
        <v>2</v>
      </c>
      <c r="E81" t="s">
        <v>2</v>
      </c>
      <c r="F81" t="b">
        <f t="shared" si="2"/>
        <v>1</v>
      </c>
      <c r="G81" t="s">
        <v>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0.15639296893811599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f t="shared" si="3"/>
        <v>0</v>
      </c>
    </row>
    <row r="82" spans="1:34" hidden="1">
      <c r="A82">
        <v>80</v>
      </c>
      <c r="B82">
        <v>71</v>
      </c>
      <c r="C82">
        <v>72</v>
      </c>
      <c r="D82" t="s">
        <v>9</v>
      </c>
      <c r="E82" t="s">
        <v>9</v>
      </c>
      <c r="F82" t="b">
        <f t="shared" si="2"/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f t="shared" si="3"/>
        <v>0</v>
      </c>
    </row>
    <row r="83" spans="1:34" hidden="1">
      <c r="A83">
        <v>81</v>
      </c>
      <c r="B83">
        <v>72</v>
      </c>
      <c r="C83">
        <v>73</v>
      </c>
      <c r="D83" t="s">
        <v>1</v>
      </c>
      <c r="E83" t="s">
        <v>1</v>
      </c>
      <c r="F83" t="b">
        <f t="shared" si="2"/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f t="shared" si="3"/>
        <v>0</v>
      </c>
    </row>
    <row r="84" spans="1:34" hidden="1">
      <c r="A84">
        <v>82</v>
      </c>
      <c r="B84">
        <v>73</v>
      </c>
      <c r="C84">
        <v>74</v>
      </c>
      <c r="D84" t="s">
        <v>50</v>
      </c>
      <c r="E84" t="s">
        <v>50</v>
      </c>
      <c r="F84" t="b">
        <f t="shared" si="2"/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f t="shared" si="3"/>
        <v>0</v>
      </c>
    </row>
    <row r="85" spans="1:34" hidden="1">
      <c r="A85">
        <v>83</v>
      </c>
      <c r="B85">
        <v>74</v>
      </c>
      <c r="C85">
        <v>75</v>
      </c>
      <c r="D85" t="s">
        <v>47</v>
      </c>
      <c r="E85" t="s">
        <v>47</v>
      </c>
      <c r="F85" t="b">
        <f t="shared" si="2"/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f t="shared" si="3"/>
        <v>0</v>
      </c>
    </row>
    <row r="86" spans="1:34" hidden="1">
      <c r="A86">
        <v>84</v>
      </c>
      <c r="B86">
        <v>75</v>
      </c>
      <c r="C86">
        <v>76</v>
      </c>
      <c r="D86" t="s">
        <v>45</v>
      </c>
      <c r="E86" t="s">
        <v>45</v>
      </c>
      <c r="F86" t="b">
        <f t="shared" si="2"/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f t="shared" si="3"/>
        <v>0</v>
      </c>
    </row>
    <row r="87" spans="1:34" hidden="1">
      <c r="A87">
        <v>85</v>
      </c>
      <c r="B87">
        <v>76</v>
      </c>
      <c r="C87">
        <v>77</v>
      </c>
      <c r="D87" t="s">
        <v>2</v>
      </c>
      <c r="E87" t="s">
        <v>2</v>
      </c>
      <c r="F87" t="b">
        <f t="shared" si="2"/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f t="shared" si="3"/>
        <v>0</v>
      </c>
    </row>
    <row r="88" spans="1:34" hidden="1">
      <c r="A88">
        <v>86</v>
      </c>
      <c r="B88">
        <v>77</v>
      </c>
      <c r="C88">
        <v>78</v>
      </c>
      <c r="D88" t="s">
        <v>5</v>
      </c>
      <c r="E88" t="s">
        <v>5</v>
      </c>
      <c r="F88" t="b">
        <f t="shared" si="2"/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f t="shared" si="3"/>
        <v>0</v>
      </c>
    </row>
    <row r="89" spans="1:34" hidden="1">
      <c r="A89">
        <v>87</v>
      </c>
      <c r="B89">
        <v>78</v>
      </c>
      <c r="C89">
        <v>79</v>
      </c>
      <c r="D89" t="s">
        <v>45</v>
      </c>
      <c r="E89" t="s">
        <v>45</v>
      </c>
      <c r="F89" t="b">
        <f t="shared" si="2"/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f t="shared" si="3"/>
        <v>0</v>
      </c>
    </row>
    <row r="90" spans="1:34" hidden="1">
      <c r="A90">
        <v>88</v>
      </c>
      <c r="B90">
        <v>79</v>
      </c>
      <c r="C90">
        <v>80</v>
      </c>
      <c r="D90" t="s">
        <v>3</v>
      </c>
      <c r="E90" t="s">
        <v>3</v>
      </c>
      <c r="F90" t="b">
        <f t="shared" si="2"/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f t="shared" si="3"/>
        <v>0</v>
      </c>
    </row>
    <row r="91" spans="1:34" hidden="1">
      <c r="A91">
        <v>89</v>
      </c>
      <c r="B91">
        <v>80</v>
      </c>
      <c r="C91">
        <v>81</v>
      </c>
      <c r="D91" t="s">
        <v>45</v>
      </c>
      <c r="E91" t="s">
        <v>45</v>
      </c>
      <c r="F91" t="b">
        <f t="shared" si="2"/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f t="shared" si="3"/>
        <v>0</v>
      </c>
    </row>
    <row r="92" spans="1:34" hidden="1">
      <c r="A92">
        <v>90</v>
      </c>
      <c r="B92">
        <v>81</v>
      </c>
      <c r="C92">
        <v>82</v>
      </c>
      <c r="D92" t="s">
        <v>44</v>
      </c>
      <c r="E92" t="s">
        <v>44</v>
      </c>
      <c r="F92" t="b">
        <f t="shared" si="2"/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f t="shared" si="3"/>
        <v>0</v>
      </c>
    </row>
    <row r="93" spans="1:34" hidden="1">
      <c r="A93">
        <v>91</v>
      </c>
      <c r="B93">
        <v>82</v>
      </c>
      <c r="C93">
        <v>83</v>
      </c>
      <c r="D93" t="s">
        <v>6</v>
      </c>
      <c r="E93" t="s">
        <v>6</v>
      </c>
      <c r="F93" t="b">
        <f t="shared" si="2"/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f t="shared" si="3"/>
        <v>0</v>
      </c>
    </row>
    <row r="94" spans="1:34" hidden="1">
      <c r="A94">
        <v>92</v>
      </c>
      <c r="B94">
        <v>83</v>
      </c>
      <c r="C94">
        <v>84</v>
      </c>
      <c r="D94" t="s">
        <v>47</v>
      </c>
      <c r="E94" t="s">
        <v>47</v>
      </c>
      <c r="F94" t="b">
        <f t="shared" si="2"/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f t="shared" si="3"/>
        <v>0</v>
      </c>
    </row>
    <row r="95" spans="1:34" hidden="1">
      <c r="A95">
        <v>93</v>
      </c>
      <c r="B95">
        <v>84</v>
      </c>
      <c r="C95">
        <v>85</v>
      </c>
      <c r="D95" t="s">
        <v>47</v>
      </c>
      <c r="E95" t="s">
        <v>47</v>
      </c>
      <c r="F95" t="b">
        <f t="shared" si="2"/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f t="shared" si="3"/>
        <v>0</v>
      </c>
    </row>
    <row r="96" spans="1:34" hidden="1">
      <c r="A96">
        <v>94</v>
      </c>
      <c r="B96">
        <v>85</v>
      </c>
      <c r="C96">
        <v>86</v>
      </c>
      <c r="D96" t="s">
        <v>42</v>
      </c>
      <c r="E96" t="s">
        <v>42</v>
      </c>
      <c r="F96" t="b">
        <f t="shared" si="2"/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f t="shared" si="3"/>
        <v>0</v>
      </c>
    </row>
    <row r="97" spans="1:34" hidden="1">
      <c r="A97">
        <v>95</v>
      </c>
      <c r="B97">
        <v>86</v>
      </c>
      <c r="C97">
        <v>87</v>
      </c>
      <c r="D97" t="s">
        <v>6</v>
      </c>
      <c r="E97" t="s">
        <v>47</v>
      </c>
      <c r="F97" t="b">
        <f t="shared" si="2"/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f t="shared" si="3"/>
        <v>0</v>
      </c>
    </row>
    <row r="98" spans="1:34" hidden="1">
      <c r="A98">
        <v>96</v>
      </c>
      <c r="B98">
        <v>87</v>
      </c>
      <c r="C98">
        <v>88</v>
      </c>
      <c r="D98" t="s">
        <v>3</v>
      </c>
      <c r="E98" t="s">
        <v>3</v>
      </c>
      <c r="F98" t="b">
        <f t="shared" si="2"/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f t="shared" si="3"/>
        <v>0</v>
      </c>
    </row>
    <row r="99" spans="1:34" hidden="1">
      <c r="A99">
        <v>97</v>
      </c>
      <c r="B99">
        <v>88</v>
      </c>
      <c r="C99">
        <v>89</v>
      </c>
      <c r="D99" t="s">
        <v>47</v>
      </c>
      <c r="E99" t="s">
        <v>47</v>
      </c>
      <c r="F99" t="b">
        <f t="shared" si="2"/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f t="shared" si="3"/>
        <v>0</v>
      </c>
    </row>
    <row r="100" spans="1:34" hidden="1">
      <c r="A100">
        <v>98</v>
      </c>
      <c r="B100">
        <v>89</v>
      </c>
      <c r="C100">
        <v>90</v>
      </c>
      <c r="D100" t="s">
        <v>2</v>
      </c>
      <c r="E100" t="s">
        <v>2</v>
      </c>
      <c r="F100" t="b">
        <f t="shared" si="2"/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f t="shared" si="3"/>
        <v>0</v>
      </c>
    </row>
    <row r="101" spans="1:34" hidden="1">
      <c r="A101">
        <v>99</v>
      </c>
      <c r="B101">
        <v>90</v>
      </c>
      <c r="C101">
        <v>91</v>
      </c>
      <c r="D101" t="s">
        <v>6</v>
      </c>
      <c r="E101" t="s">
        <v>6</v>
      </c>
      <c r="F101" t="b">
        <f t="shared" si="2"/>
        <v>1</v>
      </c>
      <c r="G101" t="s">
        <v>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0.49791315158511601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f t="shared" si="3"/>
        <v>1</v>
      </c>
    </row>
    <row r="102" spans="1:34">
      <c r="A102">
        <v>100</v>
      </c>
      <c r="B102">
        <v>91</v>
      </c>
      <c r="C102">
        <v>92</v>
      </c>
      <c r="D102" t="s">
        <v>5</v>
      </c>
      <c r="E102" t="s">
        <v>3</v>
      </c>
      <c r="F102" t="b">
        <f t="shared" si="2"/>
        <v>0</v>
      </c>
      <c r="G102" t="s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0.283148441627047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f t="shared" si="3"/>
        <v>1</v>
      </c>
    </row>
    <row r="103" spans="1:34" hidden="1">
      <c r="A103">
        <v>101</v>
      </c>
      <c r="B103">
        <v>92</v>
      </c>
      <c r="C103">
        <v>93</v>
      </c>
      <c r="D103" t="s">
        <v>48</v>
      </c>
      <c r="E103" t="s">
        <v>48</v>
      </c>
      <c r="F103" t="b">
        <f t="shared" si="2"/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f t="shared" si="3"/>
        <v>0</v>
      </c>
    </row>
    <row r="104" spans="1:34" hidden="1">
      <c r="A104">
        <v>102</v>
      </c>
      <c r="B104">
        <v>93</v>
      </c>
      <c r="C104">
        <v>94</v>
      </c>
      <c r="D104" t="s">
        <v>3</v>
      </c>
      <c r="E104" t="s">
        <v>3</v>
      </c>
      <c r="F104" t="b">
        <f t="shared" si="2"/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f t="shared" si="3"/>
        <v>0</v>
      </c>
    </row>
    <row r="105" spans="1:34">
      <c r="A105">
        <v>103</v>
      </c>
      <c r="B105">
        <v>94</v>
      </c>
      <c r="C105">
        <v>95</v>
      </c>
      <c r="D105" t="s">
        <v>43</v>
      </c>
      <c r="E105" t="s">
        <v>43</v>
      </c>
      <c r="F105" t="b">
        <f t="shared" si="2"/>
        <v>0</v>
      </c>
      <c r="G105" t="s">
        <v>46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0.218412564857663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0.56716417910447703</v>
      </c>
      <c r="AD105">
        <v>0</v>
      </c>
      <c r="AE105">
        <v>0</v>
      </c>
      <c r="AF105">
        <v>0</v>
      </c>
      <c r="AG105">
        <v>0</v>
      </c>
      <c r="AH105">
        <f t="shared" si="3"/>
        <v>1</v>
      </c>
    </row>
    <row r="106" spans="1:34" hidden="1">
      <c r="A106">
        <v>104</v>
      </c>
      <c r="B106">
        <v>95</v>
      </c>
      <c r="C106">
        <v>96</v>
      </c>
      <c r="D106" t="s">
        <v>62</v>
      </c>
      <c r="E106" t="s">
        <v>62</v>
      </c>
      <c r="F106" t="b">
        <f t="shared" si="2"/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f t="shared" si="3"/>
        <v>0</v>
      </c>
    </row>
    <row r="107" spans="1:34" hidden="1">
      <c r="A107">
        <v>105</v>
      </c>
      <c r="B107">
        <v>96</v>
      </c>
      <c r="C107">
        <v>97</v>
      </c>
      <c r="D107" t="s">
        <v>8</v>
      </c>
      <c r="E107" t="s">
        <v>8</v>
      </c>
      <c r="F107" t="b">
        <f t="shared" si="2"/>
        <v>0</v>
      </c>
      <c r="G107" t="s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0.12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f t="shared" si="3"/>
        <v>0</v>
      </c>
    </row>
    <row r="108" spans="1:34" hidden="1">
      <c r="A108">
        <v>106</v>
      </c>
      <c r="B108">
        <v>97</v>
      </c>
      <c r="C108">
        <v>98</v>
      </c>
      <c r="D108" t="s">
        <v>3</v>
      </c>
      <c r="E108" t="s">
        <v>3</v>
      </c>
      <c r="F108" t="b">
        <f t="shared" si="2"/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f t="shared" si="3"/>
        <v>0</v>
      </c>
    </row>
    <row r="109" spans="1:34" hidden="1">
      <c r="A109">
        <v>107</v>
      </c>
      <c r="B109">
        <v>98</v>
      </c>
      <c r="C109">
        <v>99</v>
      </c>
      <c r="D109" t="s">
        <v>3</v>
      </c>
      <c r="E109" t="s">
        <v>5</v>
      </c>
      <c r="F109" t="b">
        <f t="shared" si="2"/>
        <v>0</v>
      </c>
      <c r="G109" t="s">
        <v>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0.18791766907244001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f t="shared" si="3"/>
        <v>0</v>
      </c>
    </row>
    <row r="110" spans="1:34" hidden="1">
      <c r="A110">
        <v>108</v>
      </c>
      <c r="B110">
        <v>99</v>
      </c>
      <c r="C110">
        <v>100</v>
      </c>
      <c r="D110" t="s">
        <v>43</v>
      </c>
      <c r="E110" t="s">
        <v>43</v>
      </c>
      <c r="F110" t="b">
        <f t="shared" si="2"/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f t="shared" si="3"/>
        <v>0</v>
      </c>
    </row>
    <row r="111" spans="1:34" hidden="1">
      <c r="A111">
        <v>109</v>
      </c>
      <c r="B111">
        <v>100</v>
      </c>
      <c r="C111">
        <v>101</v>
      </c>
      <c r="D111" t="s">
        <v>47</v>
      </c>
      <c r="E111" t="s">
        <v>47</v>
      </c>
      <c r="F111" t="b">
        <f t="shared" si="2"/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f t="shared" si="3"/>
        <v>0</v>
      </c>
    </row>
    <row r="112" spans="1:34" hidden="1">
      <c r="A112">
        <v>110</v>
      </c>
      <c r="B112">
        <v>101</v>
      </c>
      <c r="C112">
        <v>102</v>
      </c>
      <c r="D112" t="s">
        <v>6</v>
      </c>
      <c r="E112" t="s">
        <v>6</v>
      </c>
      <c r="F112" t="b">
        <f t="shared" si="2"/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f t="shared" si="3"/>
        <v>0</v>
      </c>
    </row>
    <row r="113" spans="1:34" hidden="1">
      <c r="A113">
        <v>111</v>
      </c>
      <c r="B113">
        <v>102</v>
      </c>
      <c r="C113">
        <v>103</v>
      </c>
      <c r="D113" t="s">
        <v>44</v>
      </c>
      <c r="E113" t="s">
        <v>44</v>
      </c>
      <c r="F113" t="b">
        <f t="shared" si="2"/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f t="shared" si="3"/>
        <v>0</v>
      </c>
    </row>
    <row r="114" spans="1:34" hidden="1">
      <c r="A114">
        <v>112</v>
      </c>
      <c r="B114">
        <v>103</v>
      </c>
      <c r="C114">
        <v>104</v>
      </c>
      <c r="D114" t="s">
        <v>43</v>
      </c>
      <c r="E114" t="s">
        <v>43</v>
      </c>
      <c r="F114" t="b">
        <f t="shared" si="2"/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f t="shared" si="3"/>
        <v>0</v>
      </c>
    </row>
    <row r="115" spans="1:34">
      <c r="A115">
        <v>113</v>
      </c>
      <c r="B115">
        <v>104</v>
      </c>
      <c r="C115">
        <v>105</v>
      </c>
      <c r="D115" t="s">
        <v>44</v>
      </c>
      <c r="E115" t="s">
        <v>9</v>
      </c>
      <c r="F115" t="b">
        <f t="shared" si="2"/>
        <v>0</v>
      </c>
      <c r="G115" t="s">
        <v>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0.273056952114069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f t="shared" si="3"/>
        <v>1</v>
      </c>
    </row>
    <row r="116" spans="1:34" hidden="1">
      <c r="A116">
        <v>114</v>
      </c>
      <c r="B116">
        <v>105</v>
      </c>
      <c r="C116">
        <v>106</v>
      </c>
      <c r="D116" t="s">
        <v>6</v>
      </c>
      <c r="E116" t="s">
        <v>6</v>
      </c>
      <c r="F116" t="b">
        <f t="shared" si="2"/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f t="shared" si="3"/>
        <v>0</v>
      </c>
    </row>
    <row r="117" spans="1:34" hidden="1">
      <c r="A117">
        <v>115</v>
      </c>
      <c r="B117">
        <v>106</v>
      </c>
      <c r="C117">
        <v>107</v>
      </c>
      <c r="D117" t="s">
        <v>5</v>
      </c>
      <c r="E117" t="s">
        <v>5</v>
      </c>
      <c r="F117" t="b">
        <f t="shared" si="2"/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f t="shared" si="3"/>
        <v>0</v>
      </c>
    </row>
    <row r="118" spans="1:34" hidden="1">
      <c r="A118">
        <v>116</v>
      </c>
      <c r="B118">
        <v>107</v>
      </c>
      <c r="C118">
        <v>108</v>
      </c>
      <c r="D118" t="s">
        <v>47</v>
      </c>
      <c r="E118" t="s">
        <v>46</v>
      </c>
      <c r="F118" t="b">
        <f t="shared" si="2"/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f t="shared" si="3"/>
        <v>0</v>
      </c>
    </row>
    <row r="119" spans="1:34" hidden="1">
      <c r="A119">
        <v>117</v>
      </c>
      <c r="B119">
        <v>108</v>
      </c>
      <c r="C119">
        <v>109</v>
      </c>
      <c r="D119" t="s">
        <v>46</v>
      </c>
      <c r="E119" t="s">
        <v>46</v>
      </c>
      <c r="F119" t="b">
        <f t="shared" si="2"/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f t="shared" si="3"/>
        <v>0</v>
      </c>
    </row>
    <row r="120" spans="1:34">
      <c r="A120">
        <v>118</v>
      </c>
      <c r="B120">
        <v>109</v>
      </c>
      <c r="C120">
        <v>110</v>
      </c>
      <c r="D120" t="s">
        <v>3</v>
      </c>
      <c r="E120" t="s">
        <v>7</v>
      </c>
      <c r="F120" t="b">
        <f t="shared" si="2"/>
        <v>0</v>
      </c>
      <c r="G120" t="s">
        <v>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0.70399785829020101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0.99096880131362797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f t="shared" si="3"/>
        <v>2</v>
      </c>
    </row>
    <row r="121" spans="1:34" hidden="1">
      <c r="A121">
        <v>119</v>
      </c>
      <c r="B121">
        <v>110</v>
      </c>
      <c r="C121">
        <v>111</v>
      </c>
      <c r="D121" t="s">
        <v>42</v>
      </c>
      <c r="E121" t="s">
        <v>42</v>
      </c>
      <c r="F121" t="b">
        <f t="shared" si="2"/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f t="shared" si="3"/>
        <v>0</v>
      </c>
    </row>
    <row r="122" spans="1:34" hidden="1">
      <c r="A122">
        <v>120</v>
      </c>
      <c r="B122">
        <v>111</v>
      </c>
      <c r="C122">
        <v>112</v>
      </c>
      <c r="D122" t="s">
        <v>62</v>
      </c>
      <c r="E122" t="s">
        <v>62</v>
      </c>
      <c r="F122" t="b">
        <f t="shared" si="2"/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f t="shared" si="3"/>
        <v>0</v>
      </c>
    </row>
    <row r="123" spans="1:34">
      <c r="A123">
        <v>121</v>
      </c>
      <c r="B123">
        <v>112</v>
      </c>
      <c r="C123">
        <v>113</v>
      </c>
      <c r="D123" t="s">
        <v>5</v>
      </c>
      <c r="E123" t="s">
        <v>5</v>
      </c>
      <c r="F123" t="b">
        <f t="shared" si="2"/>
        <v>0</v>
      </c>
      <c r="G123" t="s">
        <v>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0.97203947368420995</v>
      </c>
      <c r="O123">
        <v>0</v>
      </c>
      <c r="P123">
        <v>0.215962441314553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f t="shared" si="3"/>
        <v>1</v>
      </c>
    </row>
    <row r="124" spans="1:34" hidden="1">
      <c r="A124">
        <v>122</v>
      </c>
      <c r="B124">
        <v>113</v>
      </c>
      <c r="C124">
        <v>114</v>
      </c>
      <c r="D124" t="s">
        <v>44</v>
      </c>
      <c r="E124" t="s">
        <v>44</v>
      </c>
      <c r="F124" t="b">
        <f t="shared" si="2"/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f t="shared" si="3"/>
        <v>0</v>
      </c>
    </row>
    <row r="125" spans="1:34" hidden="1">
      <c r="A125">
        <v>123</v>
      </c>
      <c r="B125">
        <v>114</v>
      </c>
      <c r="C125">
        <v>115</v>
      </c>
      <c r="D125" t="s">
        <v>7</v>
      </c>
      <c r="E125" t="s">
        <v>7</v>
      </c>
      <c r="F125" t="b">
        <f t="shared" si="2"/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f t="shared" si="3"/>
        <v>0</v>
      </c>
    </row>
    <row r="126" spans="1:34" hidden="1">
      <c r="A126">
        <v>124</v>
      </c>
      <c r="B126">
        <v>115</v>
      </c>
      <c r="C126">
        <v>116</v>
      </c>
      <c r="D126" t="s">
        <v>42</v>
      </c>
      <c r="E126" t="s">
        <v>42</v>
      </c>
      <c r="F126" t="b">
        <f t="shared" si="2"/>
        <v>1</v>
      </c>
      <c r="G126" t="s">
        <v>42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0.60909767903686196</v>
      </c>
      <c r="AE126">
        <v>0</v>
      </c>
      <c r="AF126">
        <v>0</v>
      </c>
      <c r="AG126">
        <v>0</v>
      </c>
      <c r="AH126">
        <f t="shared" si="3"/>
        <v>1</v>
      </c>
    </row>
    <row r="127" spans="1:34" hidden="1">
      <c r="A127">
        <v>125</v>
      </c>
      <c r="B127">
        <v>116</v>
      </c>
      <c r="C127">
        <v>117</v>
      </c>
      <c r="D127" t="s">
        <v>8</v>
      </c>
      <c r="E127" t="s">
        <v>8</v>
      </c>
      <c r="F127" t="b">
        <f t="shared" si="2"/>
        <v>1</v>
      </c>
      <c r="G127" t="s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0.22867305721348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f t="shared" si="3"/>
        <v>0</v>
      </c>
    </row>
    <row r="128" spans="1:34" hidden="1">
      <c r="A128">
        <v>126</v>
      </c>
      <c r="B128">
        <v>117</v>
      </c>
      <c r="C128">
        <v>118</v>
      </c>
      <c r="D128" t="s">
        <v>45</v>
      </c>
      <c r="E128" t="s">
        <v>45</v>
      </c>
      <c r="F128" t="b">
        <f t="shared" si="2"/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f t="shared" si="3"/>
        <v>0</v>
      </c>
    </row>
    <row r="129" spans="1:34" hidden="1">
      <c r="A129">
        <v>127</v>
      </c>
      <c r="B129">
        <v>118</v>
      </c>
      <c r="C129">
        <v>119</v>
      </c>
      <c r="D129" t="s">
        <v>50</v>
      </c>
      <c r="E129" t="s">
        <v>50</v>
      </c>
      <c r="F129" t="b">
        <f t="shared" si="2"/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f t="shared" si="3"/>
        <v>0</v>
      </c>
    </row>
    <row r="130" spans="1:34" hidden="1">
      <c r="A130">
        <v>128</v>
      </c>
      <c r="B130">
        <v>119</v>
      </c>
      <c r="C130">
        <v>120</v>
      </c>
      <c r="D130" t="s">
        <v>47</v>
      </c>
      <c r="E130" t="s">
        <v>47</v>
      </c>
      <c r="F130" t="b">
        <f t="shared" si="2"/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f t="shared" si="3"/>
        <v>0</v>
      </c>
    </row>
    <row r="131" spans="1:34" hidden="1">
      <c r="A131">
        <v>129</v>
      </c>
      <c r="B131">
        <v>120</v>
      </c>
      <c r="C131">
        <v>121</v>
      </c>
      <c r="D131" t="s">
        <v>8</v>
      </c>
      <c r="E131" t="s">
        <v>8</v>
      </c>
      <c r="F131" t="b">
        <f t="shared" ref="F131:F194" si="4">D131=G131</f>
        <v>0</v>
      </c>
      <c r="G131" t="s">
        <v>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0.113821138211382</v>
      </c>
      <c r="AF131">
        <v>0</v>
      </c>
      <c r="AG131">
        <v>0</v>
      </c>
      <c r="AH131">
        <f t="shared" ref="AH131:AH194" si="5">COUNTIF(H131:AG131,"&gt;0.25")</f>
        <v>0</v>
      </c>
    </row>
    <row r="132" spans="1:34" hidden="1">
      <c r="A132">
        <v>130</v>
      </c>
      <c r="B132">
        <v>121</v>
      </c>
      <c r="C132">
        <v>122</v>
      </c>
      <c r="D132" t="s">
        <v>42</v>
      </c>
      <c r="E132" t="s">
        <v>42</v>
      </c>
      <c r="F132" t="b">
        <f t="shared" si="4"/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f t="shared" si="5"/>
        <v>0</v>
      </c>
    </row>
    <row r="133" spans="1:34" hidden="1">
      <c r="A133">
        <v>131</v>
      </c>
      <c r="B133">
        <v>122</v>
      </c>
      <c r="C133">
        <v>123</v>
      </c>
      <c r="D133" t="s">
        <v>2</v>
      </c>
      <c r="E133" t="s">
        <v>2</v>
      </c>
      <c r="F133" t="b">
        <f t="shared" si="4"/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f t="shared" si="5"/>
        <v>0</v>
      </c>
    </row>
    <row r="134" spans="1:34" hidden="1">
      <c r="A134">
        <v>132</v>
      </c>
      <c r="B134">
        <v>123</v>
      </c>
      <c r="C134">
        <v>124</v>
      </c>
      <c r="D134" t="s">
        <v>45</v>
      </c>
      <c r="E134" t="s">
        <v>45</v>
      </c>
      <c r="F134" t="b">
        <f t="shared" si="4"/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f t="shared" si="5"/>
        <v>0</v>
      </c>
    </row>
    <row r="135" spans="1:34" hidden="1">
      <c r="A135">
        <v>133</v>
      </c>
      <c r="B135">
        <v>124</v>
      </c>
      <c r="C135">
        <v>125</v>
      </c>
      <c r="D135" t="s">
        <v>42</v>
      </c>
      <c r="E135" t="s">
        <v>42</v>
      </c>
      <c r="F135" t="b">
        <f t="shared" si="4"/>
        <v>1</v>
      </c>
      <c r="G135" t="s">
        <v>42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0.218908365871894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f t="shared" si="5"/>
        <v>0</v>
      </c>
    </row>
    <row r="136" spans="1:34" hidden="1">
      <c r="A136">
        <v>134</v>
      </c>
      <c r="B136">
        <v>125</v>
      </c>
      <c r="C136">
        <v>126</v>
      </c>
      <c r="D136" t="s">
        <v>50</v>
      </c>
      <c r="E136" t="s">
        <v>50</v>
      </c>
      <c r="F136" t="b">
        <f t="shared" si="4"/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f t="shared" si="5"/>
        <v>0</v>
      </c>
    </row>
    <row r="137" spans="1:34" hidden="1">
      <c r="A137">
        <v>135</v>
      </c>
      <c r="B137">
        <v>126</v>
      </c>
      <c r="C137">
        <v>127</v>
      </c>
      <c r="D137" t="s">
        <v>47</v>
      </c>
      <c r="E137" t="s">
        <v>47</v>
      </c>
      <c r="F137" t="b">
        <f t="shared" si="4"/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f t="shared" si="5"/>
        <v>0</v>
      </c>
    </row>
    <row r="138" spans="1:34">
      <c r="A138">
        <v>136</v>
      </c>
      <c r="B138">
        <v>127</v>
      </c>
      <c r="C138">
        <v>128</v>
      </c>
      <c r="D138" t="s">
        <v>2</v>
      </c>
      <c r="E138" t="s">
        <v>7</v>
      </c>
      <c r="F138" t="b">
        <f t="shared" si="4"/>
        <v>0</v>
      </c>
      <c r="G138" t="s">
        <v>1</v>
      </c>
      <c r="H138">
        <v>0</v>
      </c>
      <c r="I138">
        <v>0</v>
      </c>
      <c r="J138">
        <v>0</v>
      </c>
      <c r="K138">
        <v>0</v>
      </c>
      <c r="L138">
        <v>0.36371760500446798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f t="shared" si="5"/>
        <v>1</v>
      </c>
    </row>
    <row r="139" spans="1:34" hidden="1">
      <c r="A139">
        <v>137</v>
      </c>
      <c r="B139">
        <v>127</v>
      </c>
      <c r="C139">
        <v>128</v>
      </c>
      <c r="D139" t="s">
        <v>2</v>
      </c>
      <c r="E139" t="s">
        <v>7</v>
      </c>
      <c r="F139" t="b">
        <f t="shared" si="4"/>
        <v>1</v>
      </c>
      <c r="G139" t="s">
        <v>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0.104276508494434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f t="shared" si="5"/>
        <v>0</v>
      </c>
    </row>
    <row r="140" spans="1:34" hidden="1">
      <c r="A140">
        <v>138</v>
      </c>
      <c r="B140">
        <v>128</v>
      </c>
      <c r="C140">
        <v>129</v>
      </c>
      <c r="D140" t="s">
        <v>42</v>
      </c>
      <c r="E140" t="s">
        <v>42</v>
      </c>
      <c r="F140" t="b">
        <f t="shared" si="4"/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f t="shared" si="5"/>
        <v>0</v>
      </c>
    </row>
    <row r="141" spans="1:34" hidden="1">
      <c r="A141">
        <v>139</v>
      </c>
      <c r="B141">
        <v>129</v>
      </c>
      <c r="C141">
        <v>130</v>
      </c>
      <c r="D141" t="s">
        <v>3</v>
      </c>
      <c r="E141" t="s">
        <v>8</v>
      </c>
      <c r="F141" t="b">
        <f t="shared" si="4"/>
        <v>1</v>
      </c>
      <c r="G141" t="s">
        <v>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0.22609819121447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f t="shared" si="5"/>
        <v>0</v>
      </c>
    </row>
    <row r="142" spans="1:34">
      <c r="A142">
        <v>140</v>
      </c>
      <c r="B142">
        <v>129</v>
      </c>
      <c r="C142">
        <v>130</v>
      </c>
      <c r="D142" t="s">
        <v>3</v>
      </c>
      <c r="E142" t="s">
        <v>8</v>
      </c>
      <c r="F142" t="b">
        <f t="shared" si="4"/>
        <v>0</v>
      </c>
      <c r="G142" t="s">
        <v>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0.16133004926108299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0.27840143691064201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0.71276595744680804</v>
      </c>
      <c r="AF142">
        <v>0</v>
      </c>
      <c r="AG142">
        <v>0</v>
      </c>
      <c r="AH142">
        <f t="shared" si="5"/>
        <v>2</v>
      </c>
    </row>
    <row r="143" spans="1:34" hidden="1">
      <c r="A143">
        <v>141</v>
      </c>
      <c r="B143">
        <v>130</v>
      </c>
      <c r="C143">
        <v>131</v>
      </c>
      <c r="D143" t="s">
        <v>50</v>
      </c>
      <c r="E143" t="s">
        <v>50</v>
      </c>
      <c r="F143" t="b">
        <f t="shared" si="4"/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f t="shared" si="5"/>
        <v>0</v>
      </c>
    </row>
    <row r="144" spans="1:34" hidden="1">
      <c r="A144">
        <v>142</v>
      </c>
      <c r="B144">
        <v>131</v>
      </c>
      <c r="C144">
        <v>132</v>
      </c>
      <c r="D144" t="s">
        <v>8</v>
      </c>
      <c r="E144" t="s">
        <v>2</v>
      </c>
      <c r="F144" t="b">
        <f t="shared" si="4"/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f t="shared" si="5"/>
        <v>0</v>
      </c>
    </row>
    <row r="145" spans="1:34" hidden="1">
      <c r="A145">
        <v>143</v>
      </c>
      <c r="B145">
        <v>132</v>
      </c>
      <c r="C145">
        <v>133</v>
      </c>
      <c r="D145" t="s">
        <v>5</v>
      </c>
      <c r="E145" t="s">
        <v>5</v>
      </c>
      <c r="F145" t="b">
        <f t="shared" si="4"/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f t="shared" si="5"/>
        <v>0</v>
      </c>
    </row>
    <row r="146" spans="1:34" hidden="1">
      <c r="A146">
        <v>144</v>
      </c>
      <c r="B146">
        <v>133</v>
      </c>
      <c r="C146">
        <v>134</v>
      </c>
      <c r="D146" t="s">
        <v>47</v>
      </c>
      <c r="E146" t="s">
        <v>42</v>
      </c>
      <c r="F146" t="b">
        <f t="shared" si="4"/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f t="shared" si="5"/>
        <v>0</v>
      </c>
    </row>
    <row r="147" spans="1:34" hidden="1">
      <c r="A147">
        <v>145</v>
      </c>
      <c r="B147" t="s">
        <v>97</v>
      </c>
      <c r="C147">
        <v>135</v>
      </c>
      <c r="D147" t="s">
        <v>58</v>
      </c>
      <c r="E147" t="s">
        <v>8</v>
      </c>
      <c r="F147" t="b">
        <f t="shared" si="4"/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f t="shared" si="5"/>
        <v>0</v>
      </c>
    </row>
    <row r="148" spans="1:34" hidden="1">
      <c r="A148">
        <v>146</v>
      </c>
      <c r="B148">
        <v>134</v>
      </c>
      <c r="C148">
        <v>136</v>
      </c>
      <c r="D148" t="s">
        <v>3</v>
      </c>
      <c r="E148" t="s">
        <v>3</v>
      </c>
      <c r="F148" t="b">
        <f t="shared" si="4"/>
        <v>1</v>
      </c>
      <c r="G148" t="s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0.132686084142394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0.28123728123728098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f t="shared" si="5"/>
        <v>1</v>
      </c>
    </row>
    <row r="149" spans="1:34" hidden="1">
      <c r="A149">
        <v>147</v>
      </c>
      <c r="B149">
        <v>135</v>
      </c>
      <c r="C149">
        <v>137</v>
      </c>
      <c r="D149" t="s">
        <v>1</v>
      </c>
      <c r="E149" t="s">
        <v>5</v>
      </c>
      <c r="F149" t="b">
        <f t="shared" si="4"/>
        <v>1</v>
      </c>
      <c r="G149" t="s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0.10016694490818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f t="shared" si="5"/>
        <v>0</v>
      </c>
    </row>
    <row r="150" spans="1:34" hidden="1">
      <c r="A150">
        <v>148</v>
      </c>
      <c r="B150">
        <v>136</v>
      </c>
      <c r="C150">
        <v>138</v>
      </c>
      <c r="D150" t="s">
        <v>2</v>
      </c>
      <c r="E150" t="s">
        <v>2</v>
      </c>
      <c r="F150" t="b">
        <f t="shared" si="4"/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f t="shared" si="5"/>
        <v>0</v>
      </c>
    </row>
    <row r="151" spans="1:34" hidden="1">
      <c r="A151">
        <v>149</v>
      </c>
      <c r="B151">
        <v>137</v>
      </c>
      <c r="C151">
        <v>139</v>
      </c>
      <c r="D151" t="s">
        <v>3</v>
      </c>
      <c r="E151" t="s">
        <v>3</v>
      </c>
      <c r="F151" t="b">
        <f t="shared" si="4"/>
        <v>1</v>
      </c>
      <c r="G151" t="s">
        <v>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0.11429668501215901</v>
      </c>
      <c r="AG151">
        <v>0</v>
      </c>
      <c r="AH151">
        <f t="shared" si="5"/>
        <v>0</v>
      </c>
    </row>
    <row r="152" spans="1:34" hidden="1">
      <c r="A152">
        <v>150</v>
      </c>
      <c r="B152">
        <v>137</v>
      </c>
      <c r="C152">
        <v>139</v>
      </c>
      <c r="D152" t="s">
        <v>3</v>
      </c>
      <c r="E152" t="s">
        <v>3</v>
      </c>
      <c r="F152" t="b">
        <f t="shared" si="4"/>
        <v>0</v>
      </c>
      <c r="G152" t="s">
        <v>7</v>
      </c>
      <c r="H152">
        <v>0</v>
      </c>
      <c r="I152">
        <v>0</v>
      </c>
      <c r="J152">
        <v>0.14375813394734199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f t="shared" si="5"/>
        <v>0</v>
      </c>
    </row>
    <row r="153" spans="1:34" hidden="1">
      <c r="A153">
        <v>151</v>
      </c>
      <c r="B153">
        <v>138</v>
      </c>
      <c r="C153">
        <v>140</v>
      </c>
      <c r="D153" t="s">
        <v>2</v>
      </c>
      <c r="E153" t="s">
        <v>2</v>
      </c>
      <c r="F153" t="b">
        <f t="shared" si="4"/>
        <v>0</v>
      </c>
      <c r="G153" t="s">
        <v>11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0.201124297314178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f t="shared" si="5"/>
        <v>0</v>
      </c>
    </row>
    <row r="154" spans="1:34" hidden="1">
      <c r="A154">
        <v>152</v>
      </c>
      <c r="B154">
        <v>138</v>
      </c>
      <c r="C154">
        <v>140</v>
      </c>
      <c r="D154" t="s">
        <v>2</v>
      </c>
      <c r="E154" t="s">
        <v>2</v>
      </c>
      <c r="F154" t="b">
        <f t="shared" si="4"/>
        <v>0</v>
      </c>
      <c r="G154" t="s">
        <v>46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0.110759493670886</v>
      </c>
      <c r="AH154">
        <f t="shared" si="5"/>
        <v>0</v>
      </c>
    </row>
    <row r="155" spans="1:34" hidden="1">
      <c r="A155">
        <v>153</v>
      </c>
      <c r="B155">
        <v>139</v>
      </c>
      <c r="C155">
        <v>141</v>
      </c>
      <c r="D155" t="s">
        <v>2</v>
      </c>
      <c r="E155" t="s">
        <v>3</v>
      </c>
      <c r="F155" t="b">
        <f t="shared" si="4"/>
        <v>0</v>
      </c>
      <c r="G155" t="s">
        <v>11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0.20749838396897199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f t="shared" si="5"/>
        <v>0</v>
      </c>
    </row>
    <row r="156" spans="1:34" hidden="1">
      <c r="A156">
        <v>154</v>
      </c>
      <c r="B156">
        <v>140</v>
      </c>
      <c r="C156">
        <v>142</v>
      </c>
      <c r="D156" t="s">
        <v>7</v>
      </c>
      <c r="E156" t="s">
        <v>7</v>
      </c>
      <c r="F156" t="b">
        <f t="shared" si="4"/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f t="shared" si="5"/>
        <v>0</v>
      </c>
    </row>
    <row r="157" spans="1:34" hidden="1">
      <c r="A157">
        <v>155</v>
      </c>
      <c r="B157">
        <v>141</v>
      </c>
      <c r="C157">
        <v>143</v>
      </c>
      <c r="D157" t="s">
        <v>7</v>
      </c>
      <c r="E157" t="s">
        <v>7</v>
      </c>
      <c r="F157" t="b">
        <f t="shared" si="4"/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f t="shared" si="5"/>
        <v>0</v>
      </c>
    </row>
    <row r="158" spans="1:34" hidden="1">
      <c r="A158">
        <v>156</v>
      </c>
      <c r="B158">
        <v>142</v>
      </c>
      <c r="C158">
        <v>144</v>
      </c>
      <c r="D158" t="s">
        <v>7</v>
      </c>
      <c r="E158" t="s">
        <v>7</v>
      </c>
      <c r="F158" t="b">
        <f t="shared" si="4"/>
        <v>0</v>
      </c>
      <c r="G158" t="s">
        <v>10</v>
      </c>
      <c r="H158">
        <v>0</v>
      </c>
      <c r="I158">
        <v>0</v>
      </c>
      <c r="J158">
        <v>0</v>
      </c>
      <c r="K158">
        <v>0.18271119842829001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f t="shared" si="5"/>
        <v>0</v>
      </c>
    </row>
    <row r="159" spans="1:34" hidden="1">
      <c r="A159">
        <v>157</v>
      </c>
      <c r="B159">
        <v>143</v>
      </c>
      <c r="C159">
        <v>145</v>
      </c>
      <c r="D159" t="s">
        <v>6</v>
      </c>
      <c r="E159" t="s">
        <v>4</v>
      </c>
      <c r="F159" t="b">
        <f t="shared" si="4"/>
        <v>0</v>
      </c>
      <c r="G159" t="s">
        <v>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0.21310773184836099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f t="shared" si="5"/>
        <v>0</v>
      </c>
    </row>
    <row r="160" spans="1:34" hidden="1">
      <c r="A160">
        <v>158</v>
      </c>
      <c r="B160">
        <v>143</v>
      </c>
      <c r="C160">
        <v>145</v>
      </c>
      <c r="D160" t="s">
        <v>6</v>
      </c>
      <c r="E160" t="s">
        <v>4</v>
      </c>
      <c r="F160" t="b">
        <f t="shared" si="4"/>
        <v>1</v>
      </c>
      <c r="G160" t="s">
        <v>6</v>
      </c>
      <c r="H160">
        <v>0</v>
      </c>
      <c r="I160">
        <v>0</v>
      </c>
      <c r="J160">
        <v>0.11886217406027701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f t="shared" si="5"/>
        <v>0</v>
      </c>
    </row>
    <row r="161" spans="1:34">
      <c r="A161">
        <v>159</v>
      </c>
      <c r="B161">
        <v>144</v>
      </c>
      <c r="C161">
        <v>146</v>
      </c>
      <c r="D161" t="s">
        <v>4</v>
      </c>
      <c r="E161" t="s">
        <v>10</v>
      </c>
      <c r="F161" t="b">
        <f t="shared" si="4"/>
        <v>0</v>
      </c>
      <c r="G161" t="s">
        <v>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0.425850340136054</v>
      </c>
      <c r="Q161">
        <v>0.27309515550930702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f t="shared" si="5"/>
        <v>2</v>
      </c>
    </row>
    <row r="162" spans="1:34" hidden="1">
      <c r="A162">
        <v>160</v>
      </c>
      <c r="B162">
        <v>145</v>
      </c>
      <c r="C162">
        <v>147</v>
      </c>
      <c r="D162" t="s">
        <v>43</v>
      </c>
      <c r="E162" t="s">
        <v>43</v>
      </c>
      <c r="F162" t="b">
        <f t="shared" si="4"/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f t="shared" si="5"/>
        <v>0</v>
      </c>
    </row>
    <row r="163" spans="1:34" hidden="1">
      <c r="A163">
        <v>161</v>
      </c>
      <c r="B163" t="s">
        <v>98</v>
      </c>
      <c r="C163">
        <v>148</v>
      </c>
      <c r="D163" t="s">
        <v>58</v>
      </c>
      <c r="E163" t="s">
        <v>46</v>
      </c>
      <c r="F163" t="b">
        <f t="shared" si="4"/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f t="shared" si="5"/>
        <v>0</v>
      </c>
    </row>
    <row r="164" spans="1:34" hidden="1">
      <c r="A164">
        <v>162</v>
      </c>
      <c r="B164">
        <v>146</v>
      </c>
      <c r="C164">
        <v>149</v>
      </c>
      <c r="D164" t="s">
        <v>43</v>
      </c>
      <c r="E164" t="s">
        <v>43</v>
      </c>
      <c r="F164" t="b">
        <f t="shared" si="4"/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f t="shared" si="5"/>
        <v>0</v>
      </c>
    </row>
    <row r="165" spans="1:34" hidden="1">
      <c r="A165">
        <v>163</v>
      </c>
      <c r="B165">
        <v>147</v>
      </c>
      <c r="C165">
        <v>150</v>
      </c>
      <c r="D165" t="s">
        <v>6</v>
      </c>
      <c r="E165" t="s">
        <v>6</v>
      </c>
      <c r="F165" t="b">
        <f t="shared" si="4"/>
        <v>1</v>
      </c>
      <c r="G165" t="s">
        <v>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0.128872366790582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f t="shared" si="5"/>
        <v>0</v>
      </c>
    </row>
    <row r="166" spans="1:34" hidden="1">
      <c r="A166">
        <v>164</v>
      </c>
      <c r="B166">
        <v>148</v>
      </c>
      <c r="C166">
        <v>151</v>
      </c>
      <c r="D166" t="s">
        <v>10</v>
      </c>
      <c r="E166" t="s">
        <v>8</v>
      </c>
      <c r="F166" t="b">
        <f t="shared" si="4"/>
        <v>0</v>
      </c>
      <c r="G166" t="s">
        <v>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0.14429732169726101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f t="shared" si="5"/>
        <v>0</v>
      </c>
    </row>
    <row r="167" spans="1:34" hidden="1">
      <c r="A167">
        <v>165</v>
      </c>
      <c r="B167">
        <v>149</v>
      </c>
      <c r="C167">
        <v>152</v>
      </c>
      <c r="D167" t="s">
        <v>4</v>
      </c>
      <c r="E167" t="s">
        <v>4</v>
      </c>
      <c r="F167" t="b">
        <f t="shared" si="4"/>
        <v>0</v>
      </c>
      <c r="G167" t="s">
        <v>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0.11340206185566901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f t="shared" si="5"/>
        <v>0</v>
      </c>
    </row>
    <row r="168" spans="1:34" hidden="1">
      <c r="A168">
        <v>166</v>
      </c>
      <c r="B168">
        <v>150</v>
      </c>
      <c r="C168">
        <v>153</v>
      </c>
      <c r="D168" t="s">
        <v>6</v>
      </c>
      <c r="E168" t="s">
        <v>6</v>
      </c>
      <c r="F168" t="b">
        <f t="shared" si="4"/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f t="shared" si="5"/>
        <v>0</v>
      </c>
    </row>
    <row r="169" spans="1:34" hidden="1">
      <c r="A169">
        <v>167</v>
      </c>
      <c r="B169">
        <v>151</v>
      </c>
      <c r="C169">
        <v>154</v>
      </c>
      <c r="D169" t="s">
        <v>46</v>
      </c>
      <c r="E169" t="s">
        <v>46</v>
      </c>
      <c r="F169" t="b">
        <f t="shared" si="4"/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f t="shared" si="5"/>
        <v>0</v>
      </c>
    </row>
    <row r="170" spans="1:34" hidden="1">
      <c r="A170">
        <v>168</v>
      </c>
      <c r="B170">
        <v>152</v>
      </c>
      <c r="C170">
        <v>155</v>
      </c>
      <c r="D170" t="s">
        <v>8</v>
      </c>
      <c r="E170" t="s">
        <v>8</v>
      </c>
      <c r="F170" t="b">
        <f t="shared" si="4"/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f t="shared" si="5"/>
        <v>0</v>
      </c>
    </row>
    <row r="171" spans="1:34" hidden="1">
      <c r="A171">
        <v>169</v>
      </c>
      <c r="B171">
        <v>153</v>
      </c>
      <c r="C171">
        <v>156</v>
      </c>
      <c r="D171" t="s">
        <v>3</v>
      </c>
      <c r="E171" t="s">
        <v>3</v>
      </c>
      <c r="F171" t="b">
        <f t="shared" si="4"/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f t="shared" si="5"/>
        <v>0</v>
      </c>
    </row>
    <row r="172" spans="1:34" hidden="1">
      <c r="A172">
        <v>170</v>
      </c>
      <c r="B172">
        <v>154</v>
      </c>
      <c r="C172">
        <v>157</v>
      </c>
      <c r="D172" t="s">
        <v>50</v>
      </c>
      <c r="E172" t="s">
        <v>50</v>
      </c>
      <c r="F172" t="b">
        <f t="shared" si="4"/>
        <v>1</v>
      </c>
      <c r="G172" t="s">
        <v>50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0.84371567550604099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f t="shared" si="5"/>
        <v>1</v>
      </c>
    </row>
    <row r="173" spans="1:34" hidden="1">
      <c r="A173">
        <v>171</v>
      </c>
      <c r="B173">
        <v>155</v>
      </c>
      <c r="C173">
        <v>158</v>
      </c>
      <c r="D173" t="s">
        <v>7</v>
      </c>
      <c r="E173" t="s">
        <v>7</v>
      </c>
      <c r="F173" t="b">
        <f t="shared" si="4"/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f t="shared" si="5"/>
        <v>0</v>
      </c>
    </row>
    <row r="174" spans="1:34" hidden="1">
      <c r="A174">
        <v>172</v>
      </c>
      <c r="B174">
        <v>156</v>
      </c>
      <c r="C174">
        <v>159</v>
      </c>
      <c r="D174" t="s">
        <v>48</v>
      </c>
      <c r="E174" t="s">
        <v>48</v>
      </c>
      <c r="F174" t="b">
        <f t="shared" si="4"/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f t="shared" si="5"/>
        <v>0</v>
      </c>
    </row>
    <row r="175" spans="1:34">
      <c r="A175">
        <v>173</v>
      </c>
      <c r="B175">
        <v>157</v>
      </c>
      <c r="C175">
        <v>160</v>
      </c>
      <c r="D175" t="s">
        <v>3</v>
      </c>
      <c r="E175" t="s">
        <v>3</v>
      </c>
      <c r="F175" t="b">
        <f t="shared" si="4"/>
        <v>0</v>
      </c>
      <c r="G175" t="s">
        <v>11</v>
      </c>
      <c r="H175">
        <v>0</v>
      </c>
      <c r="I175">
        <v>0</v>
      </c>
      <c r="J175">
        <v>0.94605039418766401</v>
      </c>
      <c r="K175">
        <v>0</v>
      </c>
      <c r="L175">
        <v>0</v>
      </c>
      <c r="M175">
        <v>0</v>
      </c>
      <c r="N175">
        <v>0</v>
      </c>
      <c r="O175">
        <v>0.43267108167770402</v>
      </c>
      <c r="P175">
        <v>0.260677466863033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f t="shared" si="5"/>
        <v>3</v>
      </c>
    </row>
    <row r="176" spans="1:34" hidden="1">
      <c r="A176">
        <v>174</v>
      </c>
      <c r="B176">
        <v>157</v>
      </c>
      <c r="C176">
        <v>160</v>
      </c>
      <c r="D176" t="s">
        <v>3</v>
      </c>
      <c r="E176" t="s">
        <v>3</v>
      </c>
      <c r="F176" t="b">
        <f t="shared" si="4"/>
        <v>0</v>
      </c>
      <c r="G176" t="s">
        <v>8</v>
      </c>
      <c r="H176">
        <v>0</v>
      </c>
      <c r="I176">
        <v>0</v>
      </c>
      <c r="J176">
        <v>0</v>
      </c>
      <c r="K176">
        <v>0</v>
      </c>
      <c r="L176">
        <v>0.19858989424206799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0.10774784782004899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f t="shared" si="5"/>
        <v>0</v>
      </c>
    </row>
    <row r="177" spans="1:34">
      <c r="A177">
        <v>175</v>
      </c>
      <c r="B177">
        <v>158</v>
      </c>
      <c r="C177">
        <v>161</v>
      </c>
      <c r="D177" t="s">
        <v>46</v>
      </c>
      <c r="E177" t="s">
        <v>46</v>
      </c>
      <c r="F177" t="b">
        <f t="shared" si="4"/>
        <v>0</v>
      </c>
      <c r="G177" t="s">
        <v>11</v>
      </c>
      <c r="H177">
        <v>0</v>
      </c>
      <c r="I177">
        <v>0</v>
      </c>
      <c r="J177">
        <v>0.94972847168347496</v>
      </c>
      <c r="K177">
        <v>0</v>
      </c>
      <c r="L177">
        <v>0.25151148730350598</v>
      </c>
      <c r="M177">
        <v>0</v>
      </c>
      <c r="N177">
        <v>0.13238157040882501</v>
      </c>
      <c r="O177">
        <v>0.45413870246084997</v>
      </c>
      <c r="P177">
        <v>0.261061946902654</v>
      </c>
      <c r="Q177">
        <v>0</v>
      </c>
      <c r="R177">
        <v>0.103754657494984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0.89473684210526305</v>
      </c>
      <c r="AF177">
        <v>0</v>
      </c>
      <c r="AG177">
        <v>0</v>
      </c>
      <c r="AH177">
        <f t="shared" si="5"/>
        <v>5</v>
      </c>
    </row>
    <row r="178" spans="1:34" hidden="1">
      <c r="A178">
        <v>176</v>
      </c>
      <c r="B178">
        <v>158</v>
      </c>
      <c r="C178">
        <v>161</v>
      </c>
      <c r="D178" t="s">
        <v>46</v>
      </c>
      <c r="E178" t="s">
        <v>46</v>
      </c>
      <c r="F178" t="b">
        <f t="shared" si="4"/>
        <v>0</v>
      </c>
      <c r="G178" t="s">
        <v>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0.116938950988822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f t="shared" si="5"/>
        <v>0</v>
      </c>
    </row>
    <row r="179" spans="1:34">
      <c r="A179">
        <v>177</v>
      </c>
      <c r="B179">
        <v>159</v>
      </c>
      <c r="C179">
        <v>162</v>
      </c>
      <c r="D179" t="s">
        <v>2</v>
      </c>
      <c r="E179" t="s">
        <v>7</v>
      </c>
      <c r="F179" t="b">
        <f t="shared" si="4"/>
        <v>0</v>
      </c>
      <c r="G179" t="s">
        <v>11</v>
      </c>
      <c r="H179">
        <v>0</v>
      </c>
      <c r="I179">
        <v>0</v>
      </c>
      <c r="J179">
        <v>0.93549373280342396</v>
      </c>
      <c r="K179">
        <v>0</v>
      </c>
      <c r="L179">
        <v>0.25273390036451998</v>
      </c>
      <c r="M179">
        <v>0.117529880478087</v>
      </c>
      <c r="N179">
        <v>0.10428662827894999</v>
      </c>
      <c r="O179">
        <v>0.43721973094170402</v>
      </c>
      <c r="P179">
        <v>0.259911894273127</v>
      </c>
      <c r="Q179">
        <v>0</v>
      </c>
      <c r="R179">
        <v>0.112314356435643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0.85</v>
      </c>
      <c r="AF179">
        <v>0</v>
      </c>
      <c r="AG179">
        <v>0</v>
      </c>
      <c r="AH179">
        <f t="shared" si="5"/>
        <v>5</v>
      </c>
    </row>
    <row r="180" spans="1:34">
      <c r="A180">
        <v>178</v>
      </c>
      <c r="B180">
        <v>160</v>
      </c>
      <c r="C180">
        <v>163</v>
      </c>
      <c r="D180" t="s">
        <v>8</v>
      </c>
      <c r="E180" t="s">
        <v>2</v>
      </c>
      <c r="F180" t="b">
        <f t="shared" si="4"/>
        <v>0</v>
      </c>
      <c r="G180" t="s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0.47545219638242803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f t="shared" si="5"/>
        <v>1</v>
      </c>
    </row>
    <row r="181" spans="1:34">
      <c r="A181">
        <v>179</v>
      </c>
      <c r="B181">
        <v>160</v>
      </c>
      <c r="C181">
        <v>163</v>
      </c>
      <c r="D181" t="s">
        <v>8</v>
      </c>
      <c r="E181" t="s">
        <v>2</v>
      </c>
      <c r="F181" t="b">
        <f t="shared" si="4"/>
        <v>0</v>
      </c>
      <c r="G181" t="s">
        <v>11</v>
      </c>
      <c r="H181">
        <v>0</v>
      </c>
      <c r="I181">
        <v>0</v>
      </c>
      <c r="J181">
        <v>0</v>
      </c>
      <c r="K181">
        <v>0</v>
      </c>
      <c r="L181">
        <v>0.167487684729064</v>
      </c>
      <c r="M181">
        <v>0.118871725990597</v>
      </c>
      <c r="N181">
        <v>0.105297157622739</v>
      </c>
      <c r="O181">
        <v>0</v>
      </c>
      <c r="P181">
        <v>0</v>
      </c>
      <c r="Q181">
        <v>0</v>
      </c>
      <c r="R181">
        <v>0.41618682021753001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f t="shared" si="5"/>
        <v>1</v>
      </c>
    </row>
    <row r="182" spans="1:34">
      <c r="A182">
        <v>180</v>
      </c>
      <c r="B182">
        <v>161</v>
      </c>
      <c r="C182">
        <v>164</v>
      </c>
      <c r="D182" t="s">
        <v>7</v>
      </c>
      <c r="E182" t="s">
        <v>7</v>
      </c>
      <c r="F182" t="b">
        <f t="shared" si="4"/>
        <v>0</v>
      </c>
      <c r="G182" t="s">
        <v>11</v>
      </c>
      <c r="H182">
        <v>0</v>
      </c>
      <c r="I182">
        <v>0</v>
      </c>
      <c r="J182">
        <v>0</v>
      </c>
      <c r="K182">
        <v>0</v>
      </c>
      <c r="L182">
        <v>0.17391304347826</v>
      </c>
      <c r="M182">
        <v>0</v>
      </c>
      <c r="N182">
        <v>0.104651162790697</v>
      </c>
      <c r="O182">
        <v>0</v>
      </c>
      <c r="P182">
        <v>0</v>
      </c>
      <c r="Q182">
        <v>0</v>
      </c>
      <c r="R182">
        <v>0.41278688524590101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f t="shared" si="5"/>
        <v>1</v>
      </c>
    </row>
    <row r="183" spans="1:34" hidden="1">
      <c r="A183">
        <v>181</v>
      </c>
      <c r="B183">
        <v>161</v>
      </c>
      <c r="C183">
        <v>164</v>
      </c>
      <c r="D183" t="s">
        <v>7</v>
      </c>
      <c r="E183" t="s">
        <v>7</v>
      </c>
      <c r="F183" t="b">
        <f t="shared" si="4"/>
        <v>0</v>
      </c>
      <c r="G183" t="s">
        <v>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0.153909061171082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f t="shared" si="5"/>
        <v>0</v>
      </c>
    </row>
    <row r="184" spans="1:34" hidden="1">
      <c r="A184">
        <v>182</v>
      </c>
      <c r="B184">
        <v>162</v>
      </c>
      <c r="C184">
        <v>165</v>
      </c>
      <c r="D184" t="s">
        <v>46</v>
      </c>
      <c r="E184" t="s">
        <v>46</v>
      </c>
      <c r="F184" t="b">
        <f t="shared" si="4"/>
        <v>0</v>
      </c>
      <c r="G184" t="s">
        <v>11</v>
      </c>
      <c r="H184">
        <v>0</v>
      </c>
      <c r="I184">
        <v>0</v>
      </c>
      <c r="J184">
        <v>0</v>
      </c>
      <c r="K184">
        <v>0</v>
      </c>
      <c r="L184">
        <v>0.17307692307692299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f t="shared" si="5"/>
        <v>0</v>
      </c>
    </row>
    <row r="185" spans="1:34" hidden="1">
      <c r="A185">
        <v>183</v>
      </c>
      <c r="B185">
        <v>162</v>
      </c>
      <c r="C185">
        <v>165</v>
      </c>
      <c r="D185" t="s">
        <v>46</v>
      </c>
      <c r="E185" t="s">
        <v>46</v>
      </c>
      <c r="F185" t="b">
        <f t="shared" si="4"/>
        <v>0</v>
      </c>
      <c r="G185" t="s">
        <v>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0.10153640614562399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f t="shared" si="5"/>
        <v>0</v>
      </c>
    </row>
    <row r="186" spans="1:34">
      <c r="A186">
        <v>184</v>
      </c>
      <c r="B186">
        <v>162</v>
      </c>
      <c r="C186">
        <v>165</v>
      </c>
      <c r="D186" t="s">
        <v>46</v>
      </c>
      <c r="E186" t="s">
        <v>46</v>
      </c>
      <c r="F186" t="b">
        <f t="shared" si="4"/>
        <v>0</v>
      </c>
      <c r="G186" t="s">
        <v>10</v>
      </c>
      <c r="H186">
        <v>0</v>
      </c>
      <c r="I186">
        <v>0</v>
      </c>
      <c r="J186">
        <v>0</v>
      </c>
      <c r="K186">
        <v>0.98312236286919796</v>
      </c>
      <c r="L186">
        <v>0</v>
      </c>
      <c r="M186">
        <v>0.22979291917167599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0.99318150825037399</v>
      </c>
      <c r="X186">
        <v>0</v>
      </c>
      <c r="Y186">
        <v>0.412745098039215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0.68387815750371395</v>
      </c>
      <c r="AG186">
        <v>0</v>
      </c>
      <c r="AH186">
        <f t="shared" si="5"/>
        <v>4</v>
      </c>
    </row>
    <row r="187" spans="1:34">
      <c r="A187">
        <v>185</v>
      </c>
      <c r="B187">
        <v>162</v>
      </c>
      <c r="C187">
        <v>165</v>
      </c>
      <c r="D187" t="s">
        <v>46</v>
      </c>
      <c r="E187" t="s">
        <v>46</v>
      </c>
      <c r="F187" t="b">
        <f t="shared" si="4"/>
        <v>0</v>
      </c>
      <c r="G187" t="s">
        <v>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0.383171304056319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f t="shared" si="5"/>
        <v>1</v>
      </c>
    </row>
    <row r="188" spans="1:34" hidden="1">
      <c r="A188">
        <v>186</v>
      </c>
      <c r="B188">
        <v>163</v>
      </c>
      <c r="C188">
        <v>166</v>
      </c>
      <c r="D188" t="s">
        <v>10</v>
      </c>
      <c r="E188" t="s">
        <v>10</v>
      </c>
      <c r="F188" t="b">
        <f t="shared" si="4"/>
        <v>0</v>
      </c>
      <c r="G188" t="s">
        <v>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0.24709480122324101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f t="shared" si="5"/>
        <v>0</v>
      </c>
    </row>
    <row r="189" spans="1:34">
      <c r="A189">
        <v>187</v>
      </c>
      <c r="B189">
        <v>163</v>
      </c>
      <c r="C189">
        <v>166</v>
      </c>
      <c r="D189" t="s">
        <v>10</v>
      </c>
      <c r="E189" t="s">
        <v>10</v>
      </c>
      <c r="F189" t="b">
        <f t="shared" si="4"/>
        <v>0</v>
      </c>
      <c r="G189" t="s">
        <v>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0.27307692307692299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0.14958210422812099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f t="shared" si="5"/>
        <v>1</v>
      </c>
    </row>
    <row r="190" spans="1:34" hidden="1">
      <c r="A190">
        <v>188</v>
      </c>
      <c r="B190">
        <v>163</v>
      </c>
      <c r="C190">
        <v>166</v>
      </c>
      <c r="D190" t="s">
        <v>10</v>
      </c>
      <c r="E190" t="s">
        <v>10</v>
      </c>
      <c r="F190" t="b">
        <f t="shared" si="4"/>
        <v>0</v>
      </c>
      <c r="G190" t="s">
        <v>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0.13291058972733</v>
      </c>
      <c r="AH190">
        <f t="shared" si="5"/>
        <v>0</v>
      </c>
    </row>
    <row r="191" spans="1:34">
      <c r="A191">
        <v>189</v>
      </c>
      <c r="B191">
        <v>164</v>
      </c>
      <c r="C191">
        <v>167</v>
      </c>
      <c r="D191" t="s">
        <v>5</v>
      </c>
      <c r="E191" t="s">
        <v>4</v>
      </c>
      <c r="F191" t="b">
        <f t="shared" si="4"/>
        <v>0</v>
      </c>
      <c r="G191" t="s">
        <v>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0.51189127972819903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f t="shared" si="5"/>
        <v>1</v>
      </c>
    </row>
    <row r="192" spans="1:34" hidden="1">
      <c r="A192">
        <v>190</v>
      </c>
      <c r="B192">
        <v>164</v>
      </c>
      <c r="C192">
        <v>167</v>
      </c>
      <c r="D192" t="s">
        <v>5</v>
      </c>
      <c r="E192" t="s">
        <v>4</v>
      </c>
      <c r="F192" t="b">
        <f t="shared" si="4"/>
        <v>0</v>
      </c>
      <c r="G192" t="s">
        <v>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0.103545301069217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f t="shared" si="5"/>
        <v>0</v>
      </c>
    </row>
    <row r="193" spans="1:34">
      <c r="A193">
        <v>191</v>
      </c>
      <c r="B193">
        <v>164</v>
      </c>
      <c r="C193">
        <v>167</v>
      </c>
      <c r="D193" t="s">
        <v>5</v>
      </c>
      <c r="E193" t="s">
        <v>4</v>
      </c>
      <c r="F193" t="b">
        <f t="shared" si="4"/>
        <v>0</v>
      </c>
      <c r="G193" t="s">
        <v>3</v>
      </c>
      <c r="H193">
        <v>0.16240319173902801</v>
      </c>
      <c r="I193">
        <v>0.165274725274725</v>
      </c>
      <c r="J193">
        <v>0</v>
      </c>
      <c r="K193">
        <v>0</v>
      </c>
      <c r="L193">
        <v>0</v>
      </c>
      <c r="M193">
        <v>0.39954980303882898</v>
      </c>
      <c r="N193">
        <v>0</v>
      </c>
      <c r="O193">
        <v>0.50929368029739697</v>
      </c>
      <c r="P193">
        <v>0</v>
      </c>
      <c r="Q193">
        <v>0</v>
      </c>
      <c r="R193">
        <v>0.37994119568768298</v>
      </c>
      <c r="S193">
        <v>0</v>
      </c>
      <c r="T193">
        <v>0</v>
      </c>
      <c r="U193">
        <v>0.98721227621483298</v>
      </c>
      <c r="V193">
        <v>0.99236511706820496</v>
      </c>
      <c r="W193">
        <v>0</v>
      </c>
      <c r="X193">
        <v>0</v>
      </c>
      <c r="Y193">
        <v>0.21065659197498601</v>
      </c>
      <c r="Z193">
        <v>0.80623159200123995</v>
      </c>
      <c r="AA193">
        <v>0</v>
      </c>
      <c r="AB193">
        <v>0.99560067681895004</v>
      </c>
      <c r="AC193">
        <v>1</v>
      </c>
      <c r="AD193">
        <v>0.99690666666666605</v>
      </c>
      <c r="AE193">
        <v>0</v>
      </c>
      <c r="AF193">
        <v>0</v>
      </c>
      <c r="AG193">
        <v>0</v>
      </c>
      <c r="AH193">
        <f t="shared" si="5"/>
        <v>9</v>
      </c>
    </row>
    <row r="194" spans="1:34" hidden="1">
      <c r="A194">
        <v>192</v>
      </c>
      <c r="B194">
        <v>165</v>
      </c>
      <c r="C194">
        <v>168</v>
      </c>
      <c r="D194" t="s">
        <v>8</v>
      </c>
      <c r="E194" t="s">
        <v>8</v>
      </c>
      <c r="F194" t="b">
        <f t="shared" si="4"/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f t="shared" si="5"/>
        <v>0</v>
      </c>
    </row>
    <row r="195" spans="1:34" hidden="1">
      <c r="A195">
        <v>193</v>
      </c>
      <c r="B195">
        <v>166</v>
      </c>
      <c r="C195">
        <v>169</v>
      </c>
      <c r="D195" t="s">
        <v>47</v>
      </c>
      <c r="E195" t="s">
        <v>47</v>
      </c>
      <c r="F195" t="b">
        <f t="shared" ref="F195:F258" si="6">D195=G195</f>
        <v>0</v>
      </c>
      <c r="G195" t="s">
        <v>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0.139442231075697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f t="shared" ref="AH195:AH258" si="7">COUNTIF(H195:AG195,"&gt;0.25")</f>
        <v>0</v>
      </c>
    </row>
    <row r="196" spans="1:34" hidden="1">
      <c r="A196">
        <v>194</v>
      </c>
      <c r="B196">
        <v>167</v>
      </c>
      <c r="C196">
        <v>170</v>
      </c>
      <c r="D196" t="s">
        <v>44</v>
      </c>
      <c r="E196" t="s">
        <v>44</v>
      </c>
      <c r="F196" t="b">
        <f t="shared" si="6"/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f t="shared" si="7"/>
        <v>0</v>
      </c>
    </row>
    <row r="197" spans="1:34" hidden="1">
      <c r="A197">
        <v>195</v>
      </c>
      <c r="B197">
        <v>168</v>
      </c>
      <c r="C197">
        <v>171</v>
      </c>
      <c r="D197" t="s">
        <v>8</v>
      </c>
      <c r="E197" t="s">
        <v>8</v>
      </c>
      <c r="F197" t="b">
        <f t="shared" si="6"/>
        <v>0</v>
      </c>
      <c r="G197" t="s">
        <v>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0.13377808988764001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f t="shared" si="7"/>
        <v>0</v>
      </c>
    </row>
    <row r="198" spans="1:34" hidden="1">
      <c r="A198">
        <v>196</v>
      </c>
      <c r="B198">
        <v>169</v>
      </c>
      <c r="C198">
        <v>172</v>
      </c>
      <c r="D198" t="s">
        <v>6</v>
      </c>
      <c r="E198" t="s">
        <v>6</v>
      </c>
      <c r="F198" t="b">
        <f t="shared" si="6"/>
        <v>1</v>
      </c>
      <c r="G198" t="s">
        <v>6</v>
      </c>
      <c r="H198">
        <v>0</v>
      </c>
      <c r="I198">
        <v>0</v>
      </c>
      <c r="J198">
        <v>0.11333878887070301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f t="shared" si="7"/>
        <v>0</v>
      </c>
    </row>
    <row r="199" spans="1:34">
      <c r="A199">
        <v>197</v>
      </c>
      <c r="B199">
        <v>169</v>
      </c>
      <c r="C199">
        <v>172</v>
      </c>
      <c r="D199" t="s">
        <v>6</v>
      </c>
      <c r="E199" t="s">
        <v>6</v>
      </c>
      <c r="F199" t="b">
        <f t="shared" si="6"/>
        <v>0</v>
      </c>
      <c r="G199" t="s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0.99800516310725096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f t="shared" si="7"/>
        <v>1</v>
      </c>
    </row>
    <row r="200" spans="1:34" hidden="1">
      <c r="A200">
        <v>198</v>
      </c>
      <c r="B200">
        <v>170</v>
      </c>
      <c r="C200">
        <v>173</v>
      </c>
      <c r="D200" t="s">
        <v>61</v>
      </c>
      <c r="E200" t="s">
        <v>61</v>
      </c>
      <c r="F200" t="b">
        <f t="shared" si="6"/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f t="shared" si="7"/>
        <v>0</v>
      </c>
    </row>
    <row r="201" spans="1:34" hidden="1">
      <c r="A201">
        <v>199</v>
      </c>
      <c r="B201">
        <v>171</v>
      </c>
      <c r="C201">
        <v>174</v>
      </c>
      <c r="D201" t="s">
        <v>1</v>
      </c>
      <c r="E201" t="s">
        <v>1</v>
      </c>
      <c r="F201" t="b">
        <f t="shared" si="6"/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f t="shared" si="7"/>
        <v>0</v>
      </c>
    </row>
    <row r="202" spans="1:34" hidden="1">
      <c r="A202">
        <v>200</v>
      </c>
      <c r="B202">
        <v>172</v>
      </c>
      <c r="C202">
        <v>175</v>
      </c>
      <c r="D202" t="s">
        <v>42</v>
      </c>
      <c r="E202" t="s">
        <v>48</v>
      </c>
      <c r="F202" t="b">
        <f t="shared" si="6"/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f t="shared" si="7"/>
        <v>0</v>
      </c>
    </row>
    <row r="203" spans="1:34" hidden="1">
      <c r="A203">
        <v>201</v>
      </c>
      <c r="B203">
        <v>173</v>
      </c>
      <c r="C203">
        <v>176</v>
      </c>
      <c r="D203" t="s">
        <v>48</v>
      </c>
      <c r="E203" t="s">
        <v>48</v>
      </c>
      <c r="F203" t="b">
        <f t="shared" si="6"/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f t="shared" si="7"/>
        <v>0</v>
      </c>
    </row>
    <row r="204" spans="1:34">
      <c r="A204">
        <v>202</v>
      </c>
      <c r="B204">
        <v>174</v>
      </c>
      <c r="C204">
        <v>177</v>
      </c>
      <c r="D204" t="s">
        <v>61</v>
      </c>
      <c r="E204" t="s">
        <v>61</v>
      </c>
      <c r="F204" t="b">
        <f t="shared" si="6"/>
        <v>0</v>
      </c>
      <c r="G204" t="s">
        <v>9</v>
      </c>
      <c r="H204">
        <v>0.45305474742131702</v>
      </c>
      <c r="I204">
        <v>0</v>
      </c>
      <c r="J204">
        <v>0.110255047821466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0.510579257717655</v>
      </c>
      <c r="S204">
        <v>0.24352536997885799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0.212684787792083</v>
      </c>
      <c r="AB204">
        <v>0</v>
      </c>
      <c r="AC204">
        <v>0</v>
      </c>
      <c r="AD204">
        <v>0</v>
      </c>
      <c r="AE204">
        <v>0.71428571428571397</v>
      </c>
      <c r="AF204">
        <v>0</v>
      </c>
      <c r="AG204">
        <v>0.41234462066009397</v>
      </c>
      <c r="AH204">
        <f t="shared" si="7"/>
        <v>4</v>
      </c>
    </row>
    <row r="205" spans="1:34">
      <c r="A205">
        <v>203</v>
      </c>
      <c r="B205">
        <v>174</v>
      </c>
      <c r="C205">
        <v>177</v>
      </c>
      <c r="D205" t="s">
        <v>61</v>
      </c>
      <c r="E205" t="s">
        <v>61</v>
      </c>
      <c r="F205" t="b">
        <f t="shared" si="6"/>
        <v>0</v>
      </c>
      <c r="G205" t="s">
        <v>5</v>
      </c>
      <c r="H205">
        <v>0</v>
      </c>
      <c r="I205">
        <v>0</v>
      </c>
      <c r="J205">
        <v>0.14147183846971301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0.72793614595210898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f t="shared" si="7"/>
        <v>1</v>
      </c>
    </row>
    <row r="206" spans="1:34" hidden="1">
      <c r="A206">
        <v>204</v>
      </c>
      <c r="B206">
        <v>174</v>
      </c>
      <c r="C206">
        <v>177</v>
      </c>
      <c r="D206" t="s">
        <v>61</v>
      </c>
      <c r="E206" t="s">
        <v>61</v>
      </c>
      <c r="F206" t="b">
        <f t="shared" si="6"/>
        <v>0</v>
      </c>
      <c r="G206" t="s">
        <v>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0.15187883983426201</v>
      </c>
      <c r="AH206">
        <f t="shared" si="7"/>
        <v>0</v>
      </c>
    </row>
    <row r="207" spans="1:34" hidden="1">
      <c r="A207">
        <v>205</v>
      </c>
      <c r="B207">
        <v>175</v>
      </c>
      <c r="C207">
        <v>178</v>
      </c>
      <c r="D207" t="s">
        <v>8</v>
      </c>
      <c r="E207" t="s">
        <v>8</v>
      </c>
      <c r="F207" t="b">
        <f t="shared" si="6"/>
        <v>0</v>
      </c>
      <c r="G207" t="s">
        <v>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0.21007289595758699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f t="shared" si="7"/>
        <v>0</v>
      </c>
    </row>
    <row r="208" spans="1:34">
      <c r="A208">
        <v>206</v>
      </c>
      <c r="B208">
        <v>176</v>
      </c>
      <c r="C208">
        <v>179</v>
      </c>
      <c r="D208" t="s">
        <v>42</v>
      </c>
      <c r="E208" t="s">
        <v>42</v>
      </c>
      <c r="F208" t="b">
        <f t="shared" si="6"/>
        <v>0</v>
      </c>
      <c r="G208" t="s">
        <v>43</v>
      </c>
      <c r="H208">
        <v>0</v>
      </c>
      <c r="I208">
        <v>0</v>
      </c>
      <c r="J208">
        <v>0.31455142231947397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f t="shared" si="7"/>
        <v>1</v>
      </c>
    </row>
    <row r="209" spans="1:34">
      <c r="A209">
        <v>207</v>
      </c>
      <c r="B209">
        <v>176</v>
      </c>
      <c r="C209">
        <v>179</v>
      </c>
      <c r="D209" t="s">
        <v>42</v>
      </c>
      <c r="E209" t="s">
        <v>42</v>
      </c>
      <c r="F209" t="b">
        <f t="shared" si="6"/>
        <v>0</v>
      </c>
      <c r="G209" t="s">
        <v>10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0.17445298639858001</v>
      </c>
      <c r="O209">
        <v>0.34347048300536598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f t="shared" si="7"/>
        <v>1</v>
      </c>
    </row>
    <row r="210" spans="1:34" hidden="1">
      <c r="A210">
        <v>208</v>
      </c>
      <c r="B210">
        <v>176</v>
      </c>
      <c r="C210">
        <v>179</v>
      </c>
      <c r="D210" t="s">
        <v>42</v>
      </c>
      <c r="E210" t="s">
        <v>42</v>
      </c>
      <c r="F210" t="b">
        <f t="shared" si="6"/>
        <v>1</v>
      </c>
      <c r="G210" t="s">
        <v>42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0.25617534500753703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f t="shared" si="7"/>
        <v>1</v>
      </c>
    </row>
    <row r="211" spans="1:34" hidden="1">
      <c r="A211">
        <v>209</v>
      </c>
      <c r="B211">
        <v>177</v>
      </c>
      <c r="C211">
        <v>180</v>
      </c>
      <c r="D211" t="s">
        <v>5</v>
      </c>
      <c r="E211" t="s">
        <v>5</v>
      </c>
      <c r="F211" t="b">
        <f t="shared" si="6"/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f t="shared" si="7"/>
        <v>0</v>
      </c>
    </row>
    <row r="212" spans="1:34">
      <c r="A212">
        <v>210</v>
      </c>
      <c r="B212">
        <v>178</v>
      </c>
      <c r="C212">
        <v>181</v>
      </c>
      <c r="D212" t="s">
        <v>47</v>
      </c>
      <c r="E212" t="s">
        <v>46</v>
      </c>
      <c r="F212" t="b">
        <f t="shared" si="6"/>
        <v>0</v>
      </c>
      <c r="G212" t="s">
        <v>46</v>
      </c>
      <c r="H212">
        <v>0</v>
      </c>
      <c r="I212">
        <v>0</v>
      </c>
      <c r="J212">
        <v>0</v>
      </c>
      <c r="K212">
        <v>0</v>
      </c>
      <c r="L212">
        <v>0.269349845201238</v>
      </c>
      <c r="M212">
        <v>0.186708860759493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0.67806797071358305</v>
      </c>
      <c r="AE212">
        <v>0</v>
      </c>
      <c r="AF212">
        <v>0</v>
      </c>
      <c r="AG212">
        <v>0</v>
      </c>
      <c r="AH212">
        <f t="shared" si="7"/>
        <v>2</v>
      </c>
    </row>
    <row r="213" spans="1:34" hidden="1">
      <c r="A213">
        <v>211</v>
      </c>
      <c r="B213">
        <v>179</v>
      </c>
      <c r="C213">
        <v>182</v>
      </c>
      <c r="D213" t="s">
        <v>47</v>
      </c>
      <c r="E213" t="s">
        <v>46</v>
      </c>
      <c r="F213" t="b">
        <f t="shared" si="6"/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f t="shared" si="7"/>
        <v>0</v>
      </c>
    </row>
    <row r="214" spans="1:34" hidden="1">
      <c r="A214">
        <v>212</v>
      </c>
      <c r="B214">
        <v>180</v>
      </c>
      <c r="C214">
        <v>183</v>
      </c>
      <c r="D214" t="s">
        <v>45</v>
      </c>
      <c r="E214" t="s">
        <v>45</v>
      </c>
      <c r="F214" t="b">
        <f t="shared" si="6"/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f t="shared" si="7"/>
        <v>0</v>
      </c>
    </row>
    <row r="215" spans="1:34" hidden="1">
      <c r="A215">
        <v>213</v>
      </c>
      <c r="B215">
        <v>181</v>
      </c>
      <c r="C215">
        <v>184</v>
      </c>
      <c r="D215" t="s">
        <v>46</v>
      </c>
      <c r="E215" t="s">
        <v>46</v>
      </c>
      <c r="F215" t="b">
        <f t="shared" si="6"/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f t="shared" si="7"/>
        <v>0</v>
      </c>
    </row>
    <row r="216" spans="1:34" hidden="1">
      <c r="A216">
        <v>214</v>
      </c>
      <c r="B216">
        <v>182</v>
      </c>
      <c r="C216">
        <v>185</v>
      </c>
      <c r="D216" t="s">
        <v>5</v>
      </c>
      <c r="E216" t="s">
        <v>5</v>
      </c>
      <c r="F216" t="b">
        <f t="shared" si="6"/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f t="shared" si="7"/>
        <v>0</v>
      </c>
    </row>
    <row r="217" spans="1:34" hidden="1">
      <c r="A217">
        <v>215</v>
      </c>
      <c r="B217">
        <v>183</v>
      </c>
      <c r="C217">
        <v>186</v>
      </c>
      <c r="D217" t="s">
        <v>3</v>
      </c>
      <c r="E217" t="s">
        <v>3</v>
      </c>
      <c r="F217" t="b">
        <f t="shared" si="6"/>
        <v>0</v>
      </c>
      <c r="G217" t="s">
        <v>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0.19991173874668999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f t="shared" si="7"/>
        <v>0</v>
      </c>
    </row>
    <row r="218" spans="1:34" hidden="1">
      <c r="A218">
        <v>216</v>
      </c>
      <c r="B218">
        <v>183</v>
      </c>
      <c r="C218">
        <v>186</v>
      </c>
      <c r="D218" t="s">
        <v>3</v>
      </c>
      <c r="E218" t="s">
        <v>3</v>
      </c>
      <c r="F218" t="b">
        <f t="shared" si="6"/>
        <v>1</v>
      </c>
      <c r="G218" t="s">
        <v>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0.56976529292182498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f t="shared" si="7"/>
        <v>1</v>
      </c>
    </row>
    <row r="219" spans="1:34">
      <c r="A219">
        <v>217</v>
      </c>
      <c r="B219">
        <v>184</v>
      </c>
      <c r="C219">
        <v>187</v>
      </c>
      <c r="D219" t="s">
        <v>8</v>
      </c>
      <c r="E219" t="s">
        <v>5</v>
      </c>
      <c r="F219" t="b">
        <f t="shared" si="6"/>
        <v>0</v>
      </c>
      <c r="G219" t="s">
        <v>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0.78180341186027602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0.131100478468899</v>
      </c>
      <c r="AH219">
        <f t="shared" si="7"/>
        <v>1</v>
      </c>
    </row>
    <row r="220" spans="1:34" hidden="1">
      <c r="A220">
        <v>218</v>
      </c>
      <c r="B220">
        <v>184</v>
      </c>
      <c r="C220">
        <v>187</v>
      </c>
      <c r="D220" t="s">
        <v>8</v>
      </c>
      <c r="E220" t="s">
        <v>5</v>
      </c>
      <c r="F220" t="b">
        <f t="shared" si="6"/>
        <v>1</v>
      </c>
      <c r="G220" t="s">
        <v>8</v>
      </c>
      <c r="H220">
        <v>0</v>
      </c>
      <c r="I220">
        <v>0</v>
      </c>
      <c r="J220">
        <v>0</v>
      </c>
      <c r="K220">
        <v>0.137214137214137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f t="shared" si="7"/>
        <v>0</v>
      </c>
    </row>
    <row r="221" spans="1:34" hidden="1">
      <c r="A221">
        <v>219</v>
      </c>
      <c r="B221">
        <v>185</v>
      </c>
      <c r="C221" t="s">
        <v>99</v>
      </c>
      <c r="D221" t="s">
        <v>3</v>
      </c>
      <c r="E221" t="s">
        <v>58</v>
      </c>
      <c r="F221" t="b">
        <f t="shared" si="6"/>
        <v>0</v>
      </c>
      <c r="G221" t="s">
        <v>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0.133333333333333</v>
      </c>
      <c r="AF221">
        <v>0</v>
      </c>
      <c r="AG221">
        <v>0</v>
      </c>
      <c r="AH221">
        <f t="shared" si="7"/>
        <v>0</v>
      </c>
    </row>
    <row r="222" spans="1:34" hidden="1">
      <c r="A222">
        <v>220</v>
      </c>
      <c r="B222">
        <v>186</v>
      </c>
      <c r="C222">
        <v>188</v>
      </c>
      <c r="D222" t="s">
        <v>3</v>
      </c>
      <c r="E222" t="s">
        <v>2</v>
      </c>
      <c r="F222" t="b">
        <f t="shared" si="6"/>
        <v>0</v>
      </c>
      <c r="G222" t="s">
        <v>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0.102336324065026</v>
      </c>
      <c r="AG222">
        <v>0</v>
      </c>
      <c r="AH222">
        <f t="shared" si="7"/>
        <v>0</v>
      </c>
    </row>
    <row r="223" spans="1:34" hidden="1">
      <c r="A223">
        <v>221</v>
      </c>
      <c r="B223">
        <v>187</v>
      </c>
      <c r="C223">
        <v>189</v>
      </c>
      <c r="D223" t="s">
        <v>2</v>
      </c>
      <c r="E223" t="s">
        <v>2</v>
      </c>
      <c r="F223" t="b">
        <f t="shared" si="6"/>
        <v>0</v>
      </c>
      <c r="G223" t="s">
        <v>11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0.24216524216524199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f t="shared" si="7"/>
        <v>0</v>
      </c>
    </row>
    <row r="224" spans="1:34">
      <c r="A224">
        <v>222</v>
      </c>
      <c r="B224">
        <v>188</v>
      </c>
      <c r="C224">
        <v>190</v>
      </c>
      <c r="D224" t="s">
        <v>8</v>
      </c>
      <c r="E224" t="s">
        <v>7</v>
      </c>
      <c r="F224" t="b">
        <f t="shared" si="6"/>
        <v>0</v>
      </c>
      <c r="G224" t="s">
        <v>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0.30940919037199099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f t="shared" si="7"/>
        <v>1</v>
      </c>
    </row>
    <row r="225" spans="1:34">
      <c r="A225">
        <v>223</v>
      </c>
      <c r="B225">
        <v>188</v>
      </c>
      <c r="C225">
        <v>190</v>
      </c>
      <c r="D225" t="s">
        <v>8</v>
      </c>
      <c r="E225" t="s">
        <v>7</v>
      </c>
      <c r="F225" t="b">
        <f t="shared" si="6"/>
        <v>0</v>
      </c>
      <c r="G225" t="s">
        <v>6</v>
      </c>
      <c r="H225">
        <v>0.66574585635359096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0.15503636082314701</v>
      </c>
      <c r="AB225">
        <v>0</v>
      </c>
      <c r="AC225">
        <v>0</v>
      </c>
      <c r="AD225">
        <v>0</v>
      </c>
      <c r="AE225">
        <v>0</v>
      </c>
      <c r="AF225">
        <v>0.768259623576794</v>
      </c>
      <c r="AG225">
        <v>0</v>
      </c>
      <c r="AH225">
        <f t="shared" si="7"/>
        <v>2</v>
      </c>
    </row>
    <row r="226" spans="1:34" hidden="1">
      <c r="A226">
        <v>224</v>
      </c>
      <c r="B226">
        <v>189</v>
      </c>
      <c r="C226">
        <v>191</v>
      </c>
      <c r="D226" t="s">
        <v>61</v>
      </c>
      <c r="E226" t="s">
        <v>61</v>
      </c>
      <c r="F226" t="b">
        <f t="shared" si="6"/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f t="shared" si="7"/>
        <v>0</v>
      </c>
    </row>
    <row r="227" spans="1:34">
      <c r="A227">
        <v>225</v>
      </c>
      <c r="B227">
        <v>190</v>
      </c>
      <c r="C227">
        <v>192</v>
      </c>
      <c r="D227" t="s">
        <v>10</v>
      </c>
      <c r="E227" t="s">
        <v>8</v>
      </c>
      <c r="F227" t="b">
        <f t="shared" si="6"/>
        <v>0</v>
      </c>
      <c r="G227" t="s">
        <v>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0.34412955465586997</v>
      </c>
      <c r="Q227">
        <v>0</v>
      </c>
      <c r="R227">
        <v>0</v>
      </c>
      <c r="S227">
        <v>0</v>
      </c>
      <c r="T227">
        <v>0.86115335126915404</v>
      </c>
      <c r="U227">
        <v>0</v>
      </c>
      <c r="V227">
        <v>0</v>
      </c>
      <c r="W227">
        <v>0</v>
      </c>
      <c r="X227">
        <v>0</v>
      </c>
      <c r="Y227">
        <v>0.37133370226895401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f t="shared" si="7"/>
        <v>3</v>
      </c>
    </row>
    <row r="228" spans="1:34" hidden="1">
      <c r="A228">
        <v>226</v>
      </c>
      <c r="B228">
        <v>191</v>
      </c>
      <c r="C228">
        <v>193</v>
      </c>
      <c r="D228" t="s">
        <v>42</v>
      </c>
      <c r="E228" t="s">
        <v>42</v>
      </c>
      <c r="F228" t="b">
        <f t="shared" si="6"/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f t="shared" si="7"/>
        <v>0</v>
      </c>
    </row>
    <row r="229" spans="1:34" hidden="1">
      <c r="A229">
        <v>227</v>
      </c>
      <c r="B229">
        <v>192</v>
      </c>
      <c r="C229">
        <v>194</v>
      </c>
      <c r="D229" t="s">
        <v>46</v>
      </c>
      <c r="E229" t="s">
        <v>2</v>
      </c>
      <c r="F229" t="b">
        <f t="shared" si="6"/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f t="shared" si="7"/>
        <v>0</v>
      </c>
    </row>
    <row r="230" spans="1:34" hidden="1">
      <c r="A230">
        <v>228</v>
      </c>
      <c r="B230">
        <v>193</v>
      </c>
      <c r="C230">
        <v>195</v>
      </c>
      <c r="D230" t="s">
        <v>7</v>
      </c>
      <c r="E230" t="s">
        <v>7</v>
      </c>
      <c r="F230" t="b">
        <f t="shared" si="6"/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f t="shared" si="7"/>
        <v>0</v>
      </c>
    </row>
    <row r="231" spans="1:34" hidden="1">
      <c r="A231">
        <v>229</v>
      </c>
      <c r="B231">
        <v>194</v>
      </c>
      <c r="C231">
        <v>196</v>
      </c>
      <c r="D231" t="s">
        <v>50</v>
      </c>
      <c r="E231" t="s">
        <v>50</v>
      </c>
      <c r="F231" t="b">
        <f t="shared" si="6"/>
        <v>1</v>
      </c>
      <c r="G231" t="s">
        <v>50</v>
      </c>
      <c r="H231">
        <v>0</v>
      </c>
      <c r="I231">
        <v>0</v>
      </c>
      <c r="J231">
        <v>0</v>
      </c>
      <c r="K231">
        <v>0.13068181818181801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f t="shared" si="7"/>
        <v>0</v>
      </c>
    </row>
    <row r="232" spans="1:34" hidden="1">
      <c r="A232">
        <v>230</v>
      </c>
      <c r="B232">
        <v>195</v>
      </c>
      <c r="C232">
        <v>197</v>
      </c>
      <c r="D232" t="s">
        <v>3</v>
      </c>
      <c r="E232" t="s">
        <v>3</v>
      </c>
      <c r="F232" t="b">
        <f t="shared" si="6"/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f t="shared" si="7"/>
        <v>0</v>
      </c>
    </row>
    <row r="233" spans="1:34" hidden="1">
      <c r="A233">
        <v>231</v>
      </c>
      <c r="B233">
        <v>196</v>
      </c>
      <c r="C233">
        <v>198</v>
      </c>
      <c r="D233" t="s">
        <v>2</v>
      </c>
      <c r="E233" t="s">
        <v>2</v>
      </c>
      <c r="F233" t="b">
        <f t="shared" si="6"/>
        <v>1</v>
      </c>
      <c r="G233" t="s">
        <v>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0.14518147684605701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f t="shared" si="7"/>
        <v>0</v>
      </c>
    </row>
    <row r="234" spans="1:34" hidden="1">
      <c r="A234">
        <v>232</v>
      </c>
      <c r="B234">
        <v>197</v>
      </c>
      <c r="C234">
        <v>199</v>
      </c>
      <c r="D234" t="s">
        <v>7</v>
      </c>
      <c r="E234" t="s">
        <v>7</v>
      </c>
      <c r="F234" t="b">
        <f t="shared" si="6"/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f t="shared" si="7"/>
        <v>0</v>
      </c>
    </row>
    <row r="235" spans="1:34" hidden="1">
      <c r="A235">
        <v>233</v>
      </c>
      <c r="B235">
        <v>198</v>
      </c>
      <c r="C235">
        <v>200</v>
      </c>
      <c r="D235" t="s">
        <v>47</v>
      </c>
      <c r="E235" t="s">
        <v>47</v>
      </c>
      <c r="F235" t="b">
        <f t="shared" si="6"/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f t="shared" si="7"/>
        <v>0</v>
      </c>
    </row>
    <row r="236" spans="1:34">
      <c r="A236">
        <v>234</v>
      </c>
      <c r="B236">
        <v>199</v>
      </c>
      <c r="C236">
        <v>201</v>
      </c>
      <c r="D236" t="s">
        <v>46</v>
      </c>
      <c r="E236" t="s">
        <v>46</v>
      </c>
      <c r="F236" t="b">
        <f t="shared" si="6"/>
        <v>0</v>
      </c>
      <c r="G236" t="s">
        <v>47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0.65116279069767402</v>
      </c>
      <c r="AD236">
        <v>0</v>
      </c>
      <c r="AE236">
        <v>0</v>
      </c>
      <c r="AF236">
        <v>0</v>
      </c>
      <c r="AG236">
        <v>0</v>
      </c>
      <c r="AH236">
        <f t="shared" si="7"/>
        <v>1</v>
      </c>
    </row>
    <row r="237" spans="1:34" hidden="1">
      <c r="A237">
        <v>235</v>
      </c>
      <c r="B237">
        <v>200</v>
      </c>
      <c r="C237">
        <v>202</v>
      </c>
      <c r="D237" t="s">
        <v>2</v>
      </c>
      <c r="E237" t="s">
        <v>2</v>
      </c>
      <c r="F237" t="b">
        <f t="shared" si="6"/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f t="shared" si="7"/>
        <v>0</v>
      </c>
    </row>
    <row r="238" spans="1:34">
      <c r="A238">
        <v>236</v>
      </c>
      <c r="B238">
        <v>201</v>
      </c>
      <c r="C238">
        <v>203</v>
      </c>
      <c r="D238" t="s">
        <v>44</v>
      </c>
      <c r="E238" t="s">
        <v>44</v>
      </c>
      <c r="F238" t="b">
        <f t="shared" si="6"/>
        <v>0</v>
      </c>
      <c r="G238" t="s">
        <v>9</v>
      </c>
      <c r="H238">
        <v>0.77173396674584305</v>
      </c>
      <c r="I238">
        <v>0</v>
      </c>
      <c r="J238">
        <v>0</v>
      </c>
      <c r="K238">
        <v>0</v>
      </c>
      <c r="L238">
        <v>0.547770700636942</v>
      </c>
      <c r="M238">
        <v>0</v>
      </c>
      <c r="N238">
        <v>0</v>
      </c>
      <c r="O238">
        <v>0.37943925233644799</v>
      </c>
      <c r="P238">
        <v>0.27858439201451901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0.38742673255947502</v>
      </c>
      <c r="AH238">
        <f t="shared" si="7"/>
        <v>5</v>
      </c>
    </row>
    <row r="239" spans="1:34" hidden="1">
      <c r="A239">
        <v>237</v>
      </c>
      <c r="B239">
        <v>201</v>
      </c>
      <c r="C239">
        <v>203</v>
      </c>
      <c r="D239" t="s">
        <v>44</v>
      </c>
      <c r="E239" t="s">
        <v>44</v>
      </c>
      <c r="F239" t="b">
        <f t="shared" si="6"/>
        <v>1</v>
      </c>
      <c r="G239" t="s">
        <v>44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f t="shared" si="7"/>
        <v>1</v>
      </c>
    </row>
    <row r="240" spans="1:34" hidden="1">
      <c r="A240">
        <v>238</v>
      </c>
      <c r="B240">
        <v>202</v>
      </c>
      <c r="C240">
        <v>204</v>
      </c>
      <c r="D240" t="s">
        <v>1</v>
      </c>
      <c r="E240" t="s">
        <v>1</v>
      </c>
      <c r="F240" t="b">
        <f t="shared" si="6"/>
        <v>1</v>
      </c>
      <c r="G240" t="s">
        <v>1</v>
      </c>
      <c r="H240">
        <v>0</v>
      </c>
      <c r="I240">
        <v>0.64767290126141797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f t="shared" si="7"/>
        <v>1</v>
      </c>
    </row>
    <row r="241" spans="1:34" hidden="1">
      <c r="A241">
        <v>239</v>
      </c>
      <c r="B241">
        <v>202</v>
      </c>
      <c r="C241">
        <v>204</v>
      </c>
      <c r="D241" t="s">
        <v>1</v>
      </c>
      <c r="E241" t="s">
        <v>1</v>
      </c>
      <c r="F241" t="b">
        <f t="shared" si="6"/>
        <v>0</v>
      </c>
      <c r="G241" t="s">
        <v>47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0.12765957446808501</v>
      </c>
      <c r="AD241">
        <v>0</v>
      </c>
      <c r="AE241">
        <v>0</v>
      </c>
      <c r="AF241">
        <v>0</v>
      </c>
      <c r="AG241">
        <v>0</v>
      </c>
      <c r="AH241">
        <f t="shared" si="7"/>
        <v>0</v>
      </c>
    </row>
    <row r="242" spans="1:34" hidden="1">
      <c r="A242">
        <v>240</v>
      </c>
      <c r="B242">
        <v>203</v>
      </c>
      <c r="C242">
        <v>205</v>
      </c>
      <c r="D242" t="s">
        <v>50</v>
      </c>
      <c r="E242" t="s">
        <v>50</v>
      </c>
      <c r="F242" t="b">
        <f t="shared" si="6"/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f t="shared" si="7"/>
        <v>0</v>
      </c>
    </row>
    <row r="243" spans="1:34" hidden="1">
      <c r="A243">
        <v>241</v>
      </c>
      <c r="B243">
        <v>204</v>
      </c>
      <c r="C243">
        <v>206</v>
      </c>
      <c r="D243" t="s">
        <v>45</v>
      </c>
      <c r="E243" t="s">
        <v>45</v>
      </c>
      <c r="F243" t="b">
        <f t="shared" si="6"/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f t="shared" si="7"/>
        <v>0</v>
      </c>
    </row>
    <row r="244" spans="1:34" hidden="1">
      <c r="A244">
        <v>242</v>
      </c>
      <c r="B244">
        <v>205</v>
      </c>
      <c r="C244">
        <v>207</v>
      </c>
      <c r="D244" t="s">
        <v>8</v>
      </c>
      <c r="E244" t="s">
        <v>8</v>
      </c>
      <c r="F244" t="b">
        <f t="shared" si="6"/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f t="shared" si="7"/>
        <v>0</v>
      </c>
    </row>
    <row r="245" spans="1:34">
      <c r="A245">
        <v>243</v>
      </c>
      <c r="B245">
        <v>206</v>
      </c>
      <c r="C245">
        <v>208</v>
      </c>
      <c r="D245" t="s">
        <v>47</v>
      </c>
      <c r="E245" t="s">
        <v>47</v>
      </c>
      <c r="F245" t="b">
        <f t="shared" si="6"/>
        <v>0</v>
      </c>
      <c r="G245" t="s">
        <v>46</v>
      </c>
      <c r="H245">
        <v>0.33302217036172599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0.16593157706520401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0.41988993101309902</v>
      </c>
      <c r="AE245">
        <v>0</v>
      </c>
      <c r="AF245">
        <v>0.11448834853090099</v>
      </c>
      <c r="AG245">
        <v>0.62845567206863595</v>
      </c>
      <c r="AH245">
        <f t="shared" si="7"/>
        <v>3</v>
      </c>
    </row>
    <row r="246" spans="1:34" hidden="1">
      <c r="A246">
        <v>244</v>
      </c>
      <c r="B246">
        <v>207</v>
      </c>
      <c r="C246">
        <v>209</v>
      </c>
      <c r="D246" t="s">
        <v>7</v>
      </c>
      <c r="E246" t="s">
        <v>7</v>
      </c>
      <c r="F246" t="b">
        <f t="shared" si="6"/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f t="shared" si="7"/>
        <v>0</v>
      </c>
    </row>
    <row r="247" spans="1:34" hidden="1">
      <c r="A247">
        <v>245</v>
      </c>
      <c r="B247">
        <v>208</v>
      </c>
      <c r="C247">
        <v>210</v>
      </c>
      <c r="D247" t="s">
        <v>48</v>
      </c>
      <c r="E247" t="s">
        <v>48</v>
      </c>
      <c r="F247" t="b">
        <f t="shared" si="6"/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f t="shared" si="7"/>
        <v>0</v>
      </c>
    </row>
    <row r="248" spans="1:34" hidden="1">
      <c r="A248">
        <v>246</v>
      </c>
      <c r="B248">
        <v>209</v>
      </c>
      <c r="C248">
        <v>211</v>
      </c>
      <c r="D248" t="s">
        <v>6</v>
      </c>
      <c r="E248" t="s">
        <v>6</v>
      </c>
      <c r="F248" t="b">
        <f t="shared" si="6"/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f t="shared" si="7"/>
        <v>0</v>
      </c>
    </row>
    <row r="249" spans="1:34" hidden="1">
      <c r="A249">
        <v>247</v>
      </c>
      <c r="B249">
        <v>210</v>
      </c>
      <c r="C249">
        <v>212</v>
      </c>
      <c r="D249" t="s">
        <v>45</v>
      </c>
      <c r="E249" t="s">
        <v>45</v>
      </c>
      <c r="F249" t="b">
        <f t="shared" si="6"/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f t="shared" si="7"/>
        <v>0</v>
      </c>
    </row>
    <row r="250" spans="1:34" hidden="1">
      <c r="A250">
        <v>248</v>
      </c>
      <c r="B250">
        <v>211</v>
      </c>
      <c r="C250">
        <v>213</v>
      </c>
      <c r="D250" t="s">
        <v>46</v>
      </c>
      <c r="E250" t="s">
        <v>46</v>
      </c>
      <c r="F250" t="b">
        <f t="shared" si="6"/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f t="shared" si="7"/>
        <v>0</v>
      </c>
    </row>
    <row r="251" spans="1:34" hidden="1">
      <c r="A251">
        <v>249</v>
      </c>
      <c r="B251">
        <v>212</v>
      </c>
      <c r="C251">
        <v>214</v>
      </c>
      <c r="D251" t="s">
        <v>45</v>
      </c>
      <c r="E251" t="s">
        <v>45</v>
      </c>
      <c r="F251" t="b">
        <f t="shared" si="6"/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f t="shared" si="7"/>
        <v>0</v>
      </c>
    </row>
    <row r="252" spans="1:34" hidden="1">
      <c r="A252">
        <v>250</v>
      </c>
      <c r="B252">
        <v>213</v>
      </c>
      <c r="C252">
        <v>215</v>
      </c>
      <c r="D252" t="s">
        <v>46</v>
      </c>
      <c r="E252" t="s">
        <v>46</v>
      </c>
      <c r="F252" t="b">
        <f t="shared" si="6"/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f t="shared" si="7"/>
        <v>0</v>
      </c>
    </row>
    <row r="253" spans="1:34" hidden="1">
      <c r="A253">
        <v>251</v>
      </c>
      <c r="B253">
        <v>214</v>
      </c>
      <c r="C253">
        <v>216</v>
      </c>
      <c r="D253" t="s">
        <v>9</v>
      </c>
      <c r="E253" t="s">
        <v>9</v>
      </c>
      <c r="F253" t="b">
        <f t="shared" si="6"/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f t="shared" si="7"/>
        <v>0</v>
      </c>
    </row>
    <row r="254" spans="1:34" hidden="1">
      <c r="A254">
        <v>252</v>
      </c>
      <c r="B254">
        <v>215</v>
      </c>
      <c r="C254">
        <v>217</v>
      </c>
      <c r="D254" t="s">
        <v>61</v>
      </c>
      <c r="E254" t="s">
        <v>61</v>
      </c>
      <c r="F254" t="b">
        <f t="shared" si="6"/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f t="shared" si="7"/>
        <v>0</v>
      </c>
    </row>
    <row r="255" spans="1:34" hidden="1">
      <c r="A255">
        <v>253</v>
      </c>
      <c r="B255">
        <v>216</v>
      </c>
      <c r="C255">
        <v>218</v>
      </c>
      <c r="D255" t="s">
        <v>50</v>
      </c>
      <c r="E255" t="s">
        <v>50</v>
      </c>
      <c r="F255" t="b">
        <f t="shared" si="6"/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f t="shared" si="7"/>
        <v>0</v>
      </c>
    </row>
    <row r="256" spans="1:34" hidden="1">
      <c r="A256">
        <v>254</v>
      </c>
      <c r="B256">
        <v>217</v>
      </c>
      <c r="C256">
        <v>219</v>
      </c>
      <c r="D256" t="s">
        <v>1</v>
      </c>
      <c r="E256" t="s">
        <v>1</v>
      </c>
      <c r="F256" t="b">
        <f t="shared" si="6"/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f t="shared" si="7"/>
        <v>0</v>
      </c>
    </row>
    <row r="257" spans="1:34" hidden="1">
      <c r="A257">
        <v>255</v>
      </c>
      <c r="B257">
        <v>218</v>
      </c>
      <c r="C257">
        <v>220</v>
      </c>
      <c r="D257" t="s">
        <v>45</v>
      </c>
      <c r="E257" t="s">
        <v>45</v>
      </c>
      <c r="F257" t="b">
        <f t="shared" si="6"/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f t="shared" si="7"/>
        <v>0</v>
      </c>
    </row>
    <row r="258" spans="1:34" hidden="1">
      <c r="A258">
        <v>256</v>
      </c>
      <c r="B258">
        <v>219</v>
      </c>
      <c r="C258">
        <v>221</v>
      </c>
      <c r="D258" t="s">
        <v>1</v>
      </c>
      <c r="E258" t="s">
        <v>1</v>
      </c>
      <c r="F258" t="b">
        <f t="shared" si="6"/>
        <v>1</v>
      </c>
      <c r="G258" t="s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0.11764705882352899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f t="shared" si="7"/>
        <v>0</v>
      </c>
    </row>
    <row r="259" spans="1:34" hidden="1">
      <c r="A259">
        <v>257</v>
      </c>
      <c r="B259">
        <v>220</v>
      </c>
      <c r="C259">
        <v>222</v>
      </c>
      <c r="D259" t="s">
        <v>4</v>
      </c>
      <c r="E259" t="s">
        <v>4</v>
      </c>
      <c r="F259" t="b">
        <f t="shared" ref="F259:F322" si="8">D259=G259</f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f t="shared" ref="AH259:AH322" si="9">COUNTIF(H259:AG259,"&gt;0.25")</f>
        <v>0</v>
      </c>
    </row>
    <row r="260" spans="1:34" hidden="1">
      <c r="A260">
        <v>258</v>
      </c>
      <c r="B260">
        <v>221</v>
      </c>
      <c r="C260">
        <v>223</v>
      </c>
      <c r="D260" t="s">
        <v>48</v>
      </c>
      <c r="E260" t="s">
        <v>48</v>
      </c>
      <c r="F260" t="b">
        <f t="shared" si="8"/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f t="shared" si="9"/>
        <v>0</v>
      </c>
    </row>
    <row r="261" spans="1:34" hidden="1">
      <c r="A261">
        <v>259</v>
      </c>
      <c r="B261">
        <v>222</v>
      </c>
      <c r="C261">
        <v>224</v>
      </c>
      <c r="D261" t="s">
        <v>1</v>
      </c>
      <c r="E261" t="s">
        <v>1</v>
      </c>
      <c r="F261" t="b">
        <f t="shared" si="8"/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f t="shared" si="9"/>
        <v>0</v>
      </c>
    </row>
    <row r="262" spans="1:34" hidden="1">
      <c r="A262">
        <v>260</v>
      </c>
      <c r="B262">
        <v>223</v>
      </c>
      <c r="C262">
        <v>225</v>
      </c>
      <c r="D262" t="s">
        <v>46</v>
      </c>
      <c r="E262" t="s">
        <v>46</v>
      </c>
      <c r="F262" t="b">
        <f t="shared" si="8"/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f t="shared" si="9"/>
        <v>0</v>
      </c>
    </row>
    <row r="263" spans="1:34" hidden="1">
      <c r="A263">
        <v>261</v>
      </c>
      <c r="B263">
        <v>224</v>
      </c>
      <c r="C263">
        <v>226</v>
      </c>
      <c r="D263" t="s">
        <v>42</v>
      </c>
      <c r="E263" t="s">
        <v>42</v>
      </c>
      <c r="F263" t="b">
        <f t="shared" si="8"/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f t="shared" si="9"/>
        <v>0</v>
      </c>
    </row>
    <row r="264" spans="1:34" hidden="1">
      <c r="A264">
        <v>262</v>
      </c>
      <c r="B264">
        <v>225</v>
      </c>
      <c r="C264">
        <v>227</v>
      </c>
      <c r="D264" t="s">
        <v>8</v>
      </c>
      <c r="E264" t="s">
        <v>8</v>
      </c>
      <c r="F264" t="b">
        <f t="shared" si="8"/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f t="shared" si="9"/>
        <v>0</v>
      </c>
    </row>
    <row r="265" spans="1:34" hidden="1">
      <c r="A265">
        <v>263</v>
      </c>
      <c r="B265">
        <v>226</v>
      </c>
      <c r="C265">
        <v>228</v>
      </c>
      <c r="D265" t="s">
        <v>50</v>
      </c>
      <c r="E265" t="s">
        <v>50</v>
      </c>
      <c r="F265" t="b">
        <f t="shared" si="8"/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f t="shared" si="9"/>
        <v>0</v>
      </c>
    </row>
    <row r="266" spans="1:34" hidden="1">
      <c r="A266">
        <v>264</v>
      </c>
      <c r="B266">
        <v>227</v>
      </c>
      <c r="C266">
        <v>229</v>
      </c>
      <c r="D266" t="s">
        <v>3</v>
      </c>
      <c r="E266" t="s">
        <v>3</v>
      </c>
      <c r="F266" t="b">
        <f t="shared" si="8"/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f t="shared" si="9"/>
        <v>0</v>
      </c>
    </row>
    <row r="267" spans="1:34">
      <c r="A267">
        <v>265</v>
      </c>
      <c r="B267">
        <v>228</v>
      </c>
      <c r="C267">
        <v>230</v>
      </c>
      <c r="D267" t="s">
        <v>3</v>
      </c>
      <c r="E267" t="s">
        <v>3</v>
      </c>
      <c r="F267" t="b">
        <f t="shared" si="8"/>
        <v>0</v>
      </c>
      <c r="G267" t="s">
        <v>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0.251748251748251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0.97071774548656897</v>
      </c>
      <c r="Y267">
        <v>0</v>
      </c>
      <c r="Z267">
        <v>0</v>
      </c>
      <c r="AA267">
        <v>0</v>
      </c>
      <c r="AB267">
        <v>0</v>
      </c>
      <c r="AC267">
        <v>0.97619047619047605</v>
      </c>
      <c r="AD267">
        <v>0</v>
      </c>
      <c r="AE267">
        <v>0</v>
      </c>
      <c r="AF267">
        <v>0.476723045562228</v>
      </c>
      <c r="AG267">
        <v>0</v>
      </c>
      <c r="AH267">
        <f t="shared" si="9"/>
        <v>4</v>
      </c>
    </row>
    <row r="268" spans="1:34" hidden="1">
      <c r="A268">
        <v>266</v>
      </c>
      <c r="B268">
        <v>229</v>
      </c>
      <c r="C268">
        <v>231</v>
      </c>
      <c r="D268" t="s">
        <v>8</v>
      </c>
      <c r="E268" t="s">
        <v>8</v>
      </c>
      <c r="F268" t="b">
        <f t="shared" si="8"/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f t="shared" si="9"/>
        <v>0</v>
      </c>
    </row>
    <row r="269" spans="1:34" hidden="1">
      <c r="A269">
        <v>267</v>
      </c>
      <c r="B269">
        <v>230</v>
      </c>
      <c r="C269">
        <v>232</v>
      </c>
      <c r="D269" t="s">
        <v>2</v>
      </c>
      <c r="E269" t="s">
        <v>2</v>
      </c>
      <c r="F269" t="b">
        <f t="shared" si="8"/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f t="shared" si="9"/>
        <v>0</v>
      </c>
    </row>
    <row r="270" spans="1:34" hidden="1">
      <c r="A270">
        <v>268</v>
      </c>
      <c r="B270">
        <v>231</v>
      </c>
      <c r="C270">
        <v>233</v>
      </c>
      <c r="D270" t="s">
        <v>48</v>
      </c>
      <c r="E270" t="s">
        <v>48</v>
      </c>
      <c r="F270" t="b">
        <f t="shared" si="8"/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f t="shared" si="9"/>
        <v>0</v>
      </c>
    </row>
    <row r="271" spans="1:34" hidden="1">
      <c r="A271">
        <v>269</v>
      </c>
      <c r="B271">
        <v>232</v>
      </c>
      <c r="C271">
        <v>234</v>
      </c>
      <c r="D271" t="s">
        <v>3</v>
      </c>
      <c r="E271" t="s">
        <v>3</v>
      </c>
      <c r="F271" t="b">
        <f t="shared" si="8"/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f t="shared" si="9"/>
        <v>0</v>
      </c>
    </row>
    <row r="272" spans="1:34" hidden="1">
      <c r="A272">
        <v>270</v>
      </c>
      <c r="B272">
        <v>233</v>
      </c>
      <c r="C272">
        <v>235</v>
      </c>
      <c r="D272" t="s">
        <v>4</v>
      </c>
      <c r="E272" t="s">
        <v>4</v>
      </c>
      <c r="F272" t="b">
        <f t="shared" si="8"/>
        <v>1</v>
      </c>
      <c r="G272" t="s">
        <v>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0.11027756939234799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f t="shared" si="9"/>
        <v>0</v>
      </c>
    </row>
    <row r="273" spans="1:34" hidden="1">
      <c r="A273">
        <v>271</v>
      </c>
      <c r="B273">
        <v>234</v>
      </c>
      <c r="C273">
        <v>236</v>
      </c>
      <c r="D273" t="s">
        <v>8</v>
      </c>
      <c r="E273" t="s">
        <v>2</v>
      </c>
      <c r="F273" t="b">
        <f t="shared" si="8"/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f t="shared" si="9"/>
        <v>0</v>
      </c>
    </row>
    <row r="274" spans="1:34" hidden="1">
      <c r="A274">
        <v>272</v>
      </c>
      <c r="B274">
        <v>235</v>
      </c>
      <c r="C274">
        <v>237</v>
      </c>
      <c r="D274" t="s">
        <v>4</v>
      </c>
      <c r="E274" t="s">
        <v>4</v>
      </c>
      <c r="F274" t="b">
        <f t="shared" si="8"/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f t="shared" si="9"/>
        <v>0</v>
      </c>
    </row>
    <row r="275" spans="1:34" hidden="1">
      <c r="A275">
        <v>273</v>
      </c>
      <c r="B275">
        <v>236</v>
      </c>
      <c r="C275">
        <v>238</v>
      </c>
      <c r="D275" t="s">
        <v>44</v>
      </c>
      <c r="E275" t="s">
        <v>45</v>
      </c>
      <c r="F275" t="b">
        <f t="shared" si="8"/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f t="shared" si="9"/>
        <v>0</v>
      </c>
    </row>
    <row r="276" spans="1:34" hidden="1">
      <c r="A276">
        <v>274</v>
      </c>
      <c r="B276">
        <v>237</v>
      </c>
      <c r="C276">
        <v>239</v>
      </c>
      <c r="D276" t="s">
        <v>50</v>
      </c>
      <c r="E276" t="s">
        <v>50</v>
      </c>
      <c r="F276" t="b">
        <f t="shared" si="8"/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f t="shared" si="9"/>
        <v>0</v>
      </c>
    </row>
    <row r="277" spans="1:34" hidden="1">
      <c r="A277">
        <v>275</v>
      </c>
      <c r="B277">
        <v>238</v>
      </c>
      <c r="C277">
        <v>240</v>
      </c>
      <c r="D277" t="s">
        <v>8</v>
      </c>
      <c r="E277" t="s">
        <v>2</v>
      </c>
      <c r="F277" t="b">
        <f t="shared" si="8"/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f t="shared" si="9"/>
        <v>0</v>
      </c>
    </row>
    <row r="278" spans="1:34" hidden="1">
      <c r="A278">
        <v>276</v>
      </c>
      <c r="B278">
        <v>239</v>
      </c>
      <c r="C278">
        <v>241</v>
      </c>
      <c r="D278" t="s">
        <v>3</v>
      </c>
      <c r="E278" t="s">
        <v>3</v>
      </c>
      <c r="F278" t="b">
        <f t="shared" si="8"/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f t="shared" si="9"/>
        <v>0</v>
      </c>
    </row>
    <row r="279" spans="1:34" hidden="1">
      <c r="A279">
        <v>277</v>
      </c>
      <c r="B279">
        <v>240</v>
      </c>
      <c r="C279">
        <v>242</v>
      </c>
      <c r="D279" t="s">
        <v>47</v>
      </c>
      <c r="E279" t="s">
        <v>47</v>
      </c>
      <c r="F279" t="b">
        <f t="shared" si="8"/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f t="shared" si="9"/>
        <v>0</v>
      </c>
    </row>
    <row r="280" spans="1:34" hidden="1">
      <c r="A280">
        <v>278</v>
      </c>
      <c r="B280">
        <v>241</v>
      </c>
      <c r="C280">
        <v>243</v>
      </c>
      <c r="D280" t="s">
        <v>7</v>
      </c>
      <c r="E280" t="s">
        <v>7</v>
      </c>
      <c r="F280" t="b">
        <f t="shared" si="8"/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f t="shared" si="9"/>
        <v>0</v>
      </c>
    </row>
    <row r="281" spans="1:34" hidden="1">
      <c r="A281">
        <v>279</v>
      </c>
      <c r="B281">
        <v>242</v>
      </c>
      <c r="C281">
        <v>244</v>
      </c>
      <c r="D281" t="s">
        <v>2</v>
      </c>
      <c r="E281" t="s">
        <v>2</v>
      </c>
      <c r="F281" t="b">
        <f t="shared" si="8"/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f t="shared" si="9"/>
        <v>0</v>
      </c>
    </row>
    <row r="282" spans="1:34" hidden="1">
      <c r="A282">
        <v>280</v>
      </c>
      <c r="B282">
        <v>243</v>
      </c>
      <c r="C282">
        <v>245</v>
      </c>
      <c r="D282" t="s">
        <v>47</v>
      </c>
      <c r="E282" t="s">
        <v>47</v>
      </c>
      <c r="F282" t="b">
        <f t="shared" si="8"/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f t="shared" si="9"/>
        <v>0</v>
      </c>
    </row>
    <row r="283" spans="1:34" hidden="1">
      <c r="A283">
        <v>281</v>
      </c>
      <c r="B283">
        <v>244</v>
      </c>
      <c r="C283">
        <v>246</v>
      </c>
      <c r="D283" t="s">
        <v>44</v>
      </c>
      <c r="E283" t="s">
        <v>44</v>
      </c>
      <c r="F283" t="b">
        <f t="shared" si="8"/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f t="shared" si="9"/>
        <v>0</v>
      </c>
    </row>
    <row r="284" spans="1:34" hidden="1">
      <c r="A284">
        <v>282</v>
      </c>
      <c r="B284">
        <v>245</v>
      </c>
      <c r="C284">
        <v>247</v>
      </c>
      <c r="D284" t="s">
        <v>50</v>
      </c>
      <c r="E284" t="s">
        <v>50</v>
      </c>
      <c r="F284" t="b">
        <f t="shared" si="8"/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f t="shared" si="9"/>
        <v>0</v>
      </c>
    </row>
    <row r="285" spans="1:34" hidden="1">
      <c r="A285">
        <v>283</v>
      </c>
      <c r="B285">
        <v>246</v>
      </c>
      <c r="C285">
        <v>248</v>
      </c>
      <c r="D285" t="s">
        <v>2</v>
      </c>
      <c r="E285" t="s">
        <v>2</v>
      </c>
      <c r="F285" t="b">
        <f t="shared" si="8"/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f t="shared" si="9"/>
        <v>0</v>
      </c>
    </row>
    <row r="286" spans="1:34" hidden="1">
      <c r="A286">
        <v>284</v>
      </c>
      <c r="B286">
        <v>247</v>
      </c>
      <c r="C286">
        <v>249</v>
      </c>
      <c r="D286" t="s">
        <v>9</v>
      </c>
      <c r="E286" t="s">
        <v>9</v>
      </c>
      <c r="F286" t="b">
        <f t="shared" si="8"/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f t="shared" si="9"/>
        <v>0</v>
      </c>
    </row>
    <row r="287" spans="1:34" hidden="1">
      <c r="A287">
        <v>285</v>
      </c>
      <c r="B287">
        <v>248</v>
      </c>
      <c r="C287">
        <v>250</v>
      </c>
      <c r="D287" t="s">
        <v>4</v>
      </c>
      <c r="E287" t="s">
        <v>4</v>
      </c>
      <c r="F287" t="b">
        <f t="shared" si="8"/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f t="shared" si="9"/>
        <v>0</v>
      </c>
    </row>
    <row r="288" spans="1:34" hidden="1">
      <c r="A288">
        <v>286</v>
      </c>
      <c r="B288">
        <v>249</v>
      </c>
      <c r="C288">
        <v>251</v>
      </c>
      <c r="D288" t="s">
        <v>46</v>
      </c>
      <c r="E288" t="s">
        <v>46</v>
      </c>
      <c r="F288" t="b">
        <f t="shared" si="8"/>
        <v>1</v>
      </c>
      <c r="G288" t="s">
        <v>46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0.28633641807294402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f t="shared" si="9"/>
        <v>1</v>
      </c>
    </row>
    <row r="289" spans="1:34" hidden="1">
      <c r="A289">
        <v>287</v>
      </c>
      <c r="B289">
        <v>250</v>
      </c>
      <c r="C289">
        <v>252</v>
      </c>
      <c r="D289" t="s">
        <v>10</v>
      </c>
      <c r="E289" t="s">
        <v>10</v>
      </c>
      <c r="F289" t="b">
        <f t="shared" si="8"/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f t="shared" si="9"/>
        <v>0</v>
      </c>
    </row>
    <row r="290" spans="1:34" hidden="1">
      <c r="A290">
        <v>288</v>
      </c>
      <c r="B290">
        <v>251</v>
      </c>
      <c r="C290">
        <v>253</v>
      </c>
      <c r="D290" t="s">
        <v>45</v>
      </c>
      <c r="E290" t="s">
        <v>45</v>
      </c>
      <c r="F290" t="b">
        <f t="shared" si="8"/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f t="shared" si="9"/>
        <v>0</v>
      </c>
    </row>
    <row r="291" spans="1:34" hidden="1">
      <c r="A291">
        <v>289</v>
      </c>
      <c r="B291">
        <v>252</v>
      </c>
      <c r="C291">
        <v>254</v>
      </c>
      <c r="D291" t="s">
        <v>47</v>
      </c>
      <c r="E291" t="s">
        <v>47</v>
      </c>
      <c r="F291" t="b">
        <f t="shared" si="8"/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f t="shared" si="9"/>
        <v>0</v>
      </c>
    </row>
    <row r="292" spans="1:34">
      <c r="A292">
        <v>290</v>
      </c>
      <c r="B292">
        <v>253</v>
      </c>
      <c r="C292">
        <v>255</v>
      </c>
      <c r="D292" t="s">
        <v>47</v>
      </c>
      <c r="E292" t="s">
        <v>47</v>
      </c>
      <c r="F292" t="b">
        <f t="shared" si="8"/>
        <v>0</v>
      </c>
      <c r="G292" t="s">
        <v>46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0.32267441860465101</v>
      </c>
      <c r="AF292">
        <v>0</v>
      </c>
      <c r="AG292">
        <v>0</v>
      </c>
      <c r="AH292">
        <f t="shared" si="9"/>
        <v>1</v>
      </c>
    </row>
    <row r="293" spans="1:34" hidden="1">
      <c r="A293">
        <v>291</v>
      </c>
      <c r="B293">
        <v>253</v>
      </c>
      <c r="C293">
        <v>255</v>
      </c>
      <c r="D293" t="s">
        <v>47</v>
      </c>
      <c r="E293" t="s">
        <v>47</v>
      </c>
      <c r="F293" t="b">
        <f t="shared" si="8"/>
        <v>0</v>
      </c>
      <c r="G293" t="s">
        <v>42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0.15765891907028801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f t="shared" si="9"/>
        <v>0</v>
      </c>
    </row>
    <row r="294" spans="1:34" hidden="1">
      <c r="A294">
        <v>292</v>
      </c>
      <c r="B294">
        <v>254</v>
      </c>
      <c r="C294">
        <v>256</v>
      </c>
      <c r="D294" t="s">
        <v>7</v>
      </c>
      <c r="E294" t="s">
        <v>7</v>
      </c>
      <c r="F294" t="b">
        <f t="shared" si="8"/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f t="shared" si="9"/>
        <v>0</v>
      </c>
    </row>
    <row r="295" spans="1:34" hidden="1">
      <c r="A295">
        <v>293</v>
      </c>
      <c r="B295">
        <v>255</v>
      </c>
      <c r="C295">
        <v>257</v>
      </c>
      <c r="D295" t="s">
        <v>2</v>
      </c>
      <c r="E295" t="s">
        <v>2</v>
      </c>
      <c r="F295" t="b">
        <f t="shared" si="8"/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f t="shared" si="9"/>
        <v>0</v>
      </c>
    </row>
    <row r="296" spans="1:34" hidden="1">
      <c r="A296">
        <v>294</v>
      </c>
      <c r="B296">
        <v>256</v>
      </c>
      <c r="C296">
        <v>258</v>
      </c>
      <c r="D296" t="s">
        <v>44</v>
      </c>
      <c r="E296" t="s">
        <v>44</v>
      </c>
      <c r="F296" t="b">
        <f t="shared" si="8"/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f t="shared" si="9"/>
        <v>0</v>
      </c>
    </row>
    <row r="297" spans="1:34" hidden="1">
      <c r="A297">
        <v>295</v>
      </c>
      <c r="B297">
        <v>257</v>
      </c>
      <c r="C297">
        <v>259</v>
      </c>
      <c r="D297" t="s">
        <v>42</v>
      </c>
      <c r="E297" t="s">
        <v>42</v>
      </c>
      <c r="F297" t="b">
        <f t="shared" si="8"/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f t="shared" si="9"/>
        <v>0</v>
      </c>
    </row>
    <row r="298" spans="1:34" hidden="1">
      <c r="A298">
        <v>296</v>
      </c>
      <c r="B298">
        <v>258</v>
      </c>
      <c r="C298">
        <v>260</v>
      </c>
      <c r="D298" t="s">
        <v>42</v>
      </c>
      <c r="E298" t="s">
        <v>42</v>
      </c>
      <c r="F298" t="b">
        <f t="shared" si="8"/>
        <v>1</v>
      </c>
      <c r="G298" t="s">
        <v>42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0.22222222222222199</v>
      </c>
      <c r="AD298">
        <v>0</v>
      </c>
      <c r="AE298">
        <v>0</v>
      </c>
      <c r="AF298">
        <v>0</v>
      </c>
      <c r="AG298">
        <v>0</v>
      </c>
      <c r="AH298">
        <f t="shared" si="9"/>
        <v>0</v>
      </c>
    </row>
    <row r="299" spans="1:34" hidden="1">
      <c r="A299">
        <v>297</v>
      </c>
      <c r="B299">
        <v>259</v>
      </c>
      <c r="C299">
        <v>261</v>
      </c>
      <c r="D299" t="s">
        <v>42</v>
      </c>
      <c r="E299" t="s">
        <v>42</v>
      </c>
      <c r="F299" t="b">
        <f t="shared" si="8"/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f t="shared" si="9"/>
        <v>0</v>
      </c>
    </row>
    <row r="300" spans="1:34" hidden="1">
      <c r="A300">
        <v>298</v>
      </c>
      <c r="B300">
        <v>260</v>
      </c>
      <c r="C300">
        <v>262</v>
      </c>
      <c r="D300" t="s">
        <v>3</v>
      </c>
      <c r="E300" t="s">
        <v>3</v>
      </c>
      <c r="F300" t="b">
        <f t="shared" si="8"/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f t="shared" si="9"/>
        <v>0</v>
      </c>
    </row>
    <row r="301" spans="1:34" hidden="1">
      <c r="A301">
        <v>299</v>
      </c>
      <c r="B301">
        <v>261</v>
      </c>
      <c r="C301">
        <v>263</v>
      </c>
      <c r="D301" t="s">
        <v>4</v>
      </c>
      <c r="E301" t="s">
        <v>4</v>
      </c>
      <c r="F301" t="b">
        <f t="shared" si="8"/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f t="shared" si="9"/>
        <v>0</v>
      </c>
    </row>
    <row r="302" spans="1:34" hidden="1">
      <c r="A302">
        <v>300</v>
      </c>
      <c r="B302">
        <v>262</v>
      </c>
      <c r="C302">
        <v>264</v>
      </c>
      <c r="D302" t="s">
        <v>7</v>
      </c>
      <c r="E302" t="s">
        <v>7</v>
      </c>
      <c r="F302" t="b">
        <f t="shared" si="8"/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f t="shared" si="9"/>
        <v>0</v>
      </c>
    </row>
    <row r="303" spans="1:34" hidden="1">
      <c r="A303">
        <v>301</v>
      </c>
      <c r="B303">
        <v>263</v>
      </c>
      <c r="C303">
        <v>265</v>
      </c>
      <c r="D303" t="s">
        <v>42</v>
      </c>
      <c r="E303" t="s">
        <v>42</v>
      </c>
      <c r="F303" t="b">
        <f t="shared" si="8"/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f t="shared" si="9"/>
        <v>0</v>
      </c>
    </row>
    <row r="304" spans="1:34">
      <c r="A304">
        <v>302</v>
      </c>
      <c r="B304">
        <v>264</v>
      </c>
      <c r="C304">
        <v>266</v>
      </c>
      <c r="D304" t="s">
        <v>1</v>
      </c>
      <c r="E304" t="s">
        <v>1</v>
      </c>
      <c r="F304" t="b">
        <f t="shared" si="8"/>
        <v>0</v>
      </c>
      <c r="G304" t="s">
        <v>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0.92921483793176796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f t="shared" si="9"/>
        <v>1</v>
      </c>
    </row>
    <row r="305" spans="1:34" hidden="1">
      <c r="A305">
        <v>303</v>
      </c>
      <c r="B305">
        <v>265</v>
      </c>
      <c r="C305">
        <v>267</v>
      </c>
      <c r="D305" t="s">
        <v>6</v>
      </c>
      <c r="E305" t="s">
        <v>6</v>
      </c>
      <c r="F305" t="b">
        <f t="shared" si="8"/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f t="shared" si="9"/>
        <v>0</v>
      </c>
    </row>
    <row r="306" spans="1:34" hidden="1">
      <c r="A306">
        <v>304</v>
      </c>
      <c r="B306">
        <v>266</v>
      </c>
      <c r="C306">
        <v>268</v>
      </c>
      <c r="D306" t="s">
        <v>6</v>
      </c>
      <c r="E306" t="s">
        <v>6</v>
      </c>
      <c r="F306" t="b">
        <f t="shared" si="8"/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f t="shared" si="9"/>
        <v>0</v>
      </c>
    </row>
    <row r="307" spans="1:34" hidden="1">
      <c r="A307">
        <v>305</v>
      </c>
      <c r="B307">
        <v>267</v>
      </c>
      <c r="C307">
        <v>269</v>
      </c>
      <c r="D307" t="s">
        <v>8</v>
      </c>
      <c r="E307" t="s">
        <v>6</v>
      </c>
      <c r="F307" t="b">
        <f t="shared" si="8"/>
        <v>0</v>
      </c>
      <c r="G307" t="s">
        <v>44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0.217120367333551</v>
      </c>
      <c r="AB307">
        <v>0.180246409366278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f t="shared" si="9"/>
        <v>0</v>
      </c>
    </row>
    <row r="308" spans="1:34" hidden="1">
      <c r="A308">
        <v>306</v>
      </c>
      <c r="B308">
        <v>268</v>
      </c>
      <c r="C308">
        <v>270</v>
      </c>
      <c r="D308" t="s">
        <v>47</v>
      </c>
      <c r="E308" t="s">
        <v>47</v>
      </c>
      <c r="F308" t="b">
        <f t="shared" si="8"/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f t="shared" si="9"/>
        <v>0</v>
      </c>
    </row>
    <row r="309" spans="1:34" hidden="1">
      <c r="A309">
        <v>307</v>
      </c>
      <c r="B309">
        <v>269</v>
      </c>
      <c r="C309">
        <v>271</v>
      </c>
      <c r="D309" t="s">
        <v>47</v>
      </c>
      <c r="E309" t="s">
        <v>47</v>
      </c>
      <c r="F309" t="b">
        <f t="shared" si="8"/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f t="shared" si="9"/>
        <v>0</v>
      </c>
    </row>
    <row r="310" spans="1:34" hidden="1">
      <c r="A310">
        <v>308</v>
      </c>
      <c r="B310">
        <v>270</v>
      </c>
      <c r="C310">
        <v>272</v>
      </c>
      <c r="D310" t="s">
        <v>46</v>
      </c>
      <c r="E310" t="s">
        <v>46</v>
      </c>
      <c r="F310" t="b">
        <f t="shared" si="8"/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f t="shared" si="9"/>
        <v>0</v>
      </c>
    </row>
    <row r="311" spans="1:34" hidden="1">
      <c r="A311">
        <v>309</v>
      </c>
      <c r="B311">
        <v>271</v>
      </c>
      <c r="C311">
        <v>273</v>
      </c>
      <c r="D311" t="s">
        <v>10</v>
      </c>
      <c r="E311" t="s">
        <v>10</v>
      </c>
      <c r="F311" t="b">
        <f t="shared" si="8"/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f t="shared" si="9"/>
        <v>0</v>
      </c>
    </row>
    <row r="312" spans="1:34" hidden="1">
      <c r="A312">
        <v>310</v>
      </c>
      <c r="B312">
        <v>272</v>
      </c>
      <c r="C312">
        <v>274</v>
      </c>
      <c r="D312" t="s">
        <v>7</v>
      </c>
      <c r="E312" t="s">
        <v>7</v>
      </c>
      <c r="F312" t="b">
        <f t="shared" si="8"/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f t="shared" si="9"/>
        <v>0</v>
      </c>
    </row>
    <row r="313" spans="1:34">
      <c r="A313">
        <v>311</v>
      </c>
      <c r="B313">
        <v>273</v>
      </c>
      <c r="C313">
        <v>275</v>
      </c>
      <c r="D313" t="s">
        <v>5</v>
      </c>
      <c r="E313" t="s">
        <v>47</v>
      </c>
      <c r="F313" t="b">
        <f t="shared" si="8"/>
        <v>0</v>
      </c>
      <c r="G313" t="s">
        <v>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0.44354110207768699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f t="shared" si="9"/>
        <v>1</v>
      </c>
    </row>
    <row r="314" spans="1:34">
      <c r="A314">
        <v>312</v>
      </c>
      <c r="B314">
        <v>274</v>
      </c>
      <c r="C314">
        <v>276</v>
      </c>
      <c r="D314" t="s">
        <v>3</v>
      </c>
      <c r="E314" t="s">
        <v>3</v>
      </c>
      <c r="F314" t="b">
        <f t="shared" si="8"/>
        <v>0</v>
      </c>
      <c r="G314" t="s">
        <v>5</v>
      </c>
      <c r="H314">
        <v>0</v>
      </c>
      <c r="I314">
        <v>0</v>
      </c>
      <c r="J314">
        <v>0</v>
      </c>
      <c r="K314">
        <v>0.87842465753424603</v>
      </c>
      <c r="L314">
        <v>0.18969298245614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0.92055931161647198</v>
      </c>
      <c r="T314">
        <v>0</v>
      </c>
      <c r="U314">
        <v>0</v>
      </c>
      <c r="V314">
        <v>0.248380007888657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0.97674418604651103</v>
      </c>
      <c r="AD314">
        <v>0.99812999376664602</v>
      </c>
      <c r="AE314">
        <v>0</v>
      </c>
      <c r="AF314">
        <v>0.76713018943974198</v>
      </c>
      <c r="AG314">
        <v>0.37979207277452798</v>
      </c>
      <c r="AH314">
        <f t="shared" si="9"/>
        <v>6</v>
      </c>
    </row>
    <row r="315" spans="1:34" hidden="1">
      <c r="A315">
        <v>313</v>
      </c>
      <c r="B315">
        <v>275</v>
      </c>
      <c r="C315">
        <v>277</v>
      </c>
      <c r="D315" t="s">
        <v>48</v>
      </c>
      <c r="E315" t="s">
        <v>48</v>
      </c>
      <c r="F315" t="b">
        <f t="shared" si="8"/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f t="shared" si="9"/>
        <v>0</v>
      </c>
    </row>
    <row r="316" spans="1:34">
      <c r="A316">
        <v>314</v>
      </c>
      <c r="B316">
        <v>276</v>
      </c>
      <c r="C316">
        <v>278</v>
      </c>
      <c r="D316" t="s">
        <v>2</v>
      </c>
      <c r="E316" t="s">
        <v>2</v>
      </c>
      <c r="F316" t="b">
        <f t="shared" si="8"/>
        <v>0</v>
      </c>
      <c r="G316" t="s">
        <v>43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0.36456631995186101</v>
      </c>
      <c r="R316">
        <v>0</v>
      </c>
      <c r="S316">
        <v>0</v>
      </c>
      <c r="T316">
        <v>0.94272795779954799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0.125246855836191</v>
      </c>
      <c r="AH316">
        <f t="shared" si="9"/>
        <v>2</v>
      </c>
    </row>
    <row r="317" spans="1:34" hidden="1">
      <c r="A317">
        <v>315</v>
      </c>
      <c r="B317">
        <v>276</v>
      </c>
      <c r="C317">
        <v>278</v>
      </c>
      <c r="D317" t="s">
        <v>2</v>
      </c>
      <c r="E317" t="s">
        <v>2</v>
      </c>
      <c r="F317" t="b">
        <f t="shared" si="8"/>
        <v>0</v>
      </c>
      <c r="G317" t="s">
        <v>8</v>
      </c>
      <c r="H317">
        <v>0</v>
      </c>
      <c r="I317">
        <v>0</v>
      </c>
      <c r="J317">
        <v>0</v>
      </c>
      <c r="K317">
        <v>0.13050314465408799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f t="shared" si="9"/>
        <v>0</v>
      </c>
    </row>
    <row r="318" spans="1:34" hidden="1">
      <c r="A318">
        <v>316</v>
      </c>
      <c r="B318">
        <v>276</v>
      </c>
      <c r="C318">
        <v>278</v>
      </c>
      <c r="D318" t="s">
        <v>2</v>
      </c>
      <c r="E318" t="s">
        <v>2</v>
      </c>
      <c r="F318" t="b">
        <f t="shared" si="8"/>
        <v>0</v>
      </c>
      <c r="G318" t="s">
        <v>1</v>
      </c>
      <c r="H318">
        <v>0</v>
      </c>
      <c r="I318">
        <v>0</v>
      </c>
      <c r="J318">
        <v>0.14411969920148801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0.171291965492152</v>
      </c>
      <c r="AH318">
        <f t="shared" si="9"/>
        <v>0</v>
      </c>
    </row>
    <row r="319" spans="1:34">
      <c r="A319">
        <v>317</v>
      </c>
      <c r="B319">
        <v>277</v>
      </c>
      <c r="C319">
        <v>279</v>
      </c>
      <c r="D319" t="s">
        <v>5</v>
      </c>
      <c r="E319" t="s">
        <v>5</v>
      </c>
      <c r="F319" t="b">
        <f t="shared" si="8"/>
        <v>0</v>
      </c>
      <c r="G319" t="s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0.46604361370716402</v>
      </c>
      <c r="P319">
        <v>0.26298044504383</v>
      </c>
      <c r="Q319">
        <v>0.99515612836259804</v>
      </c>
      <c r="R319">
        <v>0</v>
      </c>
      <c r="S319">
        <v>0</v>
      </c>
      <c r="T319">
        <v>0</v>
      </c>
      <c r="U319">
        <v>0.99348837209302299</v>
      </c>
      <c r="V319">
        <v>0.74143985952589897</v>
      </c>
      <c r="W319">
        <v>0</v>
      </c>
      <c r="X319">
        <v>0</v>
      </c>
      <c r="Y319">
        <v>0</v>
      </c>
      <c r="Z319">
        <v>0.99336335624555505</v>
      </c>
      <c r="AA319">
        <v>0.99438269391657597</v>
      </c>
      <c r="AB319">
        <v>0</v>
      </c>
      <c r="AC319">
        <v>0</v>
      </c>
      <c r="AD319">
        <v>0.99504809607831901</v>
      </c>
      <c r="AE319">
        <v>0</v>
      </c>
      <c r="AF319">
        <v>0</v>
      </c>
      <c r="AG319">
        <v>0.86808466051969801</v>
      </c>
      <c r="AH319">
        <f t="shared" si="9"/>
        <v>9</v>
      </c>
    </row>
    <row r="320" spans="1:34">
      <c r="A320">
        <v>318</v>
      </c>
      <c r="B320">
        <v>277</v>
      </c>
      <c r="C320">
        <v>279</v>
      </c>
      <c r="D320" t="s">
        <v>5</v>
      </c>
      <c r="E320" t="s">
        <v>5</v>
      </c>
      <c r="F320" t="b">
        <f t="shared" si="8"/>
        <v>0</v>
      </c>
      <c r="G320" t="s">
        <v>6</v>
      </c>
      <c r="H320">
        <v>0.52070879590093899</v>
      </c>
      <c r="I320">
        <v>0</v>
      </c>
      <c r="J320">
        <v>0</v>
      </c>
      <c r="K320">
        <v>0</v>
      </c>
      <c r="L320">
        <v>0</v>
      </c>
      <c r="M320">
        <v>0.49300322927879398</v>
      </c>
      <c r="N320">
        <v>0</v>
      </c>
      <c r="O320">
        <v>0</v>
      </c>
      <c r="P320">
        <v>0.25758597437626402</v>
      </c>
      <c r="Q320">
        <v>0</v>
      </c>
      <c r="R320">
        <v>0</v>
      </c>
      <c r="S320">
        <v>0.53854029545122095</v>
      </c>
      <c r="T320">
        <v>0</v>
      </c>
      <c r="U320">
        <v>0</v>
      </c>
      <c r="V320">
        <v>0.25422519754170297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0.98470994615462704</v>
      </c>
      <c r="AG320">
        <v>0</v>
      </c>
      <c r="AH320">
        <f t="shared" si="9"/>
        <v>6</v>
      </c>
    </row>
    <row r="321" spans="1:34">
      <c r="A321">
        <v>319</v>
      </c>
      <c r="B321">
        <v>277</v>
      </c>
      <c r="C321">
        <v>279</v>
      </c>
      <c r="D321" t="s">
        <v>5</v>
      </c>
      <c r="E321" t="s">
        <v>5</v>
      </c>
      <c r="F321" t="b">
        <f t="shared" si="8"/>
        <v>0</v>
      </c>
      <c r="G321" t="s">
        <v>9</v>
      </c>
      <c r="H321">
        <v>0</v>
      </c>
      <c r="I321">
        <v>0</v>
      </c>
      <c r="J321">
        <v>0.54836162652980602</v>
      </c>
      <c r="K321">
        <v>0.99202551834130703</v>
      </c>
      <c r="L321">
        <v>0.98687214611872098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0.45275705718882497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0.124266554903604</v>
      </c>
      <c r="AH321">
        <f t="shared" si="9"/>
        <v>5</v>
      </c>
    </row>
    <row r="322" spans="1:34">
      <c r="A322">
        <v>320</v>
      </c>
      <c r="B322">
        <v>277</v>
      </c>
      <c r="C322">
        <v>279</v>
      </c>
      <c r="D322" t="s">
        <v>5</v>
      </c>
      <c r="E322" t="s">
        <v>5</v>
      </c>
      <c r="F322" t="b">
        <f t="shared" si="8"/>
        <v>0</v>
      </c>
      <c r="G322" t="s">
        <v>8</v>
      </c>
      <c r="H322">
        <v>0.28821520068317602</v>
      </c>
      <c r="I322">
        <v>0</v>
      </c>
      <c r="J322">
        <v>0.102092380576391</v>
      </c>
      <c r="K322">
        <v>0</v>
      </c>
      <c r="L322">
        <v>0</v>
      </c>
      <c r="M322">
        <v>0</v>
      </c>
      <c r="N322">
        <v>0</v>
      </c>
      <c r="O322">
        <v>0.103426791277258</v>
      </c>
      <c r="P322">
        <v>0.13081591368846901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0.99758362908706399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f t="shared" si="9"/>
        <v>2</v>
      </c>
    </row>
    <row r="323" spans="1:34">
      <c r="A323">
        <v>321</v>
      </c>
      <c r="B323">
        <v>277</v>
      </c>
      <c r="C323">
        <v>279</v>
      </c>
      <c r="D323" t="s">
        <v>5</v>
      </c>
      <c r="E323" t="s">
        <v>5</v>
      </c>
      <c r="F323" t="b">
        <f t="shared" ref="F323:F386" si="10">D323=G323</f>
        <v>0</v>
      </c>
      <c r="G323" t="s">
        <v>3</v>
      </c>
      <c r="H323">
        <v>0.16076003415883799</v>
      </c>
      <c r="I323">
        <v>0.99399849962490605</v>
      </c>
      <c r="J323">
        <v>0.34891433083300399</v>
      </c>
      <c r="K323">
        <v>0</v>
      </c>
      <c r="L323">
        <v>0</v>
      </c>
      <c r="M323">
        <v>0</v>
      </c>
      <c r="N323">
        <v>0.99109062980030704</v>
      </c>
      <c r="O323">
        <v>0.42554517133956299</v>
      </c>
      <c r="P323">
        <v>0.34052596089008702</v>
      </c>
      <c r="Q323">
        <v>0</v>
      </c>
      <c r="R323">
        <v>0</v>
      </c>
      <c r="S323">
        <v>0</v>
      </c>
      <c r="T323">
        <v>0.98931516069325198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0.82499999999999996</v>
      </c>
      <c r="AF323">
        <v>0</v>
      </c>
      <c r="AG323">
        <v>0</v>
      </c>
      <c r="AH323">
        <f t="shared" ref="AH323:AH386" si="11">COUNTIF(H323:AG323,"&gt;0.25")</f>
        <v>7</v>
      </c>
    </row>
    <row r="324" spans="1:34">
      <c r="A324">
        <v>322</v>
      </c>
      <c r="B324">
        <v>277</v>
      </c>
      <c r="C324">
        <v>279</v>
      </c>
      <c r="D324" t="s">
        <v>5</v>
      </c>
      <c r="E324" t="s">
        <v>5</v>
      </c>
      <c r="F324" t="b">
        <f t="shared" si="10"/>
        <v>0</v>
      </c>
      <c r="G324" t="s">
        <v>61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0.99007092198581503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0.93549049820236196</v>
      </c>
      <c r="Z324">
        <v>0</v>
      </c>
      <c r="AA324">
        <v>0</v>
      </c>
      <c r="AB324">
        <v>0.99717206874048203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f t="shared" si="11"/>
        <v>3</v>
      </c>
    </row>
    <row r="325" spans="1:34">
      <c r="A325">
        <v>323</v>
      </c>
      <c r="B325">
        <v>278</v>
      </c>
      <c r="C325">
        <v>280</v>
      </c>
      <c r="D325" t="s">
        <v>3</v>
      </c>
      <c r="E325" t="s">
        <v>3</v>
      </c>
      <c r="F325" t="b">
        <f t="shared" si="10"/>
        <v>0</v>
      </c>
      <c r="G325" t="s">
        <v>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0.97701763762693705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0.99284707922401605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f t="shared" si="11"/>
        <v>2</v>
      </c>
    </row>
    <row r="326" spans="1:34">
      <c r="A326">
        <v>324</v>
      </c>
      <c r="B326">
        <v>279</v>
      </c>
      <c r="C326">
        <v>281</v>
      </c>
      <c r="D326" t="s">
        <v>1</v>
      </c>
      <c r="E326" t="s">
        <v>1</v>
      </c>
      <c r="F326" t="b">
        <f t="shared" si="10"/>
        <v>0</v>
      </c>
      <c r="G326" t="s">
        <v>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0.347848898216159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0.174937965260545</v>
      </c>
      <c r="T326">
        <v>0.99463389302406002</v>
      </c>
      <c r="U326">
        <v>0</v>
      </c>
      <c r="V326">
        <v>0</v>
      </c>
      <c r="W326">
        <v>0.99323181049069298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f t="shared" si="11"/>
        <v>3</v>
      </c>
    </row>
    <row r="327" spans="1:34" hidden="1">
      <c r="A327">
        <v>325</v>
      </c>
      <c r="B327">
        <v>280</v>
      </c>
      <c r="C327">
        <v>282</v>
      </c>
      <c r="D327" t="s">
        <v>8</v>
      </c>
      <c r="E327" t="s">
        <v>8</v>
      </c>
      <c r="F327" t="b">
        <f t="shared" si="10"/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f t="shared" si="11"/>
        <v>0</v>
      </c>
    </row>
    <row r="328" spans="1:34" hidden="1">
      <c r="A328">
        <v>326</v>
      </c>
      <c r="B328">
        <v>281</v>
      </c>
      <c r="C328">
        <v>283</v>
      </c>
      <c r="D328" t="s">
        <v>2</v>
      </c>
      <c r="E328" t="s">
        <v>2</v>
      </c>
      <c r="F328" t="b">
        <f t="shared" si="10"/>
        <v>1</v>
      </c>
      <c r="G328" t="s">
        <v>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0.15047021943573599</v>
      </c>
      <c r="AF328">
        <v>0</v>
      </c>
      <c r="AG328">
        <v>0</v>
      </c>
      <c r="AH328">
        <f t="shared" si="11"/>
        <v>0</v>
      </c>
    </row>
    <row r="329" spans="1:34" hidden="1">
      <c r="A329">
        <v>327</v>
      </c>
      <c r="B329">
        <v>282</v>
      </c>
      <c r="C329">
        <v>284</v>
      </c>
      <c r="D329" t="s">
        <v>46</v>
      </c>
      <c r="E329" t="s">
        <v>46</v>
      </c>
      <c r="F329" t="b">
        <f t="shared" si="10"/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f t="shared" si="11"/>
        <v>0</v>
      </c>
    </row>
    <row r="330" spans="1:34" hidden="1">
      <c r="A330">
        <v>328</v>
      </c>
      <c r="B330">
        <v>283</v>
      </c>
      <c r="C330">
        <v>285</v>
      </c>
      <c r="D330" t="s">
        <v>46</v>
      </c>
      <c r="E330" t="s">
        <v>46</v>
      </c>
      <c r="F330" t="b">
        <f t="shared" si="10"/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f t="shared" si="11"/>
        <v>0</v>
      </c>
    </row>
    <row r="331" spans="1:34" hidden="1">
      <c r="A331">
        <v>329</v>
      </c>
      <c r="B331">
        <v>284</v>
      </c>
      <c r="C331">
        <v>286</v>
      </c>
      <c r="D331" t="s">
        <v>47</v>
      </c>
      <c r="E331" t="s">
        <v>47</v>
      </c>
      <c r="F331" t="b">
        <f t="shared" si="10"/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f t="shared" si="11"/>
        <v>0</v>
      </c>
    </row>
    <row r="332" spans="1:34" hidden="1">
      <c r="A332">
        <v>330</v>
      </c>
      <c r="B332">
        <v>285</v>
      </c>
      <c r="C332">
        <v>287</v>
      </c>
      <c r="D332" t="s">
        <v>44</v>
      </c>
      <c r="E332" t="s">
        <v>44</v>
      </c>
      <c r="F332" t="b">
        <f t="shared" si="10"/>
        <v>1</v>
      </c>
      <c r="G332" t="s">
        <v>44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0.157829521400175</v>
      </c>
      <c r="AG332">
        <v>0</v>
      </c>
      <c r="AH332">
        <f t="shared" si="11"/>
        <v>0</v>
      </c>
    </row>
    <row r="333" spans="1:34" hidden="1">
      <c r="A333">
        <v>331</v>
      </c>
      <c r="B333">
        <v>286</v>
      </c>
      <c r="C333">
        <v>288</v>
      </c>
      <c r="D333" t="s">
        <v>42</v>
      </c>
      <c r="E333" t="s">
        <v>42</v>
      </c>
      <c r="F333" t="b">
        <f t="shared" si="10"/>
        <v>1</v>
      </c>
      <c r="G333" t="s">
        <v>42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0.11528254761161399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f t="shared" si="11"/>
        <v>0</v>
      </c>
    </row>
    <row r="334" spans="1:34" hidden="1">
      <c r="A334">
        <v>332</v>
      </c>
      <c r="B334">
        <v>287</v>
      </c>
      <c r="C334">
        <v>289</v>
      </c>
      <c r="D334" t="s">
        <v>3</v>
      </c>
      <c r="E334" t="s">
        <v>3</v>
      </c>
      <c r="F334" t="b">
        <f t="shared" si="10"/>
        <v>0</v>
      </c>
      <c r="G334" t="s">
        <v>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0.22598581560283601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f t="shared" si="11"/>
        <v>0</v>
      </c>
    </row>
    <row r="335" spans="1:34" hidden="1">
      <c r="A335">
        <v>333</v>
      </c>
      <c r="B335">
        <v>288</v>
      </c>
      <c r="C335">
        <v>290</v>
      </c>
      <c r="D335" t="s">
        <v>6</v>
      </c>
      <c r="E335" t="s">
        <v>2</v>
      </c>
      <c r="F335" t="b">
        <f t="shared" si="10"/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f t="shared" si="11"/>
        <v>0</v>
      </c>
    </row>
    <row r="336" spans="1:34" hidden="1">
      <c r="A336">
        <v>334</v>
      </c>
      <c r="B336">
        <v>289</v>
      </c>
      <c r="C336">
        <v>291</v>
      </c>
      <c r="D336" t="s">
        <v>7</v>
      </c>
      <c r="E336" t="s">
        <v>7</v>
      </c>
      <c r="F336" t="b">
        <f t="shared" si="10"/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f t="shared" si="11"/>
        <v>0</v>
      </c>
    </row>
    <row r="337" spans="1:34" hidden="1">
      <c r="A337">
        <v>335</v>
      </c>
      <c r="B337">
        <v>290</v>
      </c>
      <c r="C337">
        <v>292</v>
      </c>
      <c r="D337" t="s">
        <v>47</v>
      </c>
      <c r="E337" t="s">
        <v>47</v>
      </c>
      <c r="F337" t="b">
        <f t="shared" si="10"/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f t="shared" si="11"/>
        <v>0</v>
      </c>
    </row>
    <row r="338" spans="1:34" hidden="1">
      <c r="A338">
        <v>336</v>
      </c>
      <c r="B338">
        <v>291</v>
      </c>
      <c r="C338">
        <v>293</v>
      </c>
      <c r="D338" t="s">
        <v>8</v>
      </c>
      <c r="E338" t="s">
        <v>6</v>
      </c>
      <c r="F338" t="b">
        <f t="shared" si="10"/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f t="shared" si="11"/>
        <v>0</v>
      </c>
    </row>
    <row r="339" spans="1:34" hidden="1">
      <c r="A339">
        <v>337</v>
      </c>
      <c r="B339">
        <v>292</v>
      </c>
      <c r="C339">
        <v>294</v>
      </c>
      <c r="D339" t="s">
        <v>46</v>
      </c>
      <c r="E339" t="s">
        <v>46</v>
      </c>
      <c r="F339" t="b">
        <f t="shared" si="10"/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f t="shared" si="11"/>
        <v>0</v>
      </c>
    </row>
    <row r="340" spans="1:34" hidden="1">
      <c r="A340">
        <v>338</v>
      </c>
      <c r="B340">
        <v>293</v>
      </c>
      <c r="C340">
        <v>295</v>
      </c>
      <c r="D340" t="s">
        <v>3</v>
      </c>
      <c r="E340" t="s">
        <v>3</v>
      </c>
      <c r="F340" t="b">
        <f t="shared" si="10"/>
        <v>0</v>
      </c>
      <c r="G340" t="s">
        <v>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0.14669926650366699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f t="shared" si="11"/>
        <v>0</v>
      </c>
    </row>
    <row r="341" spans="1:34" hidden="1">
      <c r="A341">
        <v>339</v>
      </c>
      <c r="B341">
        <v>293</v>
      </c>
      <c r="C341">
        <v>295</v>
      </c>
      <c r="D341" t="s">
        <v>3</v>
      </c>
      <c r="E341" t="s">
        <v>3</v>
      </c>
      <c r="F341" t="b">
        <f t="shared" si="10"/>
        <v>0</v>
      </c>
      <c r="G341" t="s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0.205710102489019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f t="shared" si="11"/>
        <v>0</v>
      </c>
    </row>
    <row r="342" spans="1:34" hidden="1">
      <c r="A342">
        <v>340</v>
      </c>
      <c r="B342">
        <v>294</v>
      </c>
      <c r="C342">
        <v>296</v>
      </c>
      <c r="D342" t="s">
        <v>50</v>
      </c>
      <c r="E342" t="s">
        <v>50</v>
      </c>
      <c r="F342" t="b">
        <f t="shared" si="10"/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f t="shared" si="11"/>
        <v>0</v>
      </c>
    </row>
    <row r="343" spans="1:34">
      <c r="A343">
        <v>341</v>
      </c>
      <c r="B343">
        <v>295</v>
      </c>
      <c r="C343">
        <v>297</v>
      </c>
      <c r="D343" t="s">
        <v>2</v>
      </c>
      <c r="E343" t="s">
        <v>2</v>
      </c>
      <c r="F343" t="b">
        <f t="shared" si="10"/>
        <v>0</v>
      </c>
      <c r="G343" t="s">
        <v>46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0.161978990172822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0.15973003374578101</v>
      </c>
      <c r="AA343">
        <v>0</v>
      </c>
      <c r="AB343">
        <v>0.50185099490976404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f t="shared" si="11"/>
        <v>1</v>
      </c>
    </row>
    <row r="344" spans="1:34" hidden="1">
      <c r="A344">
        <v>342</v>
      </c>
      <c r="B344">
        <v>296</v>
      </c>
      <c r="C344">
        <v>298</v>
      </c>
      <c r="D344" t="s">
        <v>10</v>
      </c>
      <c r="E344" t="s">
        <v>10</v>
      </c>
      <c r="F344" t="b">
        <f t="shared" si="10"/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f t="shared" si="11"/>
        <v>0</v>
      </c>
    </row>
    <row r="345" spans="1:34" hidden="1">
      <c r="A345">
        <v>343</v>
      </c>
      <c r="B345">
        <v>297</v>
      </c>
      <c r="C345">
        <v>299</v>
      </c>
      <c r="D345" t="s">
        <v>45</v>
      </c>
      <c r="E345" t="s">
        <v>45</v>
      </c>
      <c r="F345" t="b">
        <f t="shared" si="10"/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f t="shared" si="11"/>
        <v>0</v>
      </c>
    </row>
    <row r="346" spans="1:34">
      <c r="A346">
        <v>344</v>
      </c>
      <c r="B346">
        <v>298</v>
      </c>
      <c r="C346">
        <v>300</v>
      </c>
      <c r="D346" t="s">
        <v>7</v>
      </c>
      <c r="E346" t="s">
        <v>3</v>
      </c>
      <c r="F346" t="b">
        <f t="shared" si="10"/>
        <v>0</v>
      </c>
      <c r="G346" t="s">
        <v>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0.47580914247580902</v>
      </c>
      <c r="O346">
        <v>0</v>
      </c>
      <c r="P346">
        <v>0.24557522123893799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0.44637492895997399</v>
      </c>
      <c r="AC346">
        <v>0</v>
      </c>
      <c r="AD346">
        <v>0</v>
      </c>
      <c r="AE346">
        <v>0.451737451737451</v>
      </c>
      <c r="AF346">
        <v>0.16262938275619099</v>
      </c>
      <c r="AG346">
        <v>0</v>
      </c>
      <c r="AH346">
        <f t="shared" si="11"/>
        <v>3</v>
      </c>
    </row>
    <row r="347" spans="1:34" hidden="1">
      <c r="A347">
        <v>345</v>
      </c>
      <c r="B347">
        <v>299</v>
      </c>
      <c r="C347">
        <v>301</v>
      </c>
      <c r="D347" t="s">
        <v>3</v>
      </c>
      <c r="E347" t="s">
        <v>3</v>
      </c>
      <c r="F347" t="b">
        <f t="shared" si="10"/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f t="shared" si="11"/>
        <v>0</v>
      </c>
    </row>
    <row r="348" spans="1:34" hidden="1">
      <c r="A348">
        <v>346</v>
      </c>
      <c r="B348">
        <v>300</v>
      </c>
      <c r="C348">
        <v>302</v>
      </c>
      <c r="D348" t="s">
        <v>3</v>
      </c>
      <c r="E348" t="s">
        <v>3</v>
      </c>
      <c r="F348" t="b">
        <f t="shared" si="10"/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f t="shared" si="11"/>
        <v>0</v>
      </c>
    </row>
    <row r="349" spans="1:34" hidden="1">
      <c r="A349">
        <v>347</v>
      </c>
      <c r="B349">
        <v>301</v>
      </c>
      <c r="C349">
        <v>303</v>
      </c>
      <c r="D349" t="s">
        <v>2</v>
      </c>
      <c r="E349" t="s">
        <v>2</v>
      </c>
      <c r="F349" t="b">
        <f t="shared" si="10"/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f t="shared" si="11"/>
        <v>0</v>
      </c>
    </row>
    <row r="350" spans="1:34" hidden="1">
      <c r="A350">
        <v>348</v>
      </c>
      <c r="B350">
        <v>302</v>
      </c>
      <c r="C350">
        <v>304</v>
      </c>
      <c r="D350" t="s">
        <v>10</v>
      </c>
      <c r="E350" t="s">
        <v>10</v>
      </c>
      <c r="F350" t="b">
        <f t="shared" si="10"/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f t="shared" si="11"/>
        <v>0</v>
      </c>
    </row>
    <row r="351" spans="1:34">
      <c r="A351">
        <v>349</v>
      </c>
      <c r="B351">
        <v>303</v>
      </c>
      <c r="C351">
        <v>305</v>
      </c>
      <c r="D351" t="s">
        <v>8</v>
      </c>
      <c r="E351" t="s">
        <v>8</v>
      </c>
      <c r="F351" t="b">
        <f t="shared" si="10"/>
        <v>0</v>
      </c>
      <c r="G351" t="s">
        <v>10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0.378664669377273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0.16400116312881599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f t="shared" si="11"/>
        <v>1</v>
      </c>
    </row>
    <row r="352" spans="1:34">
      <c r="A352">
        <v>350</v>
      </c>
      <c r="B352">
        <v>304</v>
      </c>
      <c r="C352">
        <v>306</v>
      </c>
      <c r="D352" t="s">
        <v>7</v>
      </c>
      <c r="E352" t="s">
        <v>10</v>
      </c>
      <c r="F352" t="b">
        <f t="shared" si="10"/>
        <v>0</v>
      </c>
      <c r="G352" t="s">
        <v>4</v>
      </c>
      <c r="H352">
        <v>0.13428502298572401</v>
      </c>
      <c r="I352">
        <v>0</v>
      </c>
      <c r="J352">
        <v>0.15484804630969501</v>
      </c>
      <c r="K352">
        <v>0</v>
      </c>
      <c r="L352">
        <v>0</v>
      </c>
      <c r="M352">
        <v>0</v>
      </c>
      <c r="N352">
        <v>0</v>
      </c>
      <c r="O352">
        <v>0.110863095238095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0.89092201101438895</v>
      </c>
      <c r="AG352">
        <v>0</v>
      </c>
      <c r="AH352">
        <f t="shared" si="11"/>
        <v>1</v>
      </c>
    </row>
    <row r="353" spans="1:34" hidden="1">
      <c r="A353">
        <v>351</v>
      </c>
      <c r="B353">
        <v>305</v>
      </c>
      <c r="C353">
        <v>307</v>
      </c>
      <c r="D353" t="s">
        <v>46</v>
      </c>
      <c r="E353" t="s">
        <v>46</v>
      </c>
      <c r="F353" t="b">
        <f t="shared" si="10"/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f t="shared" si="11"/>
        <v>0</v>
      </c>
    </row>
    <row r="354" spans="1:34" hidden="1">
      <c r="A354">
        <v>352</v>
      </c>
      <c r="B354">
        <v>306</v>
      </c>
      <c r="C354">
        <v>308</v>
      </c>
      <c r="D354" t="s">
        <v>9</v>
      </c>
      <c r="E354" t="s">
        <v>10</v>
      </c>
      <c r="F354" t="b">
        <f t="shared" si="10"/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f t="shared" si="11"/>
        <v>0</v>
      </c>
    </row>
    <row r="355" spans="1:34">
      <c r="A355">
        <v>353</v>
      </c>
      <c r="B355">
        <v>307</v>
      </c>
      <c r="C355">
        <v>309</v>
      </c>
      <c r="D355" t="s">
        <v>46</v>
      </c>
      <c r="E355" t="s">
        <v>46</v>
      </c>
      <c r="F355" t="b">
        <f t="shared" si="10"/>
        <v>0</v>
      </c>
      <c r="G355" t="s">
        <v>42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0.38544984076433098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f t="shared" si="11"/>
        <v>1</v>
      </c>
    </row>
    <row r="356" spans="1:34">
      <c r="A356">
        <v>354</v>
      </c>
      <c r="B356">
        <v>307</v>
      </c>
      <c r="C356">
        <v>309</v>
      </c>
      <c r="D356" t="s">
        <v>46</v>
      </c>
      <c r="E356" t="s">
        <v>46</v>
      </c>
      <c r="F356" t="b">
        <f t="shared" si="10"/>
        <v>0</v>
      </c>
      <c r="G356" t="s">
        <v>43</v>
      </c>
      <c r="H356">
        <v>0</v>
      </c>
      <c r="I356">
        <v>0.99024597116200097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0.65318284424379203</v>
      </c>
      <c r="Y356">
        <v>0.220110656723598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f t="shared" si="11"/>
        <v>3</v>
      </c>
    </row>
    <row r="357" spans="1:34" hidden="1">
      <c r="A357">
        <v>355</v>
      </c>
      <c r="B357" t="s">
        <v>100</v>
      </c>
      <c r="C357">
        <v>310</v>
      </c>
      <c r="D357" t="s">
        <v>58</v>
      </c>
      <c r="E357" t="s">
        <v>44</v>
      </c>
      <c r="F357" t="b">
        <f t="shared" si="10"/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f t="shared" si="11"/>
        <v>0</v>
      </c>
    </row>
    <row r="358" spans="1:34" hidden="1">
      <c r="A358">
        <v>356</v>
      </c>
      <c r="B358" t="s">
        <v>101</v>
      </c>
      <c r="C358">
        <v>311</v>
      </c>
      <c r="D358" t="s">
        <v>58</v>
      </c>
      <c r="E358" t="s">
        <v>10</v>
      </c>
      <c r="F358" t="b">
        <f t="shared" si="10"/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f t="shared" si="11"/>
        <v>0</v>
      </c>
    </row>
    <row r="359" spans="1:34" hidden="1">
      <c r="A359">
        <v>357</v>
      </c>
      <c r="B359">
        <v>308</v>
      </c>
      <c r="C359">
        <v>312</v>
      </c>
      <c r="D359" t="s">
        <v>4</v>
      </c>
      <c r="E359" t="s">
        <v>4</v>
      </c>
      <c r="F359" t="b">
        <f t="shared" si="10"/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f t="shared" si="11"/>
        <v>0</v>
      </c>
    </row>
    <row r="360" spans="1:34" hidden="1">
      <c r="A360">
        <v>358</v>
      </c>
      <c r="B360">
        <v>309</v>
      </c>
      <c r="C360">
        <v>313</v>
      </c>
      <c r="D360" t="s">
        <v>45</v>
      </c>
      <c r="E360" t="s">
        <v>45</v>
      </c>
      <c r="F360" t="b">
        <f t="shared" si="10"/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f t="shared" si="11"/>
        <v>0</v>
      </c>
    </row>
    <row r="361" spans="1:34" hidden="1">
      <c r="A361">
        <v>359</v>
      </c>
      <c r="B361">
        <v>310</v>
      </c>
      <c r="C361">
        <v>314</v>
      </c>
      <c r="D361" t="s">
        <v>4</v>
      </c>
      <c r="E361" t="s">
        <v>4</v>
      </c>
      <c r="F361" t="b">
        <f t="shared" si="10"/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f t="shared" si="11"/>
        <v>0</v>
      </c>
    </row>
    <row r="362" spans="1:34" hidden="1">
      <c r="A362">
        <v>360</v>
      </c>
      <c r="B362">
        <v>311</v>
      </c>
      <c r="C362">
        <v>315</v>
      </c>
      <c r="D362" t="s">
        <v>10</v>
      </c>
      <c r="E362" t="s">
        <v>10</v>
      </c>
      <c r="F362" t="b">
        <f t="shared" si="10"/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f t="shared" si="11"/>
        <v>0</v>
      </c>
    </row>
    <row r="363" spans="1:34" hidden="1">
      <c r="A363">
        <v>361</v>
      </c>
      <c r="B363">
        <v>312</v>
      </c>
      <c r="C363">
        <v>316</v>
      </c>
      <c r="D363" t="s">
        <v>1</v>
      </c>
      <c r="E363" t="s">
        <v>1</v>
      </c>
      <c r="F363" t="b">
        <f t="shared" si="10"/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f t="shared" si="11"/>
        <v>0</v>
      </c>
    </row>
    <row r="364" spans="1:34">
      <c r="A364">
        <v>362</v>
      </c>
      <c r="B364">
        <v>313</v>
      </c>
      <c r="C364">
        <v>317</v>
      </c>
      <c r="D364" t="s">
        <v>48</v>
      </c>
      <c r="E364" t="s">
        <v>48</v>
      </c>
      <c r="F364" t="b">
        <f t="shared" si="10"/>
        <v>0</v>
      </c>
      <c r="G364" t="s">
        <v>42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0.12539184952978</v>
      </c>
      <c r="P364">
        <v>0.25688756515264299</v>
      </c>
      <c r="Q364">
        <v>0</v>
      </c>
      <c r="R364">
        <v>0</v>
      </c>
      <c r="S364">
        <v>0</v>
      </c>
      <c r="T364">
        <v>0.98900118906064205</v>
      </c>
      <c r="U364">
        <v>0.42412060301507498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0.89901527331189601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f t="shared" si="11"/>
        <v>4</v>
      </c>
    </row>
    <row r="365" spans="1:34">
      <c r="A365">
        <v>363</v>
      </c>
      <c r="B365">
        <v>313</v>
      </c>
      <c r="C365">
        <v>317</v>
      </c>
      <c r="D365" t="s">
        <v>48</v>
      </c>
      <c r="E365" t="s">
        <v>48</v>
      </c>
      <c r="F365" t="b">
        <f t="shared" si="10"/>
        <v>0</v>
      </c>
      <c r="G365" t="s">
        <v>46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0.33293196869355801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f t="shared" si="11"/>
        <v>1</v>
      </c>
    </row>
    <row r="366" spans="1:34" hidden="1">
      <c r="A366">
        <v>364</v>
      </c>
      <c r="B366">
        <v>314</v>
      </c>
      <c r="C366">
        <v>318</v>
      </c>
      <c r="D366" t="s">
        <v>61</v>
      </c>
      <c r="E366" t="s">
        <v>47</v>
      </c>
      <c r="F366" t="b">
        <f t="shared" si="10"/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f t="shared" si="11"/>
        <v>0</v>
      </c>
    </row>
    <row r="367" spans="1:34">
      <c r="A367">
        <v>365</v>
      </c>
      <c r="B367">
        <v>315</v>
      </c>
      <c r="C367">
        <v>319</v>
      </c>
      <c r="D367" t="s">
        <v>2</v>
      </c>
      <c r="E367" t="s">
        <v>2</v>
      </c>
      <c r="F367" t="b">
        <f t="shared" si="10"/>
        <v>0</v>
      </c>
      <c r="G367" t="s">
        <v>11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0.97517730496453903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f t="shared" si="11"/>
        <v>1</v>
      </c>
    </row>
    <row r="368" spans="1:34">
      <c r="A368">
        <v>366</v>
      </c>
      <c r="B368">
        <v>315</v>
      </c>
      <c r="C368">
        <v>319</v>
      </c>
      <c r="D368" t="s">
        <v>2</v>
      </c>
      <c r="E368" t="s">
        <v>2</v>
      </c>
      <c r="F368" t="b">
        <f t="shared" si="10"/>
        <v>0</v>
      </c>
      <c r="G368" t="s">
        <v>45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0.62202472162631495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f t="shared" si="11"/>
        <v>1</v>
      </c>
    </row>
    <row r="369" spans="1:34" hidden="1">
      <c r="A369">
        <v>367</v>
      </c>
      <c r="B369">
        <v>316</v>
      </c>
      <c r="C369">
        <v>320</v>
      </c>
      <c r="D369" t="s">
        <v>2</v>
      </c>
      <c r="E369" t="s">
        <v>46</v>
      </c>
      <c r="F369" t="b">
        <f t="shared" si="10"/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f t="shared" si="11"/>
        <v>0</v>
      </c>
    </row>
    <row r="370" spans="1:34" hidden="1">
      <c r="A370">
        <v>368</v>
      </c>
      <c r="B370">
        <v>317</v>
      </c>
      <c r="C370">
        <v>321</v>
      </c>
      <c r="D370" t="s">
        <v>4</v>
      </c>
      <c r="E370" t="s">
        <v>4</v>
      </c>
      <c r="F370" t="b">
        <f t="shared" si="10"/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f t="shared" si="11"/>
        <v>0</v>
      </c>
    </row>
    <row r="371" spans="1:34" hidden="1">
      <c r="A371">
        <v>369</v>
      </c>
      <c r="B371">
        <v>318</v>
      </c>
      <c r="C371">
        <v>322</v>
      </c>
      <c r="D371" t="s">
        <v>6</v>
      </c>
      <c r="E371" t="s">
        <v>8</v>
      </c>
      <c r="F371" t="b">
        <f t="shared" si="10"/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f t="shared" si="11"/>
        <v>0</v>
      </c>
    </row>
    <row r="372" spans="1:34" hidden="1">
      <c r="A372">
        <v>370</v>
      </c>
      <c r="B372">
        <v>319</v>
      </c>
      <c r="C372" t="s">
        <v>67</v>
      </c>
      <c r="D372" t="s">
        <v>46</v>
      </c>
      <c r="E372" t="s">
        <v>58</v>
      </c>
      <c r="F372" t="b">
        <f t="shared" si="10"/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f t="shared" si="11"/>
        <v>0</v>
      </c>
    </row>
    <row r="373" spans="1:34" hidden="1">
      <c r="A373">
        <v>371</v>
      </c>
      <c r="B373">
        <v>320</v>
      </c>
      <c r="C373">
        <v>323</v>
      </c>
      <c r="D373" t="s">
        <v>46</v>
      </c>
      <c r="E373" t="s">
        <v>46</v>
      </c>
      <c r="F373" t="b">
        <f t="shared" si="10"/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f t="shared" si="11"/>
        <v>0</v>
      </c>
    </row>
    <row r="374" spans="1:34" hidden="1">
      <c r="A374">
        <v>372</v>
      </c>
      <c r="B374">
        <v>321</v>
      </c>
      <c r="C374">
        <v>324</v>
      </c>
      <c r="D374" t="s">
        <v>4</v>
      </c>
      <c r="E374" t="s">
        <v>4</v>
      </c>
      <c r="F374" t="b">
        <f t="shared" si="10"/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f t="shared" si="11"/>
        <v>0</v>
      </c>
    </row>
    <row r="375" spans="1:34" hidden="1">
      <c r="A375">
        <v>373</v>
      </c>
      <c r="B375">
        <v>322</v>
      </c>
      <c r="C375">
        <v>325</v>
      </c>
      <c r="D375" t="s">
        <v>5</v>
      </c>
      <c r="E375" t="s">
        <v>3</v>
      </c>
      <c r="F375" t="b">
        <f t="shared" si="10"/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f t="shared" si="11"/>
        <v>0</v>
      </c>
    </row>
    <row r="376" spans="1:34" hidden="1">
      <c r="A376">
        <v>374</v>
      </c>
      <c r="B376">
        <v>323</v>
      </c>
      <c r="C376">
        <v>326</v>
      </c>
      <c r="D376" t="s">
        <v>46</v>
      </c>
      <c r="E376" t="s">
        <v>43</v>
      </c>
      <c r="F376" t="b">
        <f t="shared" si="10"/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f t="shared" si="11"/>
        <v>0</v>
      </c>
    </row>
    <row r="377" spans="1:34" hidden="1">
      <c r="A377">
        <v>375</v>
      </c>
      <c r="B377">
        <v>324</v>
      </c>
      <c r="C377">
        <v>327</v>
      </c>
      <c r="D377" t="s">
        <v>10</v>
      </c>
      <c r="E377" t="s">
        <v>10</v>
      </c>
      <c r="F377" t="b">
        <f t="shared" si="10"/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f t="shared" si="11"/>
        <v>0</v>
      </c>
    </row>
    <row r="378" spans="1:34" hidden="1">
      <c r="A378">
        <v>376</v>
      </c>
      <c r="B378">
        <v>325</v>
      </c>
      <c r="C378">
        <v>328</v>
      </c>
      <c r="D378" t="s">
        <v>44</v>
      </c>
      <c r="E378" t="s">
        <v>44</v>
      </c>
      <c r="F378" t="b">
        <f t="shared" si="10"/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f t="shared" si="11"/>
        <v>0</v>
      </c>
    </row>
    <row r="379" spans="1:34" hidden="1">
      <c r="A379">
        <v>377</v>
      </c>
      <c r="B379">
        <v>326</v>
      </c>
      <c r="C379">
        <v>329</v>
      </c>
      <c r="D379" t="s">
        <v>1</v>
      </c>
      <c r="E379" t="s">
        <v>1</v>
      </c>
      <c r="F379" t="b">
        <f t="shared" si="10"/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f t="shared" si="11"/>
        <v>0</v>
      </c>
    </row>
    <row r="380" spans="1:34" hidden="1">
      <c r="A380">
        <v>378</v>
      </c>
      <c r="B380">
        <v>327</v>
      </c>
      <c r="C380">
        <v>330</v>
      </c>
      <c r="D380" t="s">
        <v>9</v>
      </c>
      <c r="E380" t="s">
        <v>9</v>
      </c>
      <c r="F380" t="b">
        <f t="shared" si="10"/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f t="shared" si="11"/>
        <v>0</v>
      </c>
    </row>
    <row r="381" spans="1:34" hidden="1">
      <c r="A381">
        <v>379</v>
      </c>
      <c r="B381">
        <v>328</v>
      </c>
      <c r="C381">
        <v>331</v>
      </c>
      <c r="D381" t="s">
        <v>50</v>
      </c>
      <c r="E381" t="s">
        <v>50</v>
      </c>
      <c r="F381" t="b">
        <f t="shared" si="10"/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f t="shared" si="11"/>
        <v>0</v>
      </c>
    </row>
    <row r="382" spans="1:34" hidden="1">
      <c r="A382">
        <v>380</v>
      </c>
      <c r="B382">
        <v>329</v>
      </c>
      <c r="C382">
        <v>332</v>
      </c>
      <c r="D382" t="s">
        <v>3</v>
      </c>
      <c r="E382" t="s">
        <v>3</v>
      </c>
      <c r="F382" t="b">
        <f t="shared" si="10"/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f t="shared" si="11"/>
        <v>0</v>
      </c>
    </row>
    <row r="383" spans="1:34" hidden="1">
      <c r="A383">
        <v>381</v>
      </c>
      <c r="B383">
        <v>330</v>
      </c>
      <c r="C383">
        <v>333</v>
      </c>
      <c r="D383" t="s">
        <v>46</v>
      </c>
      <c r="E383" t="s">
        <v>46</v>
      </c>
      <c r="F383" t="b">
        <f t="shared" si="10"/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f t="shared" si="11"/>
        <v>0</v>
      </c>
    </row>
    <row r="384" spans="1:34" hidden="1">
      <c r="A384">
        <v>382</v>
      </c>
      <c r="B384">
        <v>331</v>
      </c>
      <c r="C384">
        <v>334</v>
      </c>
      <c r="D384" t="s">
        <v>7</v>
      </c>
      <c r="E384" t="s">
        <v>7</v>
      </c>
      <c r="F384" t="b">
        <f t="shared" si="10"/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f t="shared" si="11"/>
        <v>0</v>
      </c>
    </row>
    <row r="385" spans="1:34" hidden="1">
      <c r="A385">
        <v>383</v>
      </c>
      <c r="B385">
        <v>332</v>
      </c>
      <c r="C385">
        <v>335</v>
      </c>
      <c r="D385" t="s">
        <v>10</v>
      </c>
      <c r="E385" t="s">
        <v>10</v>
      </c>
      <c r="F385" t="b">
        <f t="shared" si="10"/>
        <v>0</v>
      </c>
      <c r="G385" t="s">
        <v>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0.122747047855811</v>
      </c>
      <c r="AH385">
        <f t="shared" si="11"/>
        <v>0</v>
      </c>
    </row>
    <row r="386" spans="1:34">
      <c r="A386">
        <v>384</v>
      </c>
      <c r="B386">
        <v>332</v>
      </c>
      <c r="C386">
        <v>335</v>
      </c>
      <c r="D386" t="s">
        <v>10</v>
      </c>
      <c r="E386" t="s">
        <v>10</v>
      </c>
      <c r="F386" t="b">
        <f t="shared" si="10"/>
        <v>0</v>
      </c>
      <c r="G386" t="s">
        <v>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0.287333333333333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f t="shared" si="11"/>
        <v>1</v>
      </c>
    </row>
    <row r="387" spans="1:34" hidden="1">
      <c r="A387">
        <v>385</v>
      </c>
      <c r="B387">
        <v>333</v>
      </c>
      <c r="C387">
        <v>336</v>
      </c>
      <c r="D387" t="s">
        <v>1</v>
      </c>
      <c r="E387" t="s">
        <v>1</v>
      </c>
      <c r="F387" t="b">
        <f t="shared" ref="F387:F450" si="12">D387=G387</f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f t="shared" ref="AH387:AH450" si="13">COUNTIF(H387:AG387,"&gt;0.25")</f>
        <v>0</v>
      </c>
    </row>
    <row r="388" spans="1:34" hidden="1">
      <c r="A388">
        <v>386</v>
      </c>
      <c r="B388">
        <v>334</v>
      </c>
      <c r="C388">
        <v>337</v>
      </c>
      <c r="D388" t="s">
        <v>44</v>
      </c>
      <c r="E388" t="s">
        <v>8</v>
      </c>
      <c r="F388" t="b">
        <f t="shared" si="12"/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f t="shared" si="13"/>
        <v>0</v>
      </c>
    </row>
    <row r="389" spans="1:34" hidden="1">
      <c r="A389">
        <v>387</v>
      </c>
      <c r="B389">
        <v>335</v>
      </c>
      <c r="C389">
        <v>338</v>
      </c>
      <c r="D389" t="s">
        <v>62</v>
      </c>
      <c r="E389" t="s">
        <v>62</v>
      </c>
      <c r="F389" t="b">
        <f t="shared" si="12"/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f t="shared" si="13"/>
        <v>0</v>
      </c>
    </row>
    <row r="390" spans="1:34">
      <c r="A390">
        <v>388</v>
      </c>
      <c r="B390">
        <v>336</v>
      </c>
      <c r="C390">
        <v>339</v>
      </c>
      <c r="D390" t="s">
        <v>3</v>
      </c>
      <c r="E390" t="s">
        <v>3</v>
      </c>
      <c r="F390" t="b">
        <f t="shared" si="12"/>
        <v>0</v>
      </c>
      <c r="G390" t="s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0.39011379800853402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0.41046831955922802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f t="shared" si="13"/>
        <v>2</v>
      </c>
    </row>
    <row r="391" spans="1:34">
      <c r="A391">
        <v>389</v>
      </c>
      <c r="B391">
        <v>336</v>
      </c>
      <c r="C391">
        <v>339</v>
      </c>
      <c r="D391" t="s">
        <v>3</v>
      </c>
      <c r="E391" t="s">
        <v>3</v>
      </c>
      <c r="F391" t="b">
        <f t="shared" si="12"/>
        <v>0</v>
      </c>
      <c r="G391" t="s">
        <v>5</v>
      </c>
      <c r="H391">
        <v>0</v>
      </c>
      <c r="I391">
        <v>0.99340866290018803</v>
      </c>
      <c r="J391">
        <v>0.262828947368421</v>
      </c>
      <c r="K391">
        <v>0.83301707779886103</v>
      </c>
      <c r="L391">
        <v>0</v>
      </c>
      <c r="M391">
        <v>0</v>
      </c>
      <c r="N391">
        <v>0.59992887624466495</v>
      </c>
      <c r="O391">
        <v>0</v>
      </c>
      <c r="P391">
        <v>0</v>
      </c>
      <c r="Q391">
        <v>0.34625191228964802</v>
      </c>
      <c r="R391">
        <v>0.44656628718325297</v>
      </c>
      <c r="S391">
        <v>0.31674064679771702</v>
      </c>
      <c r="T391">
        <v>0.95381567973310999</v>
      </c>
      <c r="U391">
        <v>0</v>
      </c>
      <c r="V391">
        <v>0</v>
      </c>
      <c r="W391">
        <v>0.99187129551227704</v>
      </c>
      <c r="X391">
        <v>0</v>
      </c>
      <c r="Y391">
        <v>0</v>
      </c>
      <c r="Z391">
        <v>0.99210143421326102</v>
      </c>
      <c r="AA391">
        <v>0.99522786924361695</v>
      </c>
      <c r="AB391">
        <v>0</v>
      </c>
      <c r="AC391">
        <v>0</v>
      </c>
      <c r="AD391">
        <v>0.99677877783041202</v>
      </c>
      <c r="AE391">
        <v>1</v>
      </c>
      <c r="AF391">
        <v>0</v>
      </c>
      <c r="AG391">
        <v>0</v>
      </c>
      <c r="AH391">
        <f t="shared" si="13"/>
        <v>13</v>
      </c>
    </row>
    <row r="392" spans="1:34">
      <c r="A392">
        <v>390</v>
      </c>
      <c r="B392">
        <v>336</v>
      </c>
      <c r="C392">
        <v>339</v>
      </c>
      <c r="D392" t="s">
        <v>3</v>
      </c>
      <c r="E392" t="s">
        <v>3</v>
      </c>
      <c r="F392" t="b">
        <f t="shared" si="12"/>
        <v>0</v>
      </c>
      <c r="G392" t="s">
        <v>9</v>
      </c>
      <c r="H392">
        <v>0</v>
      </c>
      <c r="I392">
        <v>0</v>
      </c>
      <c r="J392">
        <v>0.52796052631578905</v>
      </c>
      <c r="K392">
        <v>0</v>
      </c>
      <c r="L392">
        <v>0.123887748117727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0.39248631300736198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0.99640757674722402</v>
      </c>
      <c r="AH392">
        <f t="shared" si="13"/>
        <v>3</v>
      </c>
    </row>
    <row r="393" spans="1:34" hidden="1">
      <c r="A393">
        <v>391</v>
      </c>
      <c r="B393">
        <v>336</v>
      </c>
      <c r="C393">
        <v>339</v>
      </c>
      <c r="D393" t="s">
        <v>3</v>
      </c>
      <c r="E393" t="s">
        <v>3</v>
      </c>
      <c r="F393" t="b">
        <f t="shared" si="12"/>
        <v>0</v>
      </c>
      <c r="G393" t="s">
        <v>46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0.23121387283236899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f t="shared" si="13"/>
        <v>0</v>
      </c>
    </row>
    <row r="394" spans="1:34">
      <c r="A394">
        <v>392</v>
      </c>
      <c r="B394">
        <v>336</v>
      </c>
      <c r="C394">
        <v>339</v>
      </c>
      <c r="D394" t="s">
        <v>3</v>
      </c>
      <c r="E394" t="s">
        <v>3</v>
      </c>
      <c r="F394" t="b">
        <f t="shared" si="12"/>
        <v>0</v>
      </c>
      <c r="G394" t="s">
        <v>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0.96236559139784905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0.42544191919191898</v>
      </c>
      <c r="AG394">
        <v>0</v>
      </c>
      <c r="AH394">
        <f t="shared" si="13"/>
        <v>2</v>
      </c>
    </row>
    <row r="395" spans="1:34">
      <c r="A395">
        <v>393</v>
      </c>
      <c r="B395">
        <v>336</v>
      </c>
      <c r="C395">
        <v>339</v>
      </c>
      <c r="D395" t="s">
        <v>3</v>
      </c>
      <c r="E395" t="s">
        <v>3</v>
      </c>
      <c r="F395" t="b">
        <f t="shared" si="12"/>
        <v>0</v>
      </c>
      <c r="G395" t="s">
        <v>7</v>
      </c>
      <c r="H395">
        <v>0</v>
      </c>
      <c r="I395">
        <v>0</v>
      </c>
      <c r="J395">
        <v>0.11567982456140299</v>
      </c>
      <c r="K395">
        <v>0.16318785578747599</v>
      </c>
      <c r="L395">
        <v>0.85900068446269595</v>
      </c>
      <c r="M395">
        <v>0</v>
      </c>
      <c r="N395">
        <v>0</v>
      </c>
      <c r="O395">
        <v>0.33381502890173398</v>
      </c>
      <c r="P395">
        <v>0.25361366622864601</v>
      </c>
      <c r="Q395">
        <v>0</v>
      </c>
      <c r="R395">
        <v>0.54608887256702099</v>
      </c>
      <c r="S395">
        <v>0.488110336081166</v>
      </c>
      <c r="T395">
        <v>0</v>
      </c>
      <c r="U395">
        <v>0</v>
      </c>
      <c r="V395">
        <v>0.92842942345924395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0.14652777777777701</v>
      </c>
      <c r="AG395">
        <v>0</v>
      </c>
      <c r="AH395">
        <f t="shared" si="13"/>
        <v>6</v>
      </c>
    </row>
    <row r="396" spans="1:34" hidden="1">
      <c r="A396">
        <v>394</v>
      </c>
      <c r="B396">
        <v>337</v>
      </c>
      <c r="C396">
        <v>340</v>
      </c>
      <c r="D396" t="s">
        <v>3</v>
      </c>
      <c r="E396" t="s">
        <v>3</v>
      </c>
      <c r="F396" t="b">
        <f t="shared" si="12"/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f t="shared" si="13"/>
        <v>0</v>
      </c>
    </row>
    <row r="397" spans="1:34" hidden="1">
      <c r="A397">
        <v>395</v>
      </c>
      <c r="B397">
        <v>338</v>
      </c>
      <c r="C397">
        <v>341</v>
      </c>
      <c r="D397" t="s">
        <v>2</v>
      </c>
      <c r="E397" t="s">
        <v>2</v>
      </c>
      <c r="F397" t="b">
        <f t="shared" si="12"/>
        <v>0</v>
      </c>
      <c r="G397" t="s">
        <v>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0.165924276169265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f t="shared" si="13"/>
        <v>0</v>
      </c>
    </row>
    <row r="398" spans="1:34">
      <c r="A398">
        <v>396</v>
      </c>
      <c r="B398">
        <v>338</v>
      </c>
      <c r="C398">
        <v>341</v>
      </c>
      <c r="D398" t="s">
        <v>2</v>
      </c>
      <c r="E398" t="s">
        <v>2</v>
      </c>
      <c r="F398" t="b">
        <f t="shared" si="12"/>
        <v>0</v>
      </c>
      <c r="G398" t="s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0.38921282798833801</v>
      </c>
      <c r="Q398">
        <v>0.75730713943459504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0.10046452318061699</v>
      </c>
      <c r="AG398">
        <v>0</v>
      </c>
      <c r="AH398">
        <f t="shared" si="13"/>
        <v>2</v>
      </c>
    </row>
    <row r="399" spans="1:34" hidden="1">
      <c r="A399">
        <v>397</v>
      </c>
      <c r="B399">
        <v>338</v>
      </c>
      <c r="C399">
        <v>341</v>
      </c>
      <c r="D399" t="s">
        <v>2</v>
      </c>
      <c r="E399" t="s">
        <v>2</v>
      </c>
      <c r="F399" t="b">
        <f t="shared" si="12"/>
        <v>0</v>
      </c>
      <c r="G399" t="s">
        <v>46</v>
      </c>
      <c r="H399">
        <v>0.108924238339174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f t="shared" si="13"/>
        <v>0</v>
      </c>
    </row>
    <row r="400" spans="1:34" hidden="1">
      <c r="A400">
        <v>398</v>
      </c>
      <c r="B400">
        <v>339</v>
      </c>
      <c r="C400">
        <v>342</v>
      </c>
      <c r="D400" t="s">
        <v>42</v>
      </c>
      <c r="E400" t="s">
        <v>42</v>
      </c>
      <c r="F400" t="b">
        <f t="shared" si="12"/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f t="shared" si="13"/>
        <v>0</v>
      </c>
    </row>
    <row r="401" spans="1:34" hidden="1">
      <c r="A401">
        <v>399</v>
      </c>
      <c r="B401">
        <v>340</v>
      </c>
      <c r="C401">
        <v>343</v>
      </c>
      <c r="D401" t="s">
        <v>8</v>
      </c>
      <c r="E401" t="s">
        <v>8</v>
      </c>
      <c r="F401" t="b">
        <f t="shared" si="12"/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f t="shared" si="13"/>
        <v>0</v>
      </c>
    </row>
    <row r="402" spans="1:34">
      <c r="A402">
        <v>400</v>
      </c>
      <c r="B402">
        <v>341</v>
      </c>
      <c r="C402">
        <v>344</v>
      </c>
      <c r="D402" t="s">
        <v>44</v>
      </c>
      <c r="E402" t="s">
        <v>44</v>
      </c>
      <c r="F402" t="b">
        <f t="shared" si="12"/>
        <v>0</v>
      </c>
      <c r="G402" t="s">
        <v>8</v>
      </c>
      <c r="H402">
        <v>0</v>
      </c>
      <c r="I402">
        <v>0.28942398489140603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f t="shared" si="13"/>
        <v>1</v>
      </c>
    </row>
    <row r="403" spans="1:34">
      <c r="A403">
        <v>401</v>
      </c>
      <c r="B403">
        <v>342</v>
      </c>
      <c r="C403">
        <v>345</v>
      </c>
      <c r="D403" t="s">
        <v>46</v>
      </c>
      <c r="E403" t="s">
        <v>46</v>
      </c>
      <c r="F403" t="b">
        <f t="shared" si="12"/>
        <v>0</v>
      </c>
      <c r="G403" t="s">
        <v>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0.39909751817498101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f t="shared" si="13"/>
        <v>1</v>
      </c>
    </row>
    <row r="404" spans="1:34" hidden="1">
      <c r="A404">
        <v>402</v>
      </c>
      <c r="B404">
        <v>343</v>
      </c>
      <c r="C404">
        <v>346</v>
      </c>
      <c r="D404" t="s">
        <v>47</v>
      </c>
      <c r="E404" t="s">
        <v>1</v>
      </c>
      <c r="F404" t="b">
        <f t="shared" si="12"/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f t="shared" si="13"/>
        <v>0</v>
      </c>
    </row>
    <row r="405" spans="1:34" hidden="1">
      <c r="A405">
        <v>403</v>
      </c>
      <c r="B405">
        <v>344</v>
      </c>
      <c r="C405">
        <v>347</v>
      </c>
      <c r="D405" t="s">
        <v>6</v>
      </c>
      <c r="E405" t="s">
        <v>7</v>
      </c>
      <c r="F405" t="b">
        <f t="shared" si="12"/>
        <v>1</v>
      </c>
      <c r="G405" t="s">
        <v>6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0.31052631578947298</v>
      </c>
      <c r="AF405">
        <v>0</v>
      </c>
      <c r="AG405">
        <v>0</v>
      </c>
      <c r="AH405">
        <f t="shared" si="13"/>
        <v>1</v>
      </c>
    </row>
    <row r="406" spans="1:34" hidden="1">
      <c r="A406">
        <v>404</v>
      </c>
      <c r="B406">
        <v>345</v>
      </c>
      <c r="C406">
        <v>348</v>
      </c>
      <c r="D406" t="s">
        <v>8</v>
      </c>
      <c r="E406" t="s">
        <v>8</v>
      </c>
      <c r="F406" t="b">
        <f t="shared" si="12"/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f t="shared" si="13"/>
        <v>0</v>
      </c>
    </row>
    <row r="407" spans="1:34" hidden="1">
      <c r="A407">
        <v>405</v>
      </c>
      <c r="B407">
        <v>346</v>
      </c>
      <c r="C407">
        <v>349</v>
      </c>
      <c r="D407" t="s">
        <v>42</v>
      </c>
      <c r="E407" t="s">
        <v>42</v>
      </c>
      <c r="F407" t="b">
        <f t="shared" si="12"/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f t="shared" si="13"/>
        <v>0</v>
      </c>
    </row>
    <row r="408" spans="1:34" hidden="1">
      <c r="A408">
        <v>406</v>
      </c>
      <c r="B408">
        <v>347</v>
      </c>
      <c r="C408">
        <v>350</v>
      </c>
      <c r="D408" t="s">
        <v>10</v>
      </c>
      <c r="E408" t="s">
        <v>10</v>
      </c>
      <c r="F408" t="b">
        <f t="shared" si="12"/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f t="shared" si="13"/>
        <v>0</v>
      </c>
    </row>
    <row r="409" spans="1:34" hidden="1">
      <c r="A409">
        <v>407</v>
      </c>
      <c r="B409">
        <v>348</v>
      </c>
      <c r="C409">
        <v>351</v>
      </c>
      <c r="D409" t="s">
        <v>6</v>
      </c>
      <c r="E409" t="s">
        <v>6</v>
      </c>
      <c r="F409" t="b">
        <f t="shared" si="12"/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f t="shared" si="13"/>
        <v>0</v>
      </c>
    </row>
    <row r="410" spans="1:34" hidden="1">
      <c r="A410">
        <v>408</v>
      </c>
      <c r="B410">
        <v>349</v>
      </c>
      <c r="C410">
        <v>352</v>
      </c>
      <c r="D410" t="s">
        <v>44</v>
      </c>
      <c r="E410" t="s">
        <v>44</v>
      </c>
      <c r="F410" t="b">
        <f t="shared" si="12"/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f t="shared" si="13"/>
        <v>0</v>
      </c>
    </row>
    <row r="411" spans="1:34" hidden="1">
      <c r="A411">
        <v>409</v>
      </c>
      <c r="B411">
        <v>350</v>
      </c>
      <c r="C411">
        <v>353</v>
      </c>
      <c r="D411" t="s">
        <v>48</v>
      </c>
      <c r="E411" t="s">
        <v>48</v>
      </c>
      <c r="F411" t="b">
        <f t="shared" si="12"/>
        <v>0</v>
      </c>
      <c r="G411" t="s">
        <v>47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0.13641507791416299</v>
      </c>
      <c r="AG411">
        <v>0</v>
      </c>
      <c r="AH411">
        <f t="shared" si="13"/>
        <v>0</v>
      </c>
    </row>
    <row r="412" spans="1:34" hidden="1">
      <c r="A412">
        <v>410</v>
      </c>
      <c r="B412" t="s">
        <v>102</v>
      </c>
      <c r="C412">
        <v>354</v>
      </c>
      <c r="D412" t="s">
        <v>58</v>
      </c>
      <c r="E412" t="s">
        <v>4</v>
      </c>
      <c r="F412" t="b">
        <f t="shared" si="12"/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f t="shared" si="13"/>
        <v>0</v>
      </c>
    </row>
    <row r="413" spans="1:34">
      <c r="A413">
        <v>411</v>
      </c>
      <c r="B413">
        <v>351</v>
      </c>
      <c r="C413">
        <v>355</v>
      </c>
      <c r="D413" t="s">
        <v>3</v>
      </c>
      <c r="E413" t="s">
        <v>3</v>
      </c>
      <c r="F413" t="b">
        <f t="shared" si="12"/>
        <v>0</v>
      </c>
      <c r="G413" t="s">
        <v>5</v>
      </c>
      <c r="H413">
        <v>0</v>
      </c>
      <c r="I413">
        <v>0.99134419551934805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f t="shared" si="13"/>
        <v>1</v>
      </c>
    </row>
    <row r="414" spans="1:34" hidden="1">
      <c r="A414">
        <v>412</v>
      </c>
      <c r="B414">
        <v>352</v>
      </c>
      <c r="C414">
        <v>356</v>
      </c>
      <c r="D414" t="s">
        <v>3</v>
      </c>
      <c r="E414" t="s">
        <v>3</v>
      </c>
      <c r="F414" t="b">
        <f t="shared" si="12"/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f t="shared" si="13"/>
        <v>0</v>
      </c>
    </row>
    <row r="415" spans="1:34" hidden="1">
      <c r="A415">
        <v>413</v>
      </c>
      <c r="B415">
        <v>353</v>
      </c>
      <c r="C415">
        <v>357</v>
      </c>
      <c r="D415" t="s">
        <v>8</v>
      </c>
      <c r="E415" t="s">
        <v>8</v>
      </c>
      <c r="F415" t="b">
        <f t="shared" si="12"/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f t="shared" si="13"/>
        <v>0</v>
      </c>
    </row>
    <row r="416" spans="1:34" hidden="1">
      <c r="A416">
        <v>414</v>
      </c>
      <c r="B416">
        <v>354</v>
      </c>
      <c r="C416">
        <v>358</v>
      </c>
      <c r="D416" t="s">
        <v>2</v>
      </c>
      <c r="E416" t="s">
        <v>2</v>
      </c>
      <c r="F416" t="b">
        <f t="shared" si="12"/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f t="shared" si="13"/>
        <v>0</v>
      </c>
    </row>
    <row r="417" spans="1:34" hidden="1">
      <c r="A417">
        <v>415</v>
      </c>
      <c r="B417">
        <v>355</v>
      </c>
      <c r="C417">
        <v>359</v>
      </c>
      <c r="D417" t="s">
        <v>46</v>
      </c>
      <c r="E417" t="s">
        <v>46</v>
      </c>
      <c r="F417" t="b">
        <f t="shared" si="12"/>
        <v>1</v>
      </c>
      <c r="G417" t="s">
        <v>46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0.124641833810888</v>
      </c>
      <c r="AG417">
        <v>0</v>
      </c>
      <c r="AH417">
        <f t="shared" si="13"/>
        <v>0</v>
      </c>
    </row>
    <row r="418" spans="1:34" hidden="1">
      <c r="A418">
        <v>416</v>
      </c>
      <c r="B418">
        <v>356</v>
      </c>
      <c r="C418">
        <v>360</v>
      </c>
      <c r="D418" t="s">
        <v>47</v>
      </c>
      <c r="E418" t="s">
        <v>46</v>
      </c>
      <c r="F418" t="b">
        <f t="shared" si="12"/>
        <v>0</v>
      </c>
      <c r="G418" t="s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0.10033167495853999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f t="shared" si="13"/>
        <v>0</v>
      </c>
    </row>
    <row r="419" spans="1:34" hidden="1">
      <c r="A419">
        <v>417</v>
      </c>
      <c r="B419">
        <v>357</v>
      </c>
      <c r="C419">
        <v>361</v>
      </c>
      <c r="D419" t="s">
        <v>48</v>
      </c>
      <c r="E419" t="s">
        <v>48</v>
      </c>
      <c r="F419" t="b">
        <f t="shared" si="12"/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f t="shared" si="13"/>
        <v>0</v>
      </c>
    </row>
    <row r="420" spans="1:34" hidden="1">
      <c r="A420">
        <v>418</v>
      </c>
      <c r="B420">
        <v>358</v>
      </c>
      <c r="C420">
        <v>362</v>
      </c>
      <c r="D420" t="s">
        <v>2</v>
      </c>
      <c r="E420" t="s">
        <v>8</v>
      </c>
      <c r="F420" t="b">
        <f t="shared" si="12"/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f t="shared" si="13"/>
        <v>0</v>
      </c>
    </row>
    <row r="421" spans="1:34" hidden="1">
      <c r="A421">
        <v>419</v>
      </c>
      <c r="B421">
        <v>359</v>
      </c>
      <c r="C421">
        <v>363</v>
      </c>
      <c r="D421" t="s">
        <v>9</v>
      </c>
      <c r="E421" t="s">
        <v>44</v>
      </c>
      <c r="F421" t="b">
        <f t="shared" si="12"/>
        <v>0</v>
      </c>
      <c r="G421" t="s">
        <v>45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0.13370358942713101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f t="shared" si="13"/>
        <v>0</v>
      </c>
    </row>
    <row r="422" spans="1:34" hidden="1">
      <c r="A422">
        <v>420</v>
      </c>
      <c r="B422">
        <v>360</v>
      </c>
      <c r="C422">
        <v>364</v>
      </c>
      <c r="D422" t="s">
        <v>7</v>
      </c>
      <c r="E422" t="s">
        <v>7</v>
      </c>
      <c r="F422" t="b">
        <f t="shared" si="12"/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f t="shared" si="13"/>
        <v>0</v>
      </c>
    </row>
    <row r="423" spans="1:34">
      <c r="A423">
        <v>421</v>
      </c>
      <c r="B423">
        <v>361</v>
      </c>
      <c r="C423">
        <v>365</v>
      </c>
      <c r="D423" t="s">
        <v>7</v>
      </c>
      <c r="E423" t="s">
        <v>7</v>
      </c>
      <c r="F423" t="b">
        <f t="shared" si="12"/>
        <v>0</v>
      </c>
      <c r="G423" t="s">
        <v>45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0.42638623326959801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f t="shared" si="13"/>
        <v>1</v>
      </c>
    </row>
    <row r="424" spans="1:34" hidden="1">
      <c r="A424">
        <v>422</v>
      </c>
      <c r="B424">
        <v>362</v>
      </c>
      <c r="C424">
        <v>366</v>
      </c>
      <c r="D424" t="s">
        <v>4</v>
      </c>
      <c r="E424" t="s">
        <v>4</v>
      </c>
      <c r="F424" t="b">
        <f t="shared" si="12"/>
        <v>0</v>
      </c>
      <c r="G424" t="s">
        <v>10</v>
      </c>
      <c r="H424">
        <v>0</v>
      </c>
      <c r="I424">
        <v>0</v>
      </c>
      <c r="J424">
        <v>0.16418926585725599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f t="shared" si="13"/>
        <v>0</v>
      </c>
    </row>
    <row r="425" spans="1:34" hidden="1">
      <c r="A425">
        <v>423</v>
      </c>
      <c r="B425">
        <v>363</v>
      </c>
      <c r="C425">
        <v>367</v>
      </c>
      <c r="D425" t="s">
        <v>4</v>
      </c>
      <c r="E425" t="s">
        <v>4</v>
      </c>
      <c r="F425" t="b">
        <f t="shared" si="12"/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f t="shared" si="13"/>
        <v>0</v>
      </c>
    </row>
    <row r="426" spans="1:34" hidden="1">
      <c r="A426">
        <v>424</v>
      </c>
      <c r="B426">
        <v>364</v>
      </c>
      <c r="C426">
        <v>368</v>
      </c>
      <c r="D426" t="s">
        <v>5</v>
      </c>
      <c r="E426" t="s">
        <v>5</v>
      </c>
      <c r="F426" t="b">
        <f t="shared" si="12"/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f t="shared" si="13"/>
        <v>0</v>
      </c>
    </row>
    <row r="427" spans="1:34" hidden="1">
      <c r="A427">
        <v>425</v>
      </c>
      <c r="B427">
        <v>365</v>
      </c>
      <c r="C427">
        <v>369</v>
      </c>
      <c r="D427" t="s">
        <v>45</v>
      </c>
      <c r="E427" t="s">
        <v>45</v>
      </c>
      <c r="F427" t="b">
        <f t="shared" si="12"/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f t="shared" si="13"/>
        <v>0</v>
      </c>
    </row>
    <row r="428" spans="1:34" hidden="1">
      <c r="A428">
        <v>426</v>
      </c>
      <c r="B428">
        <v>366</v>
      </c>
      <c r="C428">
        <v>370</v>
      </c>
      <c r="D428" t="s">
        <v>6</v>
      </c>
      <c r="E428" t="s">
        <v>6</v>
      </c>
      <c r="F428" t="b">
        <f t="shared" si="12"/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f t="shared" si="13"/>
        <v>0</v>
      </c>
    </row>
    <row r="429" spans="1:34">
      <c r="A429">
        <v>427</v>
      </c>
      <c r="B429">
        <v>367</v>
      </c>
      <c r="C429">
        <v>371</v>
      </c>
      <c r="D429" t="s">
        <v>46</v>
      </c>
      <c r="E429" t="s">
        <v>46</v>
      </c>
      <c r="F429" t="b">
        <f t="shared" si="12"/>
        <v>0</v>
      </c>
      <c r="G429" t="s">
        <v>47</v>
      </c>
      <c r="H429">
        <v>0</v>
      </c>
      <c r="I429">
        <v>0</v>
      </c>
      <c r="J429">
        <v>0</v>
      </c>
      <c r="K429">
        <v>0</v>
      </c>
      <c r="L429">
        <v>0.37725381414701797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f t="shared" si="13"/>
        <v>1</v>
      </c>
    </row>
    <row r="430" spans="1:34" hidden="1">
      <c r="A430">
        <v>428</v>
      </c>
      <c r="B430">
        <v>368</v>
      </c>
      <c r="C430">
        <v>372</v>
      </c>
      <c r="D430" t="s">
        <v>47</v>
      </c>
      <c r="E430" t="s">
        <v>47</v>
      </c>
      <c r="F430" t="b">
        <f t="shared" si="12"/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f t="shared" si="13"/>
        <v>0</v>
      </c>
    </row>
    <row r="431" spans="1:34" hidden="1">
      <c r="A431">
        <v>429</v>
      </c>
      <c r="B431">
        <v>369</v>
      </c>
      <c r="C431">
        <v>373</v>
      </c>
      <c r="D431" t="s">
        <v>43</v>
      </c>
      <c r="E431" t="s">
        <v>2</v>
      </c>
      <c r="F431" t="b">
        <f t="shared" si="12"/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f t="shared" si="13"/>
        <v>0</v>
      </c>
    </row>
    <row r="432" spans="1:34" hidden="1">
      <c r="A432">
        <v>430</v>
      </c>
      <c r="B432">
        <v>370</v>
      </c>
      <c r="C432">
        <v>374</v>
      </c>
      <c r="D432" t="s">
        <v>9</v>
      </c>
      <c r="E432" t="s">
        <v>9</v>
      </c>
      <c r="F432" t="b">
        <f t="shared" si="12"/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f t="shared" si="13"/>
        <v>0</v>
      </c>
    </row>
    <row r="433" spans="1:34" hidden="1">
      <c r="A433">
        <v>431</v>
      </c>
      <c r="B433">
        <v>371</v>
      </c>
      <c r="C433">
        <v>375</v>
      </c>
      <c r="D433" t="s">
        <v>7</v>
      </c>
      <c r="E433" t="s">
        <v>7</v>
      </c>
      <c r="F433" t="b">
        <f t="shared" si="12"/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f t="shared" si="13"/>
        <v>0</v>
      </c>
    </row>
    <row r="434" spans="1:34" hidden="1">
      <c r="A434">
        <v>432</v>
      </c>
      <c r="B434">
        <v>372</v>
      </c>
      <c r="C434">
        <v>376</v>
      </c>
      <c r="D434" t="s">
        <v>48</v>
      </c>
      <c r="E434" t="s">
        <v>48</v>
      </c>
      <c r="F434" t="b">
        <f t="shared" si="12"/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f t="shared" si="13"/>
        <v>0</v>
      </c>
    </row>
    <row r="435" spans="1:34" hidden="1">
      <c r="A435">
        <v>433</v>
      </c>
      <c r="B435">
        <v>373</v>
      </c>
      <c r="C435">
        <v>377</v>
      </c>
      <c r="D435" t="s">
        <v>3</v>
      </c>
      <c r="E435" t="s">
        <v>3</v>
      </c>
      <c r="F435" t="b">
        <f t="shared" si="12"/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f t="shared" si="13"/>
        <v>0</v>
      </c>
    </row>
    <row r="436" spans="1:34" hidden="1">
      <c r="A436">
        <v>434</v>
      </c>
      <c r="B436">
        <v>374</v>
      </c>
      <c r="C436">
        <v>378</v>
      </c>
      <c r="D436" t="s">
        <v>50</v>
      </c>
      <c r="E436" t="s">
        <v>50</v>
      </c>
      <c r="F436" t="b">
        <f t="shared" si="12"/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f t="shared" si="13"/>
        <v>0</v>
      </c>
    </row>
    <row r="437" spans="1:34" hidden="1">
      <c r="A437">
        <v>435</v>
      </c>
      <c r="B437">
        <v>375</v>
      </c>
      <c r="C437">
        <v>379</v>
      </c>
      <c r="D437" t="s">
        <v>4</v>
      </c>
      <c r="E437" t="s">
        <v>4</v>
      </c>
      <c r="F437" t="b">
        <f t="shared" si="12"/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f t="shared" si="13"/>
        <v>0</v>
      </c>
    </row>
    <row r="438" spans="1:34" hidden="1">
      <c r="A438">
        <v>436</v>
      </c>
      <c r="B438">
        <v>376</v>
      </c>
      <c r="C438">
        <v>380</v>
      </c>
      <c r="D438" t="s">
        <v>4</v>
      </c>
      <c r="E438" t="s">
        <v>4</v>
      </c>
      <c r="F438" t="b">
        <f t="shared" si="12"/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f t="shared" si="13"/>
        <v>0</v>
      </c>
    </row>
    <row r="439" spans="1:34" hidden="1">
      <c r="A439">
        <v>437</v>
      </c>
      <c r="B439">
        <v>377</v>
      </c>
      <c r="C439">
        <v>381</v>
      </c>
      <c r="D439" t="s">
        <v>6</v>
      </c>
      <c r="E439" t="s">
        <v>6</v>
      </c>
      <c r="F439" t="b">
        <f t="shared" si="12"/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f t="shared" si="13"/>
        <v>0</v>
      </c>
    </row>
    <row r="440" spans="1:34" hidden="1">
      <c r="A440">
        <v>438</v>
      </c>
      <c r="B440">
        <v>378</v>
      </c>
      <c r="C440">
        <v>382</v>
      </c>
      <c r="D440" t="s">
        <v>48</v>
      </c>
      <c r="E440" t="s">
        <v>48</v>
      </c>
      <c r="F440" t="b">
        <f t="shared" si="12"/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f t="shared" si="13"/>
        <v>0</v>
      </c>
    </row>
    <row r="441" spans="1:34" hidden="1">
      <c r="A441">
        <v>439</v>
      </c>
      <c r="B441">
        <v>379</v>
      </c>
      <c r="C441">
        <v>383</v>
      </c>
      <c r="D441" t="s">
        <v>48</v>
      </c>
      <c r="E441" t="s">
        <v>48</v>
      </c>
      <c r="F441" t="b">
        <f t="shared" si="12"/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f t="shared" si="13"/>
        <v>0</v>
      </c>
    </row>
    <row r="442" spans="1:34" hidden="1">
      <c r="A442">
        <v>440</v>
      </c>
      <c r="B442">
        <v>380</v>
      </c>
      <c r="C442">
        <v>384</v>
      </c>
      <c r="D442" t="s">
        <v>61</v>
      </c>
      <c r="E442" t="s">
        <v>61</v>
      </c>
      <c r="F442" t="b">
        <f t="shared" si="12"/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f t="shared" si="13"/>
        <v>0</v>
      </c>
    </row>
    <row r="443" spans="1:34" hidden="1">
      <c r="A443">
        <v>441</v>
      </c>
      <c r="B443">
        <v>381</v>
      </c>
      <c r="C443">
        <v>385</v>
      </c>
      <c r="D443" t="s">
        <v>50</v>
      </c>
      <c r="E443" t="s">
        <v>50</v>
      </c>
      <c r="F443" t="b">
        <f t="shared" si="12"/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f t="shared" si="13"/>
        <v>0</v>
      </c>
    </row>
    <row r="444" spans="1:34">
      <c r="A444">
        <v>442</v>
      </c>
      <c r="B444">
        <v>382</v>
      </c>
      <c r="C444">
        <v>386</v>
      </c>
      <c r="D444" t="s">
        <v>3</v>
      </c>
      <c r="E444" t="s">
        <v>3</v>
      </c>
      <c r="F444" t="b">
        <f t="shared" si="12"/>
        <v>0</v>
      </c>
      <c r="G444" t="s">
        <v>5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0.34294252065389302</v>
      </c>
      <c r="R444">
        <v>0</v>
      </c>
      <c r="S444">
        <v>0.34873437023482701</v>
      </c>
      <c r="T444">
        <v>0</v>
      </c>
      <c r="U444">
        <v>0.53558052434456904</v>
      </c>
      <c r="V444">
        <v>0.20362938405164799</v>
      </c>
      <c r="W444">
        <v>0</v>
      </c>
      <c r="X444">
        <v>0</v>
      </c>
      <c r="Y444">
        <v>0.18020872158032</v>
      </c>
      <c r="Z444">
        <v>0.84185864896524698</v>
      </c>
      <c r="AA444">
        <v>0</v>
      </c>
      <c r="AB444">
        <v>0.87458546879710497</v>
      </c>
      <c r="AC444">
        <v>0</v>
      </c>
      <c r="AD444">
        <v>0</v>
      </c>
      <c r="AE444">
        <v>0</v>
      </c>
      <c r="AF444">
        <v>0.59039336911474904</v>
      </c>
      <c r="AG444">
        <v>0.69819472303656804</v>
      </c>
      <c r="AH444">
        <f t="shared" si="13"/>
        <v>7</v>
      </c>
    </row>
    <row r="445" spans="1:34" hidden="1">
      <c r="A445">
        <v>443</v>
      </c>
      <c r="B445">
        <v>383</v>
      </c>
      <c r="C445">
        <v>387</v>
      </c>
      <c r="D445" t="s">
        <v>7</v>
      </c>
      <c r="E445" t="s">
        <v>7</v>
      </c>
      <c r="F445" t="b">
        <f t="shared" si="12"/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f t="shared" si="13"/>
        <v>0</v>
      </c>
    </row>
    <row r="446" spans="1:34">
      <c r="A446">
        <v>444</v>
      </c>
      <c r="B446">
        <v>384</v>
      </c>
      <c r="C446">
        <v>388</v>
      </c>
      <c r="D446" t="s">
        <v>2</v>
      </c>
      <c r="E446" t="s">
        <v>2</v>
      </c>
      <c r="F446" t="b">
        <f t="shared" si="12"/>
        <v>0</v>
      </c>
      <c r="G446" t="s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0.652910052910052</v>
      </c>
      <c r="O446">
        <v>0.467811158798283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f t="shared" si="13"/>
        <v>2</v>
      </c>
    </row>
    <row r="447" spans="1:34" hidden="1">
      <c r="A447">
        <v>445</v>
      </c>
      <c r="B447">
        <v>384</v>
      </c>
      <c r="C447">
        <v>388</v>
      </c>
      <c r="D447" t="s">
        <v>2</v>
      </c>
      <c r="E447" t="s">
        <v>2</v>
      </c>
      <c r="F447" t="b">
        <f t="shared" si="12"/>
        <v>1</v>
      </c>
      <c r="G447" t="s">
        <v>2</v>
      </c>
      <c r="H447">
        <v>0</v>
      </c>
      <c r="I447">
        <v>0.98707515557683001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f t="shared" si="13"/>
        <v>1</v>
      </c>
    </row>
    <row r="448" spans="1:34" hidden="1">
      <c r="A448">
        <v>446</v>
      </c>
      <c r="B448">
        <v>385</v>
      </c>
      <c r="C448">
        <v>389</v>
      </c>
      <c r="D448" t="s">
        <v>44</v>
      </c>
      <c r="E448" t="s">
        <v>44</v>
      </c>
      <c r="F448" t="b">
        <f t="shared" si="12"/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f t="shared" si="13"/>
        <v>0</v>
      </c>
    </row>
    <row r="449" spans="1:34" hidden="1">
      <c r="A449">
        <v>447</v>
      </c>
      <c r="B449">
        <v>386</v>
      </c>
      <c r="C449">
        <v>390</v>
      </c>
      <c r="D449" t="s">
        <v>42</v>
      </c>
      <c r="E449" t="s">
        <v>42</v>
      </c>
      <c r="F449" t="b">
        <f t="shared" si="12"/>
        <v>1</v>
      </c>
      <c r="G449" t="s">
        <v>42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0.90265486725663702</v>
      </c>
      <c r="AF449">
        <v>0.109932233554658</v>
      </c>
      <c r="AG449">
        <v>0</v>
      </c>
      <c r="AH449">
        <f t="shared" si="13"/>
        <v>1</v>
      </c>
    </row>
    <row r="450" spans="1:34" hidden="1">
      <c r="A450">
        <v>448</v>
      </c>
      <c r="B450">
        <v>387</v>
      </c>
      <c r="C450">
        <v>391</v>
      </c>
      <c r="D450" t="s">
        <v>48</v>
      </c>
      <c r="E450" t="s">
        <v>48</v>
      </c>
      <c r="F450" t="b">
        <f t="shared" si="12"/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f t="shared" si="13"/>
        <v>0</v>
      </c>
    </row>
    <row r="451" spans="1:34">
      <c r="A451">
        <v>449</v>
      </c>
      <c r="B451">
        <v>388</v>
      </c>
      <c r="C451">
        <v>392</v>
      </c>
      <c r="D451" t="s">
        <v>3</v>
      </c>
      <c r="E451" t="s">
        <v>3</v>
      </c>
      <c r="F451" t="b">
        <f t="shared" ref="F451:F514" si="14">D451=G451</f>
        <v>0</v>
      </c>
      <c r="G451" t="s">
        <v>7</v>
      </c>
      <c r="H451">
        <v>0.52256905456995195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0.75686407987292903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f t="shared" ref="AH451:AH514" si="15">COUNTIF(H451:AG451,"&gt;0.25")</f>
        <v>2</v>
      </c>
    </row>
    <row r="452" spans="1:34" hidden="1">
      <c r="A452">
        <v>450</v>
      </c>
      <c r="B452">
        <v>389</v>
      </c>
      <c r="C452">
        <v>393</v>
      </c>
      <c r="D452" t="s">
        <v>7</v>
      </c>
      <c r="E452" t="s">
        <v>7</v>
      </c>
      <c r="F452" t="b">
        <f t="shared" si="14"/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f t="shared" si="15"/>
        <v>0</v>
      </c>
    </row>
    <row r="453" spans="1:34" hidden="1">
      <c r="A453">
        <v>451</v>
      </c>
      <c r="B453">
        <v>390</v>
      </c>
      <c r="C453">
        <v>394</v>
      </c>
      <c r="D453" t="s">
        <v>2</v>
      </c>
      <c r="E453" t="s">
        <v>2</v>
      </c>
      <c r="F453" t="b">
        <f t="shared" si="14"/>
        <v>0</v>
      </c>
      <c r="G453" t="s">
        <v>46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0.19611650485436799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f t="shared" si="15"/>
        <v>0</v>
      </c>
    </row>
    <row r="454" spans="1:34">
      <c r="A454">
        <v>452</v>
      </c>
      <c r="B454">
        <v>390</v>
      </c>
      <c r="C454">
        <v>394</v>
      </c>
      <c r="D454" t="s">
        <v>2</v>
      </c>
      <c r="E454" t="s">
        <v>2</v>
      </c>
      <c r="F454" t="b">
        <f t="shared" si="14"/>
        <v>0</v>
      </c>
      <c r="G454" t="s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0.871428571428571</v>
      </c>
      <c r="AD454">
        <v>0</v>
      </c>
      <c r="AE454">
        <v>0</v>
      </c>
      <c r="AF454">
        <v>0</v>
      </c>
      <c r="AG454">
        <v>0</v>
      </c>
      <c r="AH454">
        <f t="shared" si="15"/>
        <v>1</v>
      </c>
    </row>
    <row r="455" spans="1:34" hidden="1">
      <c r="A455">
        <v>453</v>
      </c>
      <c r="B455">
        <v>391</v>
      </c>
      <c r="C455">
        <v>395</v>
      </c>
      <c r="D455" t="s">
        <v>62</v>
      </c>
      <c r="E455" t="s">
        <v>62</v>
      </c>
      <c r="F455" t="b">
        <f t="shared" si="14"/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f t="shared" si="15"/>
        <v>0</v>
      </c>
    </row>
    <row r="456" spans="1:34" hidden="1">
      <c r="A456">
        <v>454</v>
      </c>
      <c r="B456">
        <v>392</v>
      </c>
      <c r="C456">
        <v>396</v>
      </c>
      <c r="D456" t="s">
        <v>3</v>
      </c>
      <c r="E456" t="s">
        <v>48</v>
      </c>
      <c r="F456" t="b">
        <f t="shared" si="14"/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f t="shared" si="15"/>
        <v>0</v>
      </c>
    </row>
    <row r="457" spans="1:34" hidden="1">
      <c r="A457">
        <v>455</v>
      </c>
      <c r="B457">
        <v>393</v>
      </c>
      <c r="C457">
        <v>397</v>
      </c>
      <c r="D457" t="s">
        <v>5</v>
      </c>
      <c r="E457" t="s">
        <v>3</v>
      </c>
      <c r="F457" t="b">
        <f t="shared" si="14"/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f t="shared" si="15"/>
        <v>0</v>
      </c>
    </row>
    <row r="458" spans="1:34" hidden="1">
      <c r="A458">
        <v>456</v>
      </c>
      <c r="B458" t="s">
        <v>103</v>
      </c>
      <c r="C458">
        <v>398</v>
      </c>
      <c r="D458" t="s">
        <v>58</v>
      </c>
      <c r="E458" t="s">
        <v>7</v>
      </c>
      <c r="F458" t="b">
        <f t="shared" si="14"/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f t="shared" si="15"/>
        <v>0</v>
      </c>
    </row>
    <row r="459" spans="1:34" hidden="1">
      <c r="A459">
        <v>457</v>
      </c>
      <c r="B459" t="s">
        <v>104</v>
      </c>
      <c r="C459">
        <v>399</v>
      </c>
      <c r="D459" t="s">
        <v>58</v>
      </c>
      <c r="E459" t="s">
        <v>2</v>
      </c>
      <c r="F459" t="b">
        <f t="shared" si="14"/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f t="shared" si="15"/>
        <v>0</v>
      </c>
    </row>
    <row r="460" spans="1:34" hidden="1">
      <c r="A460">
        <v>458</v>
      </c>
      <c r="B460" t="s">
        <v>105</v>
      </c>
      <c r="C460">
        <v>400</v>
      </c>
      <c r="D460" t="s">
        <v>58</v>
      </c>
      <c r="E460" t="s">
        <v>62</v>
      </c>
      <c r="F460" t="b">
        <f t="shared" si="14"/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f t="shared" si="15"/>
        <v>0</v>
      </c>
    </row>
    <row r="461" spans="1:34" hidden="1">
      <c r="A461">
        <v>459</v>
      </c>
      <c r="B461" t="s">
        <v>106</v>
      </c>
      <c r="C461">
        <v>401</v>
      </c>
      <c r="D461" t="s">
        <v>58</v>
      </c>
      <c r="E461" t="s">
        <v>7</v>
      </c>
      <c r="F461" t="b">
        <f t="shared" si="14"/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f t="shared" si="15"/>
        <v>0</v>
      </c>
    </row>
    <row r="462" spans="1:34" hidden="1">
      <c r="A462">
        <v>460</v>
      </c>
      <c r="B462">
        <v>394</v>
      </c>
      <c r="C462">
        <v>402</v>
      </c>
      <c r="D462" t="s">
        <v>2</v>
      </c>
      <c r="E462" t="s">
        <v>2</v>
      </c>
      <c r="F462" t="b">
        <f t="shared" si="14"/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f t="shared" si="15"/>
        <v>0</v>
      </c>
    </row>
    <row r="463" spans="1:34">
      <c r="A463">
        <v>461</v>
      </c>
      <c r="B463">
        <v>395</v>
      </c>
      <c r="C463">
        <v>403</v>
      </c>
      <c r="D463" t="s">
        <v>6</v>
      </c>
      <c r="E463" t="s">
        <v>6</v>
      </c>
      <c r="F463" t="b">
        <f t="shared" si="14"/>
        <v>0</v>
      </c>
      <c r="G463" t="s">
        <v>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0.37260127931769699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f t="shared" si="15"/>
        <v>1</v>
      </c>
    </row>
    <row r="464" spans="1:34" hidden="1">
      <c r="A464">
        <v>462</v>
      </c>
      <c r="B464">
        <v>396</v>
      </c>
      <c r="C464">
        <v>404</v>
      </c>
      <c r="D464" t="s">
        <v>8</v>
      </c>
      <c r="E464" t="s">
        <v>4</v>
      </c>
      <c r="F464" t="b">
        <f t="shared" si="14"/>
        <v>0</v>
      </c>
      <c r="G464" t="s">
        <v>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0.108716026241799</v>
      </c>
      <c r="AH464">
        <f t="shared" si="15"/>
        <v>0</v>
      </c>
    </row>
    <row r="465" spans="1:34" hidden="1">
      <c r="A465">
        <v>463</v>
      </c>
      <c r="B465">
        <v>397</v>
      </c>
      <c r="C465">
        <v>405</v>
      </c>
      <c r="D465" t="s">
        <v>7</v>
      </c>
      <c r="E465" t="s">
        <v>7</v>
      </c>
      <c r="F465" t="b">
        <f t="shared" si="14"/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f t="shared" si="15"/>
        <v>0</v>
      </c>
    </row>
    <row r="466" spans="1:34" hidden="1">
      <c r="A466">
        <v>464</v>
      </c>
      <c r="B466">
        <v>398</v>
      </c>
      <c r="C466">
        <v>406</v>
      </c>
      <c r="D466" t="s">
        <v>7</v>
      </c>
      <c r="E466" t="s">
        <v>3</v>
      </c>
      <c r="F466" t="b">
        <f t="shared" si="14"/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f t="shared" si="15"/>
        <v>0</v>
      </c>
    </row>
    <row r="467" spans="1:34">
      <c r="A467">
        <v>465</v>
      </c>
      <c r="B467">
        <v>399</v>
      </c>
      <c r="C467">
        <v>407</v>
      </c>
      <c r="D467" t="s">
        <v>4</v>
      </c>
      <c r="E467" t="s">
        <v>3</v>
      </c>
      <c r="F467" t="b">
        <f t="shared" si="14"/>
        <v>0</v>
      </c>
      <c r="G467" t="s">
        <v>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0.414328873543375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f t="shared" si="15"/>
        <v>1</v>
      </c>
    </row>
    <row r="468" spans="1:34">
      <c r="A468">
        <v>466</v>
      </c>
      <c r="B468">
        <v>399</v>
      </c>
      <c r="C468">
        <v>407</v>
      </c>
      <c r="D468" t="s">
        <v>4</v>
      </c>
      <c r="E468" t="s">
        <v>3</v>
      </c>
      <c r="F468" t="b">
        <f t="shared" si="14"/>
        <v>0</v>
      </c>
      <c r="G468" t="s">
        <v>5</v>
      </c>
      <c r="H468">
        <v>0</v>
      </c>
      <c r="I468">
        <v>0</v>
      </c>
      <c r="J468">
        <v>0</v>
      </c>
      <c r="K468">
        <v>0</v>
      </c>
      <c r="L468">
        <v>0.35164051355206799</v>
      </c>
      <c r="M468">
        <v>0</v>
      </c>
      <c r="N468">
        <v>0.33253588516746402</v>
      </c>
      <c r="O468">
        <v>0</v>
      </c>
      <c r="P468">
        <v>0.12604403948367501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0.17650740663467501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f t="shared" si="15"/>
        <v>3</v>
      </c>
    </row>
    <row r="469" spans="1:34" hidden="1">
      <c r="A469">
        <v>467</v>
      </c>
      <c r="B469">
        <v>400</v>
      </c>
      <c r="C469">
        <v>408</v>
      </c>
      <c r="D469" t="s">
        <v>2</v>
      </c>
      <c r="E469" t="s">
        <v>2</v>
      </c>
      <c r="F469" t="b">
        <f t="shared" si="14"/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f t="shared" si="15"/>
        <v>0</v>
      </c>
    </row>
    <row r="470" spans="1:34" hidden="1">
      <c r="A470">
        <v>468</v>
      </c>
      <c r="B470">
        <v>401</v>
      </c>
      <c r="C470">
        <v>409</v>
      </c>
      <c r="D470" t="s">
        <v>6</v>
      </c>
      <c r="E470" t="s">
        <v>6</v>
      </c>
      <c r="F470" t="b">
        <f t="shared" si="14"/>
        <v>0</v>
      </c>
      <c r="G470" t="s">
        <v>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0.101382488479262</v>
      </c>
      <c r="AF470">
        <v>0</v>
      </c>
      <c r="AG470">
        <v>0</v>
      </c>
      <c r="AH470">
        <f t="shared" si="15"/>
        <v>0</v>
      </c>
    </row>
    <row r="471" spans="1:34">
      <c r="A471">
        <v>469</v>
      </c>
      <c r="B471">
        <v>402</v>
      </c>
      <c r="C471">
        <v>410</v>
      </c>
      <c r="D471" t="s">
        <v>4</v>
      </c>
      <c r="E471" t="s">
        <v>4</v>
      </c>
      <c r="F471" t="b">
        <f t="shared" si="14"/>
        <v>0</v>
      </c>
      <c r="G471" t="s">
        <v>6</v>
      </c>
      <c r="H471">
        <v>0</v>
      </c>
      <c r="I471">
        <v>0</v>
      </c>
      <c r="J471">
        <v>0</v>
      </c>
      <c r="K471">
        <v>0</v>
      </c>
      <c r="L471">
        <v>0.44231955582973398</v>
      </c>
      <c r="M471">
        <v>0.96690427698574299</v>
      </c>
      <c r="N471">
        <v>0</v>
      </c>
      <c r="O471">
        <v>0</v>
      </c>
      <c r="P471">
        <v>0.426260112009956</v>
      </c>
      <c r="Q471">
        <v>0</v>
      </c>
      <c r="R471">
        <v>0</v>
      </c>
      <c r="S471">
        <v>0.17934495509772799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0.57692307692307598</v>
      </c>
      <c r="AE471">
        <v>0</v>
      </c>
      <c r="AF471">
        <v>0</v>
      </c>
      <c r="AG471">
        <v>0</v>
      </c>
      <c r="AH471">
        <f t="shared" si="15"/>
        <v>4</v>
      </c>
    </row>
    <row r="472" spans="1:34">
      <c r="A472">
        <v>470</v>
      </c>
      <c r="B472">
        <v>403</v>
      </c>
      <c r="C472">
        <v>411</v>
      </c>
      <c r="D472" t="s">
        <v>3</v>
      </c>
      <c r="E472" t="s">
        <v>7</v>
      </c>
      <c r="F472" t="b">
        <f t="shared" si="14"/>
        <v>0</v>
      </c>
      <c r="G472" t="s">
        <v>5</v>
      </c>
      <c r="H472">
        <v>0.60347783492529905</v>
      </c>
      <c r="I472">
        <v>0.401873137505321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0.99651871192341102</v>
      </c>
      <c r="P472">
        <v>0</v>
      </c>
      <c r="Q472">
        <v>0.64864443751947598</v>
      </c>
      <c r="R472">
        <v>0.43231788079470201</v>
      </c>
      <c r="S472">
        <v>0</v>
      </c>
      <c r="T472">
        <v>0.85147547391049405</v>
      </c>
      <c r="U472">
        <v>0.99270072992700698</v>
      </c>
      <c r="V472">
        <v>0.83362438482298695</v>
      </c>
      <c r="W472">
        <v>0</v>
      </c>
      <c r="X472">
        <v>0.73803071364046902</v>
      </c>
      <c r="Y472">
        <v>0.71119248527304502</v>
      </c>
      <c r="Z472">
        <v>0</v>
      </c>
      <c r="AA472">
        <v>0</v>
      </c>
      <c r="AB472">
        <v>0</v>
      </c>
      <c r="AC472">
        <v>0.95</v>
      </c>
      <c r="AD472">
        <v>0</v>
      </c>
      <c r="AE472">
        <v>0</v>
      </c>
      <c r="AF472">
        <v>0.63458543574409698</v>
      </c>
      <c r="AG472">
        <v>0</v>
      </c>
      <c r="AH472">
        <f t="shared" si="15"/>
        <v>12</v>
      </c>
    </row>
    <row r="473" spans="1:34">
      <c r="A473">
        <v>471</v>
      </c>
      <c r="B473">
        <v>403</v>
      </c>
      <c r="C473">
        <v>411</v>
      </c>
      <c r="D473" t="s">
        <v>3</v>
      </c>
      <c r="E473" t="s">
        <v>7</v>
      </c>
      <c r="F473" t="b">
        <f t="shared" si="14"/>
        <v>0</v>
      </c>
      <c r="G473" t="s">
        <v>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0.10318949343339499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0.52281544430075699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f t="shared" si="15"/>
        <v>1</v>
      </c>
    </row>
    <row r="474" spans="1:34" hidden="1">
      <c r="A474">
        <v>472</v>
      </c>
      <c r="B474">
        <v>403</v>
      </c>
      <c r="C474">
        <v>411</v>
      </c>
      <c r="D474" t="s">
        <v>3</v>
      </c>
      <c r="E474" t="s">
        <v>7</v>
      </c>
      <c r="F474" t="b">
        <f t="shared" si="14"/>
        <v>0</v>
      </c>
      <c r="G474" t="s">
        <v>61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0.24452782989368299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f t="shared" si="15"/>
        <v>0</v>
      </c>
    </row>
    <row r="475" spans="1:34" hidden="1">
      <c r="A475">
        <v>473</v>
      </c>
      <c r="B475">
        <v>404</v>
      </c>
      <c r="C475">
        <v>412</v>
      </c>
      <c r="D475" t="s">
        <v>5</v>
      </c>
      <c r="E475" t="s">
        <v>5</v>
      </c>
      <c r="F475" t="b">
        <f t="shared" si="14"/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f t="shared" si="15"/>
        <v>0</v>
      </c>
    </row>
    <row r="476" spans="1:34">
      <c r="A476">
        <v>474</v>
      </c>
      <c r="B476">
        <v>405</v>
      </c>
      <c r="C476">
        <v>413</v>
      </c>
      <c r="D476" t="s">
        <v>2</v>
      </c>
      <c r="E476" t="s">
        <v>2</v>
      </c>
      <c r="F476" t="b">
        <f t="shared" si="14"/>
        <v>0</v>
      </c>
      <c r="G476" t="s">
        <v>46</v>
      </c>
      <c r="H476">
        <v>0.37355455002513799</v>
      </c>
      <c r="I476">
        <v>0</v>
      </c>
      <c r="J476">
        <v>0.21158469945355099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0.257551848512173</v>
      </c>
      <c r="Y476">
        <v>0</v>
      </c>
      <c r="Z476">
        <v>0</v>
      </c>
      <c r="AA476">
        <v>0</v>
      </c>
      <c r="AB476">
        <v>0.91526685094620397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f t="shared" si="15"/>
        <v>3</v>
      </c>
    </row>
    <row r="477" spans="1:34" hidden="1">
      <c r="A477">
        <v>475</v>
      </c>
      <c r="B477">
        <v>406</v>
      </c>
      <c r="C477">
        <v>414</v>
      </c>
      <c r="D477" t="s">
        <v>46</v>
      </c>
      <c r="E477" t="s">
        <v>46</v>
      </c>
      <c r="F477" t="b">
        <f t="shared" si="14"/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f t="shared" si="15"/>
        <v>0</v>
      </c>
    </row>
    <row r="478" spans="1:34" hidden="1">
      <c r="A478">
        <v>476</v>
      </c>
      <c r="B478">
        <v>407</v>
      </c>
      <c r="C478">
        <v>415</v>
      </c>
      <c r="D478" t="s">
        <v>46</v>
      </c>
      <c r="E478" t="s">
        <v>2</v>
      </c>
      <c r="F478" t="b">
        <f t="shared" si="14"/>
        <v>1</v>
      </c>
      <c r="G478" t="s">
        <v>46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0.10126582278481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f t="shared" si="15"/>
        <v>0</v>
      </c>
    </row>
    <row r="479" spans="1:34" hidden="1">
      <c r="A479">
        <v>477</v>
      </c>
      <c r="B479">
        <v>408</v>
      </c>
      <c r="C479">
        <v>416</v>
      </c>
      <c r="D479" t="s">
        <v>42</v>
      </c>
      <c r="E479" t="s">
        <v>42</v>
      </c>
      <c r="F479" t="b">
        <f t="shared" si="14"/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f t="shared" si="15"/>
        <v>0</v>
      </c>
    </row>
    <row r="480" spans="1:34" hidden="1">
      <c r="A480">
        <v>478</v>
      </c>
      <c r="B480">
        <v>409</v>
      </c>
      <c r="C480">
        <v>417</v>
      </c>
      <c r="D480" t="s">
        <v>45</v>
      </c>
      <c r="E480" t="s">
        <v>45</v>
      </c>
      <c r="F480" t="b">
        <f t="shared" si="14"/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f t="shared" si="15"/>
        <v>0</v>
      </c>
    </row>
    <row r="481" spans="1:34" hidden="1">
      <c r="A481">
        <v>479</v>
      </c>
      <c r="B481">
        <v>410</v>
      </c>
      <c r="C481">
        <v>418</v>
      </c>
      <c r="D481" t="s">
        <v>50</v>
      </c>
      <c r="E481" t="s">
        <v>50</v>
      </c>
      <c r="F481" t="b">
        <f t="shared" si="14"/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f t="shared" si="15"/>
        <v>0</v>
      </c>
    </row>
    <row r="482" spans="1:34" hidden="1">
      <c r="A482">
        <v>480</v>
      </c>
      <c r="B482">
        <v>411</v>
      </c>
      <c r="C482">
        <v>419</v>
      </c>
      <c r="D482" t="s">
        <v>10</v>
      </c>
      <c r="E482" t="s">
        <v>10</v>
      </c>
      <c r="F482" t="b">
        <f t="shared" si="14"/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f t="shared" si="15"/>
        <v>0</v>
      </c>
    </row>
    <row r="483" spans="1:34" hidden="1">
      <c r="A483">
        <v>481</v>
      </c>
      <c r="B483">
        <v>412</v>
      </c>
      <c r="C483">
        <v>420</v>
      </c>
      <c r="D483" t="s">
        <v>46</v>
      </c>
      <c r="E483" t="s">
        <v>46</v>
      </c>
      <c r="F483" t="b">
        <f t="shared" si="14"/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f t="shared" si="15"/>
        <v>0</v>
      </c>
    </row>
    <row r="484" spans="1:34" hidden="1">
      <c r="A484">
        <v>482</v>
      </c>
      <c r="B484">
        <v>413</v>
      </c>
      <c r="C484">
        <v>421</v>
      </c>
      <c r="D484" t="s">
        <v>8</v>
      </c>
      <c r="E484" t="s">
        <v>8</v>
      </c>
      <c r="F484" t="b">
        <f t="shared" si="14"/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f t="shared" si="15"/>
        <v>0</v>
      </c>
    </row>
    <row r="485" spans="1:34" hidden="1">
      <c r="A485">
        <v>483</v>
      </c>
      <c r="B485">
        <v>414</v>
      </c>
      <c r="C485">
        <v>422</v>
      </c>
      <c r="D485" t="s">
        <v>44</v>
      </c>
      <c r="E485" t="s">
        <v>44</v>
      </c>
      <c r="F485" t="b">
        <f t="shared" si="14"/>
        <v>1</v>
      </c>
      <c r="G485" t="s">
        <v>44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0.12475442043222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f t="shared" si="15"/>
        <v>0</v>
      </c>
    </row>
    <row r="486" spans="1:34" hidden="1">
      <c r="A486">
        <v>484</v>
      </c>
      <c r="B486">
        <v>415</v>
      </c>
      <c r="C486">
        <v>423</v>
      </c>
      <c r="D486" t="s">
        <v>46</v>
      </c>
      <c r="E486" t="s">
        <v>46</v>
      </c>
      <c r="F486" t="b">
        <f t="shared" si="14"/>
        <v>0</v>
      </c>
      <c r="G486" t="s">
        <v>48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0.21544300102174799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f t="shared" si="15"/>
        <v>0</v>
      </c>
    </row>
    <row r="487" spans="1:34" hidden="1">
      <c r="A487">
        <v>485</v>
      </c>
      <c r="B487">
        <v>416</v>
      </c>
      <c r="C487">
        <v>424</v>
      </c>
      <c r="D487" t="s">
        <v>46</v>
      </c>
      <c r="E487" t="s">
        <v>46</v>
      </c>
      <c r="F487" t="b">
        <f t="shared" si="14"/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f t="shared" si="15"/>
        <v>0</v>
      </c>
    </row>
    <row r="488" spans="1:34" hidden="1">
      <c r="A488">
        <v>486</v>
      </c>
      <c r="B488">
        <v>417</v>
      </c>
      <c r="C488">
        <v>425</v>
      </c>
      <c r="D488" t="s">
        <v>3</v>
      </c>
      <c r="E488" t="s">
        <v>3</v>
      </c>
      <c r="F488" t="b">
        <f t="shared" si="14"/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f t="shared" si="15"/>
        <v>0</v>
      </c>
    </row>
    <row r="489" spans="1:34" hidden="1">
      <c r="A489">
        <v>487</v>
      </c>
      <c r="B489">
        <v>418</v>
      </c>
      <c r="C489">
        <v>426</v>
      </c>
      <c r="D489" t="s">
        <v>43</v>
      </c>
      <c r="E489" t="s">
        <v>43</v>
      </c>
      <c r="F489" t="b">
        <f t="shared" si="14"/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f t="shared" si="15"/>
        <v>0</v>
      </c>
    </row>
    <row r="490" spans="1:34" hidden="1">
      <c r="A490">
        <v>488</v>
      </c>
      <c r="B490">
        <v>419</v>
      </c>
      <c r="C490">
        <v>427</v>
      </c>
      <c r="D490" t="s">
        <v>62</v>
      </c>
      <c r="E490" t="s">
        <v>62</v>
      </c>
      <c r="F490" t="b">
        <f t="shared" si="14"/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f t="shared" si="15"/>
        <v>0</v>
      </c>
    </row>
    <row r="491" spans="1:34">
      <c r="A491">
        <v>489</v>
      </c>
      <c r="B491">
        <v>420</v>
      </c>
      <c r="C491">
        <v>428</v>
      </c>
      <c r="D491" t="s">
        <v>44</v>
      </c>
      <c r="E491" t="s">
        <v>44</v>
      </c>
      <c r="F491" t="b">
        <f t="shared" si="14"/>
        <v>0</v>
      </c>
      <c r="G491" t="s">
        <v>62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0.99469164715066305</v>
      </c>
      <c r="AH491">
        <f t="shared" si="15"/>
        <v>1</v>
      </c>
    </row>
    <row r="492" spans="1:34" hidden="1">
      <c r="A492">
        <v>490</v>
      </c>
      <c r="B492">
        <v>420</v>
      </c>
      <c r="C492">
        <v>428</v>
      </c>
      <c r="D492" t="s">
        <v>44</v>
      </c>
      <c r="E492" t="s">
        <v>44</v>
      </c>
      <c r="F492" t="b">
        <f t="shared" si="14"/>
        <v>1</v>
      </c>
      <c r="G492" t="s">
        <v>44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0.102081268582755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f t="shared" si="15"/>
        <v>0</v>
      </c>
    </row>
    <row r="493" spans="1:34" hidden="1">
      <c r="A493">
        <v>491</v>
      </c>
      <c r="B493">
        <v>421</v>
      </c>
      <c r="C493">
        <v>429</v>
      </c>
      <c r="D493" t="s">
        <v>6</v>
      </c>
      <c r="E493" t="s">
        <v>8</v>
      </c>
      <c r="F493" t="b">
        <f t="shared" si="14"/>
        <v>0</v>
      </c>
      <c r="G493" t="s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0.20754716981131999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f t="shared" si="15"/>
        <v>0</v>
      </c>
    </row>
    <row r="494" spans="1:34">
      <c r="A494">
        <v>492</v>
      </c>
      <c r="B494">
        <v>421</v>
      </c>
      <c r="C494">
        <v>429</v>
      </c>
      <c r="D494" t="s">
        <v>6</v>
      </c>
      <c r="E494" t="s">
        <v>8</v>
      </c>
      <c r="F494" t="b">
        <f t="shared" si="14"/>
        <v>0</v>
      </c>
      <c r="G494" t="s">
        <v>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0.13793103448275801</v>
      </c>
      <c r="AC494">
        <v>0</v>
      </c>
      <c r="AD494">
        <v>0.99648629655656995</v>
      </c>
      <c r="AE494">
        <v>0</v>
      </c>
      <c r="AF494">
        <v>0.47058429823974202</v>
      </c>
      <c r="AG494">
        <v>0</v>
      </c>
      <c r="AH494">
        <f t="shared" si="15"/>
        <v>2</v>
      </c>
    </row>
    <row r="495" spans="1:34">
      <c r="A495">
        <v>493</v>
      </c>
      <c r="B495">
        <v>421</v>
      </c>
      <c r="C495">
        <v>429</v>
      </c>
      <c r="D495" t="s">
        <v>6</v>
      </c>
      <c r="E495" t="s">
        <v>8</v>
      </c>
      <c r="F495" t="b">
        <f t="shared" si="14"/>
        <v>0</v>
      </c>
      <c r="G495" t="s">
        <v>8</v>
      </c>
      <c r="H495">
        <v>0</v>
      </c>
      <c r="I495">
        <v>0.98864223025296805</v>
      </c>
      <c r="J495">
        <v>0</v>
      </c>
      <c r="K495">
        <v>0</v>
      </c>
      <c r="L495">
        <v>0</v>
      </c>
      <c r="M495">
        <v>0.50083194675540699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0.30031120331950201</v>
      </c>
      <c r="Z495">
        <v>0</v>
      </c>
      <c r="AA495">
        <v>0.116075245831551</v>
      </c>
      <c r="AB495">
        <v>0.60010610079575599</v>
      </c>
      <c r="AC495">
        <v>0</v>
      </c>
      <c r="AD495">
        <v>0</v>
      </c>
      <c r="AE495">
        <v>0.57692307692307598</v>
      </c>
      <c r="AF495">
        <v>0</v>
      </c>
      <c r="AG495">
        <v>0</v>
      </c>
      <c r="AH495">
        <f t="shared" si="15"/>
        <v>5</v>
      </c>
    </row>
    <row r="496" spans="1:34" hidden="1">
      <c r="A496">
        <v>494</v>
      </c>
      <c r="B496">
        <v>422</v>
      </c>
      <c r="C496">
        <v>430</v>
      </c>
      <c r="D496" t="s">
        <v>47</v>
      </c>
      <c r="E496" t="s">
        <v>47</v>
      </c>
      <c r="F496" t="b">
        <f t="shared" si="14"/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f t="shared" si="15"/>
        <v>0</v>
      </c>
    </row>
    <row r="497" spans="1:34" hidden="1">
      <c r="A497">
        <v>495</v>
      </c>
      <c r="B497">
        <v>423</v>
      </c>
      <c r="C497">
        <v>431</v>
      </c>
      <c r="D497" t="s">
        <v>4</v>
      </c>
      <c r="E497" t="s">
        <v>4</v>
      </c>
      <c r="F497" t="b">
        <f t="shared" si="14"/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f t="shared" si="15"/>
        <v>0</v>
      </c>
    </row>
    <row r="498" spans="1:34" hidden="1">
      <c r="A498">
        <v>496</v>
      </c>
      <c r="B498">
        <v>424</v>
      </c>
      <c r="C498">
        <v>432</v>
      </c>
      <c r="D498" t="s">
        <v>8</v>
      </c>
      <c r="E498" t="s">
        <v>8</v>
      </c>
      <c r="F498" t="b">
        <f t="shared" si="14"/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f t="shared" si="15"/>
        <v>0</v>
      </c>
    </row>
    <row r="499" spans="1:34" hidden="1">
      <c r="A499">
        <v>497</v>
      </c>
      <c r="B499">
        <v>425</v>
      </c>
      <c r="C499">
        <v>433</v>
      </c>
      <c r="D499" t="s">
        <v>1</v>
      </c>
      <c r="E499" t="s">
        <v>1</v>
      </c>
      <c r="F499" t="b">
        <f t="shared" si="14"/>
        <v>0</v>
      </c>
      <c r="G499" t="s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0.162073490813648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f t="shared" si="15"/>
        <v>0</v>
      </c>
    </row>
    <row r="500" spans="1:34">
      <c r="A500">
        <v>498</v>
      </c>
      <c r="B500">
        <v>426</v>
      </c>
      <c r="C500">
        <v>434</v>
      </c>
      <c r="D500" t="s">
        <v>43</v>
      </c>
      <c r="E500" t="s">
        <v>43</v>
      </c>
      <c r="F500" t="b">
        <f t="shared" si="14"/>
        <v>0</v>
      </c>
      <c r="G500" t="s">
        <v>10</v>
      </c>
      <c r="H500">
        <v>0</v>
      </c>
      <c r="I500">
        <v>0</v>
      </c>
      <c r="J500">
        <v>0.16652946019052001</v>
      </c>
      <c r="K500">
        <v>0</v>
      </c>
      <c r="L500">
        <v>0</v>
      </c>
      <c r="M500">
        <v>0</v>
      </c>
      <c r="N500">
        <v>0</v>
      </c>
      <c r="O500">
        <v>0.182174338883447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0.26556016597510301</v>
      </c>
      <c r="AF500">
        <v>0</v>
      </c>
      <c r="AG500">
        <v>0</v>
      </c>
      <c r="AH500">
        <f t="shared" si="15"/>
        <v>1</v>
      </c>
    </row>
    <row r="501" spans="1:34" hidden="1">
      <c r="A501">
        <v>499</v>
      </c>
      <c r="B501">
        <v>427</v>
      </c>
      <c r="C501">
        <v>435</v>
      </c>
      <c r="D501" t="s">
        <v>61</v>
      </c>
      <c r="E501" t="s">
        <v>61</v>
      </c>
      <c r="F501" t="b">
        <f t="shared" si="14"/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f t="shared" si="15"/>
        <v>0</v>
      </c>
    </row>
    <row r="502" spans="1:34">
      <c r="A502">
        <v>500</v>
      </c>
      <c r="B502">
        <v>428</v>
      </c>
      <c r="C502">
        <v>436</v>
      </c>
      <c r="D502" t="s">
        <v>1</v>
      </c>
      <c r="E502" t="s">
        <v>1</v>
      </c>
      <c r="F502" t="b">
        <f t="shared" si="14"/>
        <v>0</v>
      </c>
      <c r="G502" t="s">
        <v>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0.62911694510739802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f t="shared" si="15"/>
        <v>1</v>
      </c>
    </row>
    <row r="503" spans="1:34" hidden="1">
      <c r="A503">
        <v>501</v>
      </c>
      <c r="B503">
        <v>429</v>
      </c>
      <c r="C503">
        <v>437</v>
      </c>
      <c r="D503" t="s">
        <v>45</v>
      </c>
      <c r="E503" t="s">
        <v>45</v>
      </c>
      <c r="F503" t="b">
        <f t="shared" si="14"/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f t="shared" si="15"/>
        <v>0</v>
      </c>
    </row>
    <row r="504" spans="1:34" hidden="1">
      <c r="A504">
        <v>502</v>
      </c>
      <c r="B504">
        <v>430</v>
      </c>
      <c r="C504">
        <v>438</v>
      </c>
      <c r="D504" t="s">
        <v>45</v>
      </c>
      <c r="E504" t="s">
        <v>45</v>
      </c>
      <c r="F504" t="b">
        <f t="shared" si="14"/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f t="shared" si="15"/>
        <v>0</v>
      </c>
    </row>
    <row r="505" spans="1:34" hidden="1">
      <c r="A505">
        <v>503</v>
      </c>
      <c r="B505">
        <v>431</v>
      </c>
      <c r="C505">
        <v>439</v>
      </c>
      <c r="D505" t="s">
        <v>46</v>
      </c>
      <c r="E505" t="s">
        <v>46</v>
      </c>
      <c r="F505" t="b">
        <f t="shared" si="14"/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f t="shared" si="15"/>
        <v>0</v>
      </c>
    </row>
    <row r="506" spans="1:34" hidden="1">
      <c r="A506">
        <v>504</v>
      </c>
      <c r="B506">
        <v>432</v>
      </c>
      <c r="C506">
        <v>440</v>
      </c>
      <c r="D506" t="s">
        <v>8</v>
      </c>
      <c r="E506" t="s">
        <v>7</v>
      </c>
      <c r="F506" t="b">
        <f t="shared" si="14"/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f t="shared" si="15"/>
        <v>0</v>
      </c>
    </row>
    <row r="507" spans="1:34" hidden="1">
      <c r="A507">
        <v>505</v>
      </c>
      <c r="B507">
        <v>433</v>
      </c>
      <c r="C507">
        <v>441</v>
      </c>
      <c r="D507" t="s">
        <v>4</v>
      </c>
      <c r="E507" t="s">
        <v>4</v>
      </c>
      <c r="F507" t="b">
        <f t="shared" si="14"/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f t="shared" si="15"/>
        <v>0</v>
      </c>
    </row>
    <row r="508" spans="1:34" hidden="1">
      <c r="A508">
        <v>506</v>
      </c>
      <c r="B508">
        <v>434</v>
      </c>
      <c r="C508">
        <v>442</v>
      </c>
      <c r="D508" t="s">
        <v>44</v>
      </c>
      <c r="E508" t="s">
        <v>44</v>
      </c>
      <c r="F508" t="b">
        <f t="shared" si="14"/>
        <v>1</v>
      </c>
      <c r="G508" t="s">
        <v>44</v>
      </c>
      <c r="H508">
        <v>0</v>
      </c>
      <c r="I508">
        <v>0</v>
      </c>
      <c r="J508">
        <v>0.106174608861817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f t="shared" si="15"/>
        <v>0</v>
      </c>
    </row>
    <row r="509" spans="1:34" hidden="1">
      <c r="A509">
        <v>507</v>
      </c>
      <c r="B509">
        <v>435</v>
      </c>
      <c r="C509">
        <v>443</v>
      </c>
      <c r="D509" t="s">
        <v>46</v>
      </c>
      <c r="E509" t="s">
        <v>46</v>
      </c>
      <c r="F509" t="b">
        <f t="shared" si="14"/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f t="shared" si="15"/>
        <v>0</v>
      </c>
    </row>
    <row r="510" spans="1:34" hidden="1">
      <c r="A510">
        <v>508</v>
      </c>
      <c r="B510">
        <v>436</v>
      </c>
      <c r="C510">
        <v>444</v>
      </c>
      <c r="D510" t="s">
        <v>10</v>
      </c>
      <c r="E510" t="s">
        <v>10</v>
      </c>
      <c r="F510" t="b">
        <f t="shared" si="14"/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f t="shared" si="15"/>
        <v>0</v>
      </c>
    </row>
    <row r="511" spans="1:34" hidden="1">
      <c r="A511">
        <v>509</v>
      </c>
      <c r="B511">
        <v>437</v>
      </c>
      <c r="C511">
        <v>445</v>
      </c>
      <c r="D511" t="s">
        <v>50</v>
      </c>
      <c r="E511" t="s">
        <v>50</v>
      </c>
      <c r="F511" t="b">
        <f t="shared" si="14"/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f t="shared" si="15"/>
        <v>0</v>
      </c>
    </row>
    <row r="512" spans="1:34" hidden="1">
      <c r="A512">
        <v>510</v>
      </c>
      <c r="B512">
        <v>438</v>
      </c>
      <c r="C512">
        <v>446</v>
      </c>
      <c r="D512" t="s">
        <v>7</v>
      </c>
      <c r="E512" t="s">
        <v>7</v>
      </c>
      <c r="F512" t="b">
        <f t="shared" si="14"/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f t="shared" si="15"/>
        <v>0</v>
      </c>
    </row>
    <row r="513" spans="1:34" hidden="1">
      <c r="A513">
        <v>511</v>
      </c>
      <c r="B513">
        <v>439</v>
      </c>
      <c r="C513">
        <v>447</v>
      </c>
      <c r="D513" t="s">
        <v>7</v>
      </c>
      <c r="E513" t="s">
        <v>7</v>
      </c>
      <c r="F513" t="b">
        <f t="shared" si="14"/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f t="shared" si="15"/>
        <v>0</v>
      </c>
    </row>
    <row r="514" spans="1:34" hidden="1">
      <c r="A514">
        <v>512</v>
      </c>
      <c r="B514">
        <v>440</v>
      </c>
      <c r="C514">
        <v>448</v>
      </c>
      <c r="D514" t="s">
        <v>3</v>
      </c>
      <c r="E514" t="s">
        <v>3</v>
      </c>
      <c r="F514" t="b">
        <f t="shared" si="14"/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f t="shared" si="15"/>
        <v>0</v>
      </c>
    </row>
    <row r="515" spans="1:34" hidden="1">
      <c r="A515">
        <v>513</v>
      </c>
      <c r="B515">
        <v>441</v>
      </c>
      <c r="C515">
        <v>449</v>
      </c>
      <c r="D515" t="s">
        <v>46</v>
      </c>
      <c r="E515" t="s">
        <v>46</v>
      </c>
      <c r="F515" t="b">
        <f t="shared" ref="F515:F578" si="16">D515=G515</f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f t="shared" ref="AH515:AH578" si="17">COUNTIF(H515:AG515,"&gt;0.25")</f>
        <v>0</v>
      </c>
    </row>
    <row r="516" spans="1:34" hidden="1">
      <c r="A516">
        <v>514</v>
      </c>
      <c r="B516">
        <v>442</v>
      </c>
      <c r="C516">
        <v>450</v>
      </c>
      <c r="D516" t="s">
        <v>2</v>
      </c>
      <c r="E516" t="s">
        <v>2</v>
      </c>
      <c r="F516" t="b">
        <f t="shared" si="16"/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f t="shared" si="17"/>
        <v>0</v>
      </c>
    </row>
    <row r="517" spans="1:34" hidden="1">
      <c r="A517">
        <v>515</v>
      </c>
      <c r="B517">
        <v>443</v>
      </c>
      <c r="C517">
        <v>451</v>
      </c>
      <c r="D517" t="s">
        <v>4</v>
      </c>
      <c r="E517" t="s">
        <v>4</v>
      </c>
      <c r="F517" t="b">
        <f t="shared" si="16"/>
        <v>1</v>
      </c>
      <c r="G517" t="s">
        <v>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0.20611551528878799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f t="shared" si="17"/>
        <v>0</v>
      </c>
    </row>
    <row r="518" spans="1:34" hidden="1">
      <c r="A518">
        <v>516</v>
      </c>
      <c r="B518">
        <v>444</v>
      </c>
      <c r="C518">
        <v>452</v>
      </c>
      <c r="D518" t="s">
        <v>42</v>
      </c>
      <c r="E518" t="s">
        <v>42</v>
      </c>
      <c r="F518" t="b">
        <f t="shared" si="16"/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f t="shared" si="17"/>
        <v>0</v>
      </c>
    </row>
    <row r="519" spans="1:34" hidden="1">
      <c r="A519">
        <v>517</v>
      </c>
      <c r="B519">
        <v>445</v>
      </c>
      <c r="C519">
        <v>453</v>
      </c>
      <c r="D519" t="s">
        <v>42</v>
      </c>
      <c r="E519" t="s">
        <v>42</v>
      </c>
      <c r="F519" t="b">
        <f t="shared" si="16"/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f t="shared" si="17"/>
        <v>0</v>
      </c>
    </row>
    <row r="520" spans="1:34" hidden="1">
      <c r="A520">
        <v>518</v>
      </c>
      <c r="B520">
        <v>446</v>
      </c>
      <c r="C520">
        <v>454</v>
      </c>
      <c r="D520" t="s">
        <v>42</v>
      </c>
      <c r="E520" t="s">
        <v>42</v>
      </c>
      <c r="F520" t="b">
        <f t="shared" si="16"/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f t="shared" si="17"/>
        <v>0</v>
      </c>
    </row>
    <row r="521" spans="1:34" hidden="1">
      <c r="A521">
        <v>519</v>
      </c>
      <c r="B521">
        <v>447</v>
      </c>
      <c r="C521">
        <v>455</v>
      </c>
      <c r="D521" t="s">
        <v>2</v>
      </c>
      <c r="E521" t="s">
        <v>2</v>
      </c>
      <c r="F521" t="b">
        <f t="shared" si="16"/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f t="shared" si="17"/>
        <v>0</v>
      </c>
    </row>
    <row r="522" spans="1:34" hidden="1">
      <c r="A522">
        <v>520</v>
      </c>
      <c r="B522">
        <v>448</v>
      </c>
      <c r="C522">
        <v>456</v>
      </c>
      <c r="D522" t="s">
        <v>10</v>
      </c>
      <c r="E522" t="s">
        <v>10</v>
      </c>
      <c r="F522" t="b">
        <f t="shared" si="16"/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f t="shared" si="17"/>
        <v>0</v>
      </c>
    </row>
    <row r="523" spans="1:34" hidden="1">
      <c r="A523">
        <v>521</v>
      </c>
      <c r="B523">
        <v>449</v>
      </c>
      <c r="C523">
        <v>457</v>
      </c>
      <c r="D523" t="s">
        <v>5</v>
      </c>
      <c r="E523" t="s">
        <v>5</v>
      </c>
      <c r="F523" t="b">
        <f t="shared" si="16"/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f t="shared" si="17"/>
        <v>0</v>
      </c>
    </row>
    <row r="524" spans="1:34">
      <c r="A524">
        <v>522</v>
      </c>
      <c r="B524">
        <v>450</v>
      </c>
      <c r="C524">
        <v>458</v>
      </c>
      <c r="D524" t="s">
        <v>4</v>
      </c>
      <c r="E524" t="s">
        <v>4</v>
      </c>
      <c r="F524" t="b">
        <f t="shared" si="16"/>
        <v>0</v>
      </c>
      <c r="G524" t="s">
        <v>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0.16856780735107699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f t="shared" si="17"/>
        <v>1</v>
      </c>
    </row>
    <row r="525" spans="1:34">
      <c r="A525">
        <v>523</v>
      </c>
      <c r="B525">
        <v>451</v>
      </c>
      <c r="C525">
        <v>459</v>
      </c>
      <c r="D525" t="s">
        <v>4</v>
      </c>
      <c r="E525" t="s">
        <v>4</v>
      </c>
      <c r="F525" t="b">
        <f t="shared" si="16"/>
        <v>0</v>
      </c>
      <c r="G525" t="s">
        <v>5</v>
      </c>
      <c r="H525">
        <v>0.52802275960170697</v>
      </c>
      <c r="I525">
        <v>0.99041173152848205</v>
      </c>
      <c r="J525">
        <v>0.61930905195500796</v>
      </c>
      <c r="K525">
        <v>0</v>
      </c>
      <c r="L525">
        <v>0</v>
      </c>
      <c r="M525">
        <v>0</v>
      </c>
      <c r="N525">
        <v>0.98703543647363801</v>
      </c>
      <c r="O525">
        <v>0.62770012706480305</v>
      </c>
      <c r="P525">
        <v>0.86363636363636298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0.53254944712661501</v>
      </c>
      <c r="AG525">
        <v>0</v>
      </c>
      <c r="AH525">
        <f t="shared" si="17"/>
        <v>7</v>
      </c>
    </row>
    <row r="526" spans="1:34" hidden="1">
      <c r="A526">
        <v>524</v>
      </c>
      <c r="B526">
        <v>452</v>
      </c>
      <c r="C526">
        <v>460</v>
      </c>
      <c r="D526" t="s">
        <v>8</v>
      </c>
      <c r="E526" t="s">
        <v>3</v>
      </c>
      <c r="F526" t="b">
        <f t="shared" si="16"/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f t="shared" si="17"/>
        <v>0</v>
      </c>
    </row>
    <row r="527" spans="1:34">
      <c r="A527">
        <v>525</v>
      </c>
      <c r="B527">
        <v>453</v>
      </c>
      <c r="C527">
        <v>461</v>
      </c>
      <c r="D527" t="s">
        <v>3</v>
      </c>
      <c r="E527" t="s">
        <v>7</v>
      </c>
      <c r="F527" t="b">
        <f t="shared" si="16"/>
        <v>0</v>
      </c>
      <c r="G527" t="s">
        <v>5</v>
      </c>
      <c r="H527">
        <v>0</v>
      </c>
      <c r="I527">
        <v>0</v>
      </c>
      <c r="J527">
        <v>0</v>
      </c>
      <c r="K527">
        <v>0</v>
      </c>
      <c r="L527">
        <v>0.26331582895723898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0.57920216886134701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0.24793268533294599</v>
      </c>
      <c r="AH527">
        <f t="shared" si="17"/>
        <v>2</v>
      </c>
    </row>
    <row r="528" spans="1:34" hidden="1">
      <c r="A528">
        <v>526</v>
      </c>
      <c r="B528">
        <v>454</v>
      </c>
      <c r="C528">
        <v>462</v>
      </c>
      <c r="D528" t="s">
        <v>6</v>
      </c>
      <c r="E528" t="s">
        <v>3</v>
      </c>
      <c r="F528" t="b">
        <f t="shared" si="16"/>
        <v>1</v>
      </c>
      <c r="G528" t="s">
        <v>6</v>
      </c>
      <c r="H528">
        <v>0</v>
      </c>
      <c r="I528">
        <v>0</v>
      </c>
      <c r="J528">
        <v>0.11291158931812199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f t="shared" si="17"/>
        <v>0</v>
      </c>
    </row>
    <row r="529" spans="1:34" hidden="1">
      <c r="A529">
        <v>527</v>
      </c>
      <c r="B529">
        <v>455</v>
      </c>
      <c r="C529">
        <v>463</v>
      </c>
      <c r="D529" t="s">
        <v>7</v>
      </c>
      <c r="E529" t="s">
        <v>3</v>
      </c>
      <c r="F529" t="b">
        <f t="shared" si="16"/>
        <v>0</v>
      </c>
      <c r="G529" t="s">
        <v>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0.16337285902503201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0.106122448979591</v>
      </c>
      <c r="AF529">
        <v>0</v>
      </c>
      <c r="AG529">
        <v>0</v>
      </c>
      <c r="AH529">
        <f t="shared" si="17"/>
        <v>0</v>
      </c>
    </row>
    <row r="530" spans="1:34">
      <c r="A530">
        <v>528</v>
      </c>
      <c r="B530">
        <v>455</v>
      </c>
      <c r="C530">
        <v>463</v>
      </c>
      <c r="D530" t="s">
        <v>7</v>
      </c>
      <c r="E530" t="s">
        <v>3</v>
      </c>
      <c r="F530" t="b">
        <f t="shared" si="16"/>
        <v>0</v>
      </c>
      <c r="G530" t="s">
        <v>3</v>
      </c>
      <c r="H530">
        <v>0.47470817120622499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0.10237203495630399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0.19999999999999901</v>
      </c>
      <c r="AF530">
        <v>0.27616871991515002</v>
      </c>
      <c r="AG530">
        <v>0</v>
      </c>
      <c r="AH530">
        <f t="shared" si="17"/>
        <v>2</v>
      </c>
    </row>
    <row r="531" spans="1:34">
      <c r="A531">
        <v>529</v>
      </c>
      <c r="B531">
        <v>455</v>
      </c>
      <c r="C531">
        <v>463</v>
      </c>
      <c r="D531" t="s">
        <v>7</v>
      </c>
      <c r="E531" t="s">
        <v>3</v>
      </c>
      <c r="F531" t="b">
        <f t="shared" si="16"/>
        <v>0</v>
      </c>
      <c r="G531" t="s">
        <v>10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0.30116472545757</v>
      </c>
      <c r="O531">
        <v>0</v>
      </c>
      <c r="P531">
        <v>0.19975031210986199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f t="shared" si="17"/>
        <v>1</v>
      </c>
    </row>
    <row r="532" spans="1:34" hidden="1">
      <c r="A532">
        <v>530</v>
      </c>
      <c r="B532">
        <v>456</v>
      </c>
      <c r="C532">
        <v>464</v>
      </c>
      <c r="D532" t="s">
        <v>6</v>
      </c>
      <c r="E532" t="s">
        <v>6</v>
      </c>
      <c r="F532" t="b">
        <f t="shared" si="16"/>
        <v>0</v>
      </c>
      <c r="G532" t="s">
        <v>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0.16063548102382999</v>
      </c>
      <c r="O532">
        <v>0.147018030513176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f t="shared" si="17"/>
        <v>0</v>
      </c>
    </row>
    <row r="533" spans="1:34" hidden="1">
      <c r="A533">
        <v>531</v>
      </c>
      <c r="B533">
        <v>457</v>
      </c>
      <c r="C533">
        <v>465</v>
      </c>
      <c r="D533" t="s">
        <v>46</v>
      </c>
      <c r="E533" t="s">
        <v>7</v>
      </c>
      <c r="F533" t="b">
        <f t="shared" si="16"/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f t="shared" si="17"/>
        <v>0</v>
      </c>
    </row>
    <row r="534" spans="1:34" hidden="1">
      <c r="A534">
        <v>532</v>
      </c>
      <c r="B534">
        <v>458</v>
      </c>
      <c r="C534">
        <v>466</v>
      </c>
      <c r="D534" t="s">
        <v>6</v>
      </c>
      <c r="E534" t="s">
        <v>6</v>
      </c>
      <c r="F534" t="b">
        <f t="shared" si="16"/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f t="shared" si="17"/>
        <v>0</v>
      </c>
    </row>
    <row r="535" spans="1:34" hidden="1">
      <c r="A535">
        <v>533</v>
      </c>
      <c r="B535">
        <v>459</v>
      </c>
      <c r="C535">
        <v>467</v>
      </c>
      <c r="D535" t="s">
        <v>46</v>
      </c>
      <c r="E535" t="s">
        <v>46</v>
      </c>
      <c r="F535" t="b">
        <f t="shared" si="16"/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f t="shared" si="17"/>
        <v>0</v>
      </c>
    </row>
    <row r="536" spans="1:34" hidden="1">
      <c r="A536">
        <v>534</v>
      </c>
      <c r="B536">
        <v>460</v>
      </c>
      <c r="C536">
        <v>468</v>
      </c>
      <c r="D536" t="s">
        <v>48</v>
      </c>
      <c r="E536" t="s">
        <v>48</v>
      </c>
      <c r="F536" t="b">
        <f t="shared" si="16"/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f t="shared" si="17"/>
        <v>0</v>
      </c>
    </row>
    <row r="537" spans="1:34" hidden="1">
      <c r="A537">
        <v>535</v>
      </c>
      <c r="B537">
        <v>461</v>
      </c>
      <c r="C537">
        <v>469</v>
      </c>
      <c r="D537" t="s">
        <v>10</v>
      </c>
      <c r="E537" t="s">
        <v>10</v>
      </c>
      <c r="F537" t="b">
        <f t="shared" si="16"/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f t="shared" si="17"/>
        <v>0</v>
      </c>
    </row>
    <row r="538" spans="1:34" hidden="1">
      <c r="A538">
        <v>536</v>
      </c>
      <c r="B538">
        <v>462</v>
      </c>
      <c r="C538">
        <v>470</v>
      </c>
      <c r="D538" t="s">
        <v>45</v>
      </c>
      <c r="E538" t="s">
        <v>45</v>
      </c>
      <c r="F538" t="b">
        <f t="shared" si="16"/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f t="shared" si="17"/>
        <v>0</v>
      </c>
    </row>
    <row r="539" spans="1:34" hidden="1">
      <c r="A539">
        <v>537</v>
      </c>
      <c r="B539">
        <v>463</v>
      </c>
      <c r="C539">
        <v>471</v>
      </c>
      <c r="D539" t="s">
        <v>4</v>
      </c>
      <c r="E539" t="s">
        <v>4</v>
      </c>
      <c r="F539" t="b">
        <f t="shared" si="16"/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f t="shared" si="17"/>
        <v>0</v>
      </c>
    </row>
    <row r="540" spans="1:34" hidden="1">
      <c r="A540">
        <v>538</v>
      </c>
      <c r="B540">
        <v>464</v>
      </c>
      <c r="C540">
        <v>472</v>
      </c>
      <c r="D540" t="s">
        <v>4</v>
      </c>
      <c r="E540" t="s">
        <v>4</v>
      </c>
      <c r="F540" t="b">
        <f t="shared" si="16"/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f t="shared" si="17"/>
        <v>0</v>
      </c>
    </row>
    <row r="541" spans="1:34" hidden="1">
      <c r="A541">
        <v>539</v>
      </c>
      <c r="B541">
        <v>465</v>
      </c>
      <c r="C541">
        <v>473</v>
      </c>
      <c r="D541" t="s">
        <v>4</v>
      </c>
      <c r="E541" t="s">
        <v>4</v>
      </c>
      <c r="F541" t="b">
        <f t="shared" si="16"/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f t="shared" si="17"/>
        <v>0</v>
      </c>
    </row>
    <row r="542" spans="1:34">
      <c r="A542">
        <v>540</v>
      </c>
      <c r="B542">
        <v>466</v>
      </c>
      <c r="C542">
        <v>474</v>
      </c>
      <c r="D542" t="s">
        <v>5</v>
      </c>
      <c r="E542" t="s">
        <v>5</v>
      </c>
      <c r="F542" t="b">
        <f t="shared" si="16"/>
        <v>0</v>
      </c>
      <c r="G542" t="s">
        <v>3</v>
      </c>
      <c r="H542">
        <v>0.152542372881355</v>
      </c>
      <c r="I542">
        <v>0</v>
      </c>
      <c r="J542">
        <v>0</v>
      </c>
      <c r="K542">
        <v>0</v>
      </c>
      <c r="L542">
        <v>0.56481481481481399</v>
      </c>
      <c r="M542">
        <v>0</v>
      </c>
      <c r="N542">
        <v>0</v>
      </c>
      <c r="O542">
        <v>0.197547683923705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0.58523829607760403</v>
      </c>
      <c r="AG542">
        <v>0</v>
      </c>
      <c r="AH542">
        <f t="shared" si="17"/>
        <v>2</v>
      </c>
    </row>
    <row r="543" spans="1:34" hidden="1">
      <c r="A543">
        <v>541</v>
      </c>
      <c r="B543">
        <v>467</v>
      </c>
      <c r="C543">
        <v>475</v>
      </c>
      <c r="D543" t="s">
        <v>43</v>
      </c>
      <c r="E543" t="s">
        <v>43</v>
      </c>
      <c r="F543" t="b">
        <f t="shared" si="16"/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f t="shared" si="17"/>
        <v>0</v>
      </c>
    </row>
    <row r="544" spans="1:34" hidden="1">
      <c r="A544">
        <v>542</v>
      </c>
      <c r="B544">
        <v>468</v>
      </c>
      <c r="C544">
        <v>476</v>
      </c>
      <c r="D544" t="s">
        <v>10</v>
      </c>
      <c r="E544" t="s">
        <v>10</v>
      </c>
      <c r="F544" t="b">
        <f t="shared" si="16"/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f t="shared" si="17"/>
        <v>0</v>
      </c>
    </row>
    <row r="545" spans="1:34" hidden="1">
      <c r="A545">
        <v>543</v>
      </c>
      <c r="B545">
        <v>469</v>
      </c>
      <c r="C545">
        <v>477</v>
      </c>
      <c r="D545" t="s">
        <v>5</v>
      </c>
      <c r="E545" t="s">
        <v>5</v>
      </c>
      <c r="F545" t="b">
        <f t="shared" si="16"/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f t="shared" si="17"/>
        <v>0</v>
      </c>
    </row>
    <row r="546" spans="1:34" hidden="1">
      <c r="A546">
        <v>544</v>
      </c>
      <c r="B546">
        <v>470</v>
      </c>
      <c r="C546">
        <v>478</v>
      </c>
      <c r="D546" t="s">
        <v>3</v>
      </c>
      <c r="E546" t="s">
        <v>3</v>
      </c>
      <c r="F546" t="b">
        <f t="shared" si="16"/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f t="shared" si="17"/>
        <v>0</v>
      </c>
    </row>
    <row r="547" spans="1:34" hidden="1">
      <c r="A547">
        <v>545</v>
      </c>
      <c r="B547">
        <v>471</v>
      </c>
      <c r="C547">
        <v>479</v>
      </c>
      <c r="D547" t="s">
        <v>62</v>
      </c>
      <c r="E547" t="s">
        <v>62</v>
      </c>
      <c r="F547" t="b">
        <f t="shared" si="16"/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f t="shared" si="17"/>
        <v>0</v>
      </c>
    </row>
    <row r="548" spans="1:34" hidden="1">
      <c r="A548">
        <v>546</v>
      </c>
      <c r="B548">
        <v>472</v>
      </c>
      <c r="C548">
        <v>480</v>
      </c>
      <c r="D548" t="s">
        <v>10</v>
      </c>
      <c r="E548" t="s">
        <v>10</v>
      </c>
      <c r="F548" t="b">
        <f t="shared" si="16"/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f t="shared" si="17"/>
        <v>0</v>
      </c>
    </row>
    <row r="549" spans="1:34" hidden="1">
      <c r="A549">
        <v>547</v>
      </c>
      <c r="B549">
        <v>473</v>
      </c>
      <c r="C549">
        <v>481</v>
      </c>
      <c r="D549" t="s">
        <v>7</v>
      </c>
      <c r="E549" t="s">
        <v>7</v>
      </c>
      <c r="F549" t="b">
        <f t="shared" si="16"/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f t="shared" si="17"/>
        <v>0</v>
      </c>
    </row>
    <row r="550" spans="1:34" hidden="1">
      <c r="A550">
        <v>548</v>
      </c>
      <c r="B550">
        <v>474</v>
      </c>
      <c r="C550">
        <v>482</v>
      </c>
      <c r="D550" t="s">
        <v>6</v>
      </c>
      <c r="E550" t="s">
        <v>6</v>
      </c>
      <c r="F550" t="b">
        <f t="shared" si="16"/>
        <v>0</v>
      </c>
      <c r="G550" t="s">
        <v>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0.14877300613496899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f t="shared" si="17"/>
        <v>0</v>
      </c>
    </row>
    <row r="551" spans="1:34" hidden="1">
      <c r="A551">
        <v>549</v>
      </c>
      <c r="B551">
        <v>475</v>
      </c>
      <c r="C551">
        <v>483</v>
      </c>
      <c r="D551" t="s">
        <v>42</v>
      </c>
      <c r="E551" t="s">
        <v>42</v>
      </c>
      <c r="F551" t="b">
        <f t="shared" si="16"/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f t="shared" si="17"/>
        <v>0</v>
      </c>
    </row>
    <row r="552" spans="1:34" hidden="1">
      <c r="A552">
        <v>550</v>
      </c>
      <c r="B552">
        <v>476</v>
      </c>
      <c r="C552">
        <v>484</v>
      </c>
      <c r="D552" t="s">
        <v>61</v>
      </c>
      <c r="E552" t="s">
        <v>61</v>
      </c>
      <c r="F552" t="b">
        <f t="shared" si="16"/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f t="shared" si="17"/>
        <v>0</v>
      </c>
    </row>
    <row r="553" spans="1:34" hidden="1">
      <c r="A553">
        <v>551</v>
      </c>
      <c r="B553">
        <v>477</v>
      </c>
      <c r="C553">
        <v>485</v>
      </c>
      <c r="D553" t="s">
        <v>8</v>
      </c>
      <c r="E553" t="s">
        <v>8</v>
      </c>
      <c r="F553" t="b">
        <f t="shared" si="16"/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f t="shared" si="17"/>
        <v>0</v>
      </c>
    </row>
    <row r="554" spans="1:34" hidden="1">
      <c r="A554">
        <v>552</v>
      </c>
      <c r="B554">
        <v>478</v>
      </c>
      <c r="C554">
        <v>486</v>
      </c>
      <c r="D554" t="s">
        <v>61</v>
      </c>
      <c r="E554" t="s">
        <v>61</v>
      </c>
      <c r="F554" t="b">
        <f t="shared" si="16"/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f t="shared" si="17"/>
        <v>0</v>
      </c>
    </row>
    <row r="555" spans="1:34" hidden="1">
      <c r="A555">
        <v>553</v>
      </c>
      <c r="B555">
        <v>479</v>
      </c>
      <c r="C555">
        <v>487</v>
      </c>
      <c r="D555" t="s">
        <v>8</v>
      </c>
      <c r="E555" t="s">
        <v>8</v>
      </c>
      <c r="F555" t="b">
        <f t="shared" si="16"/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f t="shared" si="17"/>
        <v>0</v>
      </c>
    </row>
    <row r="556" spans="1:34" hidden="1">
      <c r="A556">
        <v>554</v>
      </c>
      <c r="B556">
        <v>480</v>
      </c>
      <c r="C556">
        <v>488</v>
      </c>
      <c r="D556" t="s">
        <v>47</v>
      </c>
      <c r="E556" t="s">
        <v>47</v>
      </c>
      <c r="F556" t="b">
        <f t="shared" si="16"/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f t="shared" si="17"/>
        <v>0</v>
      </c>
    </row>
    <row r="557" spans="1:34" hidden="1">
      <c r="A557">
        <v>555</v>
      </c>
      <c r="B557">
        <v>481</v>
      </c>
      <c r="C557">
        <v>489</v>
      </c>
      <c r="D557" t="s">
        <v>47</v>
      </c>
      <c r="E557" t="s">
        <v>47</v>
      </c>
      <c r="F557" t="b">
        <f t="shared" si="16"/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f t="shared" si="17"/>
        <v>0</v>
      </c>
    </row>
    <row r="558" spans="1:34" hidden="1">
      <c r="A558">
        <v>556</v>
      </c>
      <c r="B558">
        <v>482</v>
      </c>
      <c r="C558">
        <v>490</v>
      </c>
      <c r="D558" t="s">
        <v>8</v>
      </c>
      <c r="E558" t="s">
        <v>8</v>
      </c>
      <c r="F558" t="b">
        <f t="shared" si="16"/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f t="shared" si="17"/>
        <v>0</v>
      </c>
    </row>
    <row r="559" spans="1:34" hidden="1">
      <c r="A559">
        <v>557</v>
      </c>
      <c r="B559">
        <v>483</v>
      </c>
      <c r="C559">
        <v>491</v>
      </c>
      <c r="D559" t="s">
        <v>46</v>
      </c>
      <c r="E559" t="s">
        <v>46</v>
      </c>
      <c r="F559" t="b">
        <f t="shared" si="16"/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f t="shared" si="17"/>
        <v>0</v>
      </c>
    </row>
    <row r="560" spans="1:34" hidden="1">
      <c r="A560">
        <v>558</v>
      </c>
      <c r="B560">
        <v>484</v>
      </c>
      <c r="C560">
        <v>492</v>
      </c>
      <c r="D560" t="s">
        <v>6</v>
      </c>
      <c r="E560" t="s">
        <v>6</v>
      </c>
      <c r="F560" t="b">
        <f t="shared" si="16"/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f t="shared" si="17"/>
        <v>0</v>
      </c>
    </row>
    <row r="561" spans="1:34" hidden="1">
      <c r="A561">
        <v>559</v>
      </c>
      <c r="B561">
        <v>485</v>
      </c>
      <c r="C561">
        <v>493</v>
      </c>
      <c r="D561" t="s">
        <v>45</v>
      </c>
      <c r="E561" t="s">
        <v>45</v>
      </c>
      <c r="F561" t="b">
        <f t="shared" si="16"/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f t="shared" si="17"/>
        <v>0</v>
      </c>
    </row>
    <row r="562" spans="1:34">
      <c r="A562">
        <v>560</v>
      </c>
      <c r="B562">
        <v>486</v>
      </c>
      <c r="C562">
        <v>494</v>
      </c>
      <c r="D562" t="s">
        <v>42</v>
      </c>
      <c r="E562" t="s">
        <v>42</v>
      </c>
      <c r="F562" t="b">
        <f t="shared" si="16"/>
        <v>0</v>
      </c>
      <c r="G562" t="s">
        <v>46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0.38059701492537301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f t="shared" si="17"/>
        <v>1</v>
      </c>
    </row>
    <row r="563" spans="1:34" hidden="1">
      <c r="A563">
        <v>561</v>
      </c>
      <c r="B563">
        <v>487</v>
      </c>
      <c r="C563">
        <v>495</v>
      </c>
      <c r="D563" t="s">
        <v>4</v>
      </c>
      <c r="E563" t="s">
        <v>4</v>
      </c>
      <c r="F563" t="b">
        <f t="shared" si="16"/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f t="shared" si="17"/>
        <v>0</v>
      </c>
    </row>
    <row r="564" spans="1:34" hidden="1">
      <c r="A564">
        <v>562</v>
      </c>
      <c r="B564">
        <v>488</v>
      </c>
      <c r="C564">
        <v>496</v>
      </c>
      <c r="D564" t="s">
        <v>47</v>
      </c>
      <c r="E564" t="s">
        <v>47</v>
      </c>
      <c r="F564" t="b">
        <f t="shared" si="16"/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f t="shared" si="17"/>
        <v>0</v>
      </c>
    </row>
    <row r="565" spans="1:34" hidden="1">
      <c r="A565">
        <v>563</v>
      </c>
      <c r="B565">
        <v>489</v>
      </c>
      <c r="C565">
        <v>497</v>
      </c>
      <c r="D565" t="s">
        <v>1</v>
      </c>
      <c r="E565" t="s">
        <v>1</v>
      </c>
      <c r="F565" t="b">
        <f t="shared" si="16"/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f t="shared" si="17"/>
        <v>0</v>
      </c>
    </row>
    <row r="566" spans="1:34" hidden="1">
      <c r="A566">
        <v>564</v>
      </c>
      <c r="B566">
        <v>490</v>
      </c>
      <c r="C566">
        <v>498</v>
      </c>
      <c r="D566" t="s">
        <v>45</v>
      </c>
      <c r="E566" t="s">
        <v>45</v>
      </c>
      <c r="F566" t="b">
        <f t="shared" si="16"/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f t="shared" si="17"/>
        <v>0</v>
      </c>
    </row>
    <row r="567" spans="1:34" hidden="1">
      <c r="A567">
        <v>565</v>
      </c>
      <c r="B567">
        <v>491</v>
      </c>
      <c r="C567">
        <v>499</v>
      </c>
      <c r="D567" t="s">
        <v>2</v>
      </c>
      <c r="E567" t="s">
        <v>2</v>
      </c>
      <c r="F567" t="b">
        <f t="shared" si="16"/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f t="shared" si="17"/>
        <v>0</v>
      </c>
    </row>
    <row r="568" spans="1:34" hidden="1">
      <c r="A568">
        <v>566</v>
      </c>
      <c r="B568">
        <v>492</v>
      </c>
      <c r="C568">
        <v>500</v>
      </c>
      <c r="D568" t="s">
        <v>8</v>
      </c>
      <c r="E568" t="s">
        <v>8</v>
      </c>
      <c r="F568" t="b">
        <f t="shared" si="16"/>
        <v>1</v>
      </c>
      <c r="G568" t="s">
        <v>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0.75541389331583297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f t="shared" si="17"/>
        <v>1</v>
      </c>
    </row>
    <row r="569" spans="1:34" hidden="1">
      <c r="A569">
        <v>567</v>
      </c>
      <c r="B569">
        <v>493</v>
      </c>
      <c r="C569">
        <v>501</v>
      </c>
      <c r="D569" t="s">
        <v>1</v>
      </c>
      <c r="E569" t="s">
        <v>1</v>
      </c>
      <c r="F569" t="b">
        <f t="shared" si="16"/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f t="shared" si="17"/>
        <v>0</v>
      </c>
    </row>
    <row r="570" spans="1:34" hidden="1">
      <c r="A570">
        <v>568</v>
      </c>
      <c r="B570">
        <v>494</v>
      </c>
      <c r="C570">
        <v>502</v>
      </c>
      <c r="D570" t="s">
        <v>8</v>
      </c>
      <c r="E570" t="s">
        <v>8</v>
      </c>
      <c r="F570" t="b">
        <f t="shared" si="16"/>
        <v>1</v>
      </c>
      <c r="G570" t="s">
        <v>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0.132530120481927</v>
      </c>
      <c r="AH570">
        <f t="shared" si="17"/>
        <v>0</v>
      </c>
    </row>
    <row r="571" spans="1:34" hidden="1">
      <c r="A571">
        <v>569</v>
      </c>
      <c r="B571">
        <v>495</v>
      </c>
      <c r="C571">
        <v>503</v>
      </c>
      <c r="D571" t="s">
        <v>10</v>
      </c>
      <c r="E571" t="s">
        <v>10</v>
      </c>
      <c r="F571" t="b">
        <f t="shared" si="16"/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f t="shared" si="17"/>
        <v>0</v>
      </c>
    </row>
    <row r="572" spans="1:34" hidden="1">
      <c r="A572">
        <v>570</v>
      </c>
      <c r="B572">
        <v>496</v>
      </c>
      <c r="C572">
        <v>504</v>
      </c>
      <c r="D572" t="s">
        <v>10</v>
      </c>
      <c r="E572" t="s">
        <v>10</v>
      </c>
      <c r="F572" t="b">
        <f t="shared" si="16"/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f t="shared" si="17"/>
        <v>0</v>
      </c>
    </row>
    <row r="573" spans="1:34" hidden="1">
      <c r="A573">
        <v>571</v>
      </c>
      <c r="B573">
        <v>497</v>
      </c>
      <c r="C573">
        <v>505</v>
      </c>
      <c r="D573" t="s">
        <v>47</v>
      </c>
      <c r="E573" t="s">
        <v>47</v>
      </c>
      <c r="F573" t="b">
        <f t="shared" si="16"/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f t="shared" si="17"/>
        <v>0</v>
      </c>
    </row>
    <row r="574" spans="1:34" hidden="1">
      <c r="A574">
        <v>572</v>
      </c>
      <c r="B574">
        <v>498</v>
      </c>
      <c r="C574">
        <v>506</v>
      </c>
      <c r="D574" t="s">
        <v>47</v>
      </c>
      <c r="E574" t="s">
        <v>47</v>
      </c>
      <c r="F574" t="b">
        <f t="shared" si="16"/>
        <v>1</v>
      </c>
      <c r="G574" t="s">
        <v>47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0.75582050319188798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f t="shared" si="17"/>
        <v>1</v>
      </c>
    </row>
    <row r="575" spans="1:34" hidden="1">
      <c r="A575">
        <v>573</v>
      </c>
      <c r="B575">
        <v>499</v>
      </c>
      <c r="C575">
        <v>507</v>
      </c>
      <c r="D575" t="s">
        <v>44</v>
      </c>
      <c r="E575" t="s">
        <v>44</v>
      </c>
      <c r="F575" t="b">
        <f t="shared" si="16"/>
        <v>1</v>
      </c>
      <c r="G575" t="s">
        <v>44</v>
      </c>
      <c r="H575">
        <v>0</v>
      </c>
      <c r="I575">
        <v>0.35135135135135098</v>
      </c>
      <c r="J575">
        <v>0</v>
      </c>
      <c r="K575">
        <v>0</v>
      </c>
      <c r="L575">
        <v>0.17499999999999999</v>
      </c>
      <c r="M575">
        <v>0.12390670553935799</v>
      </c>
      <c r="N575">
        <v>0.36966292134831402</v>
      </c>
      <c r="O575">
        <v>0.17555938037865701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0.99748613037447997</v>
      </c>
      <c r="AE575">
        <v>0</v>
      </c>
      <c r="AF575">
        <v>0.18576224498579599</v>
      </c>
      <c r="AG575">
        <v>0.21357063403781901</v>
      </c>
      <c r="AH575">
        <f t="shared" si="17"/>
        <v>3</v>
      </c>
    </row>
    <row r="576" spans="1:34" hidden="1">
      <c r="A576">
        <v>574</v>
      </c>
      <c r="B576">
        <v>500</v>
      </c>
      <c r="C576">
        <v>508</v>
      </c>
      <c r="D576" t="s">
        <v>10</v>
      </c>
      <c r="E576" t="s">
        <v>10</v>
      </c>
      <c r="F576" t="b">
        <f t="shared" si="16"/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f t="shared" si="17"/>
        <v>0</v>
      </c>
    </row>
    <row r="577" spans="1:34" hidden="1">
      <c r="A577">
        <v>575</v>
      </c>
      <c r="B577">
        <v>501</v>
      </c>
      <c r="C577">
        <v>509</v>
      </c>
      <c r="D577" t="s">
        <v>6</v>
      </c>
      <c r="E577" t="s">
        <v>6</v>
      </c>
      <c r="F577" t="b">
        <f t="shared" si="16"/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f t="shared" si="17"/>
        <v>0</v>
      </c>
    </row>
    <row r="578" spans="1:34" hidden="1">
      <c r="A578">
        <v>576</v>
      </c>
      <c r="B578">
        <v>502</v>
      </c>
      <c r="C578">
        <v>510</v>
      </c>
      <c r="D578" t="s">
        <v>8</v>
      </c>
      <c r="E578" t="s">
        <v>8</v>
      </c>
      <c r="F578" t="b">
        <f t="shared" si="16"/>
        <v>1</v>
      </c>
      <c r="G578" t="s">
        <v>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0.13742690058479501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f t="shared" si="17"/>
        <v>0</v>
      </c>
    </row>
    <row r="579" spans="1:34" hidden="1">
      <c r="A579">
        <v>577</v>
      </c>
      <c r="B579">
        <v>503</v>
      </c>
      <c r="C579">
        <v>511</v>
      </c>
      <c r="D579" t="s">
        <v>10</v>
      </c>
      <c r="E579" t="s">
        <v>10</v>
      </c>
      <c r="F579" t="b">
        <f t="shared" ref="F579:F642" si="18">D579=G579</f>
        <v>0</v>
      </c>
      <c r="G579" t="s">
        <v>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0.117804551539491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f t="shared" ref="AH579:AH642" si="19">COUNTIF(H579:AG579,"&gt;0.25")</f>
        <v>0</v>
      </c>
    </row>
    <row r="580" spans="1:34" hidden="1">
      <c r="A580">
        <v>578</v>
      </c>
      <c r="B580">
        <v>504</v>
      </c>
      <c r="C580">
        <v>512</v>
      </c>
      <c r="D580" t="s">
        <v>1</v>
      </c>
      <c r="E580" t="s">
        <v>1</v>
      </c>
      <c r="F580" t="b">
        <f t="shared" si="18"/>
        <v>0</v>
      </c>
      <c r="G580" t="s">
        <v>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0.15592360489406101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f t="shared" si="19"/>
        <v>0</v>
      </c>
    </row>
    <row r="581" spans="1:34" hidden="1">
      <c r="A581">
        <v>579</v>
      </c>
      <c r="B581">
        <v>505</v>
      </c>
      <c r="C581">
        <v>513</v>
      </c>
      <c r="D581" t="s">
        <v>47</v>
      </c>
      <c r="E581" t="s">
        <v>47</v>
      </c>
      <c r="F581" t="b">
        <f t="shared" si="18"/>
        <v>0</v>
      </c>
      <c r="G581" t="s">
        <v>7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0.10767653091122099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f t="shared" si="19"/>
        <v>0</v>
      </c>
    </row>
    <row r="582" spans="1:34" hidden="1">
      <c r="A582">
        <v>580</v>
      </c>
      <c r="B582">
        <v>505</v>
      </c>
      <c r="C582">
        <v>513</v>
      </c>
      <c r="D582" t="s">
        <v>47</v>
      </c>
      <c r="E582" t="s">
        <v>47</v>
      </c>
      <c r="F582" t="b">
        <f t="shared" si="18"/>
        <v>1</v>
      </c>
      <c r="G582" t="s">
        <v>47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0.128654031480886</v>
      </c>
      <c r="AH582">
        <f t="shared" si="19"/>
        <v>0</v>
      </c>
    </row>
    <row r="583" spans="1:34" hidden="1">
      <c r="A583">
        <v>581</v>
      </c>
      <c r="B583">
        <v>506</v>
      </c>
      <c r="C583">
        <v>514</v>
      </c>
      <c r="D583" t="s">
        <v>4</v>
      </c>
      <c r="E583" t="s">
        <v>4</v>
      </c>
      <c r="F583" t="b">
        <f t="shared" si="18"/>
        <v>1</v>
      </c>
      <c r="G583" t="s">
        <v>4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0.10544764130276001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f t="shared" si="19"/>
        <v>0</v>
      </c>
    </row>
    <row r="584" spans="1:34" hidden="1">
      <c r="A584">
        <v>582</v>
      </c>
      <c r="B584">
        <v>507</v>
      </c>
      <c r="C584">
        <v>515</v>
      </c>
      <c r="D584" t="s">
        <v>46</v>
      </c>
      <c r="E584" t="s">
        <v>46</v>
      </c>
      <c r="F584" t="b">
        <f t="shared" si="18"/>
        <v>0</v>
      </c>
      <c r="G584" t="s">
        <v>3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0.10370697263901101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f t="shared" si="19"/>
        <v>0</v>
      </c>
    </row>
    <row r="585" spans="1:34" hidden="1">
      <c r="A585">
        <v>583</v>
      </c>
      <c r="B585">
        <v>508</v>
      </c>
      <c r="C585">
        <v>516</v>
      </c>
      <c r="D585" t="s">
        <v>4</v>
      </c>
      <c r="E585" t="s">
        <v>4</v>
      </c>
      <c r="F585" t="b">
        <f t="shared" si="18"/>
        <v>1</v>
      </c>
      <c r="G585" t="s">
        <v>4</v>
      </c>
      <c r="H585">
        <v>0</v>
      </c>
      <c r="I585">
        <v>0</v>
      </c>
      <c r="J585">
        <v>0</v>
      </c>
      <c r="K585">
        <v>0.107142857142857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f t="shared" si="19"/>
        <v>0</v>
      </c>
    </row>
    <row r="586" spans="1:34" hidden="1">
      <c r="A586">
        <v>584</v>
      </c>
      <c r="B586">
        <v>508</v>
      </c>
      <c r="C586">
        <v>516</v>
      </c>
      <c r="D586" t="s">
        <v>4</v>
      </c>
      <c r="E586" t="s">
        <v>4</v>
      </c>
      <c r="F586" t="b">
        <f t="shared" si="18"/>
        <v>0</v>
      </c>
      <c r="G586" t="s">
        <v>10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0.104656385686479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f t="shared" si="19"/>
        <v>0</v>
      </c>
    </row>
    <row r="587" spans="1:34" hidden="1">
      <c r="A587">
        <v>585</v>
      </c>
      <c r="B587">
        <v>509</v>
      </c>
      <c r="C587">
        <v>517</v>
      </c>
      <c r="D587" t="s">
        <v>1</v>
      </c>
      <c r="E587" t="s">
        <v>1</v>
      </c>
      <c r="F587" t="b">
        <f t="shared" si="18"/>
        <v>0</v>
      </c>
      <c r="G587" t="s">
        <v>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0.102723146747352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f t="shared" si="19"/>
        <v>0</v>
      </c>
    </row>
    <row r="588" spans="1:34" hidden="1">
      <c r="A588">
        <v>586</v>
      </c>
      <c r="B588">
        <v>510</v>
      </c>
      <c r="C588">
        <v>518</v>
      </c>
      <c r="D588" t="s">
        <v>42</v>
      </c>
      <c r="E588" t="s">
        <v>42</v>
      </c>
      <c r="F588" t="b">
        <f t="shared" si="18"/>
        <v>0</v>
      </c>
      <c r="G588" t="s">
        <v>48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0.10158251695553799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f t="shared" si="19"/>
        <v>0</v>
      </c>
    </row>
    <row r="589" spans="1:34" hidden="1">
      <c r="A589">
        <v>587</v>
      </c>
      <c r="B589">
        <v>510</v>
      </c>
      <c r="C589">
        <v>518</v>
      </c>
      <c r="D589" t="s">
        <v>42</v>
      </c>
      <c r="E589" t="s">
        <v>42</v>
      </c>
      <c r="F589" t="b">
        <f t="shared" si="18"/>
        <v>1</v>
      </c>
      <c r="G589" t="s">
        <v>42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0.209475904591919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f t="shared" si="19"/>
        <v>0</v>
      </c>
    </row>
    <row r="590" spans="1:34" hidden="1">
      <c r="A590">
        <v>588</v>
      </c>
      <c r="B590">
        <v>511</v>
      </c>
      <c r="C590">
        <v>519</v>
      </c>
      <c r="D590" t="s">
        <v>48</v>
      </c>
      <c r="E590" t="s">
        <v>48</v>
      </c>
      <c r="F590" t="b">
        <f t="shared" si="18"/>
        <v>0</v>
      </c>
      <c r="G590" t="s">
        <v>47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0.101636390932292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f t="shared" si="19"/>
        <v>0</v>
      </c>
    </row>
    <row r="591" spans="1:34" hidden="1">
      <c r="A591">
        <v>589</v>
      </c>
      <c r="B591">
        <v>512</v>
      </c>
      <c r="C591">
        <v>520</v>
      </c>
      <c r="D591" t="s">
        <v>42</v>
      </c>
      <c r="E591" t="s">
        <v>42</v>
      </c>
      <c r="F591" t="b">
        <f t="shared" si="18"/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f t="shared" si="19"/>
        <v>0</v>
      </c>
    </row>
    <row r="592" spans="1:34" hidden="1">
      <c r="A592">
        <v>590</v>
      </c>
      <c r="B592">
        <v>513</v>
      </c>
      <c r="C592">
        <v>521</v>
      </c>
      <c r="D592" t="s">
        <v>4</v>
      </c>
      <c r="E592" t="s">
        <v>4</v>
      </c>
      <c r="F592" t="b">
        <f t="shared" si="18"/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f t="shared" si="19"/>
        <v>0</v>
      </c>
    </row>
    <row r="593" spans="1:34" hidden="1">
      <c r="A593">
        <v>591</v>
      </c>
      <c r="B593">
        <v>514</v>
      </c>
      <c r="C593">
        <v>522</v>
      </c>
      <c r="D593" t="s">
        <v>48</v>
      </c>
      <c r="E593" t="s">
        <v>48</v>
      </c>
      <c r="F593" t="b">
        <f t="shared" si="18"/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f t="shared" si="19"/>
        <v>0</v>
      </c>
    </row>
    <row r="594" spans="1:34" hidden="1">
      <c r="A594">
        <v>592</v>
      </c>
      <c r="B594">
        <v>515</v>
      </c>
      <c r="C594">
        <v>523</v>
      </c>
      <c r="D594" t="s">
        <v>42</v>
      </c>
      <c r="E594" t="s">
        <v>42</v>
      </c>
      <c r="F594" t="b">
        <f t="shared" si="18"/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f t="shared" si="19"/>
        <v>0</v>
      </c>
    </row>
    <row r="595" spans="1:34" hidden="1">
      <c r="A595">
        <v>593</v>
      </c>
      <c r="B595">
        <v>516</v>
      </c>
      <c r="C595">
        <v>524</v>
      </c>
      <c r="D595" t="s">
        <v>4</v>
      </c>
      <c r="E595" t="s">
        <v>4</v>
      </c>
      <c r="F595" t="b">
        <f t="shared" si="18"/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f t="shared" si="19"/>
        <v>0</v>
      </c>
    </row>
    <row r="596" spans="1:34" hidden="1">
      <c r="A596">
        <v>594</v>
      </c>
      <c r="B596">
        <v>517</v>
      </c>
      <c r="C596">
        <v>525</v>
      </c>
      <c r="D596" t="s">
        <v>1</v>
      </c>
      <c r="E596" t="s">
        <v>1</v>
      </c>
      <c r="F596" t="b">
        <f t="shared" si="18"/>
        <v>0</v>
      </c>
      <c r="G596" t="s">
        <v>7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0.13235077376565901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f t="shared" si="19"/>
        <v>0</v>
      </c>
    </row>
    <row r="597" spans="1:34" hidden="1">
      <c r="A597">
        <v>595</v>
      </c>
      <c r="B597">
        <v>518</v>
      </c>
      <c r="C597">
        <v>526</v>
      </c>
      <c r="D597" t="s">
        <v>1</v>
      </c>
      <c r="E597" t="s">
        <v>1</v>
      </c>
      <c r="F597" t="b">
        <f t="shared" si="18"/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f t="shared" si="19"/>
        <v>0</v>
      </c>
    </row>
    <row r="598" spans="1:34" hidden="1">
      <c r="A598">
        <v>596</v>
      </c>
      <c r="B598">
        <v>519</v>
      </c>
      <c r="C598">
        <v>527</v>
      </c>
      <c r="D598" t="s">
        <v>4</v>
      </c>
      <c r="E598" t="s">
        <v>4</v>
      </c>
      <c r="F598" t="b">
        <f t="shared" si="18"/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f t="shared" si="19"/>
        <v>0</v>
      </c>
    </row>
    <row r="599" spans="1:34" hidden="1">
      <c r="A599">
        <v>597</v>
      </c>
      <c r="B599">
        <v>520</v>
      </c>
      <c r="C599">
        <v>528</v>
      </c>
      <c r="D599" t="s">
        <v>7</v>
      </c>
      <c r="E599" t="s">
        <v>7</v>
      </c>
      <c r="F599" t="b">
        <f t="shared" si="18"/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f t="shared" si="19"/>
        <v>0</v>
      </c>
    </row>
    <row r="600" spans="1:34" hidden="1">
      <c r="A600">
        <v>598</v>
      </c>
      <c r="B600">
        <v>521</v>
      </c>
      <c r="C600">
        <v>529</v>
      </c>
      <c r="D600" t="s">
        <v>2</v>
      </c>
      <c r="E600" t="s">
        <v>2</v>
      </c>
      <c r="F600" t="b">
        <f t="shared" si="18"/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f t="shared" si="19"/>
        <v>0</v>
      </c>
    </row>
    <row r="601" spans="1:34" hidden="1">
      <c r="A601">
        <v>599</v>
      </c>
      <c r="B601">
        <v>522</v>
      </c>
      <c r="C601">
        <v>530</v>
      </c>
      <c r="D601" t="s">
        <v>43</v>
      </c>
      <c r="E601" t="s">
        <v>43</v>
      </c>
      <c r="F601" t="b">
        <f t="shared" si="18"/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f t="shared" si="19"/>
        <v>0</v>
      </c>
    </row>
    <row r="602" spans="1:34" hidden="1">
      <c r="A602">
        <v>600</v>
      </c>
      <c r="B602">
        <v>523</v>
      </c>
      <c r="C602">
        <v>531</v>
      </c>
      <c r="D602" t="s">
        <v>4</v>
      </c>
      <c r="E602" t="s">
        <v>4</v>
      </c>
      <c r="F602" t="b">
        <f t="shared" si="18"/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f t="shared" si="19"/>
        <v>0</v>
      </c>
    </row>
    <row r="603" spans="1:34" hidden="1">
      <c r="A603">
        <v>601</v>
      </c>
      <c r="B603">
        <v>524</v>
      </c>
      <c r="C603">
        <v>532</v>
      </c>
      <c r="D603" t="s">
        <v>1</v>
      </c>
      <c r="E603" t="s">
        <v>1</v>
      </c>
      <c r="F603" t="b">
        <f t="shared" si="18"/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f t="shared" si="19"/>
        <v>0</v>
      </c>
    </row>
    <row r="604" spans="1:34" hidden="1">
      <c r="A604">
        <v>602</v>
      </c>
      <c r="B604">
        <v>525</v>
      </c>
      <c r="C604">
        <v>533</v>
      </c>
      <c r="D604" t="s">
        <v>1</v>
      </c>
      <c r="E604" t="s">
        <v>1</v>
      </c>
      <c r="F604" t="b">
        <f t="shared" si="18"/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f t="shared" si="19"/>
        <v>0</v>
      </c>
    </row>
    <row r="605" spans="1:34">
      <c r="A605">
        <v>603</v>
      </c>
      <c r="B605">
        <v>526</v>
      </c>
      <c r="C605">
        <v>534</v>
      </c>
      <c r="D605" t="s">
        <v>7</v>
      </c>
      <c r="E605" t="s">
        <v>7</v>
      </c>
      <c r="F605" t="b">
        <f t="shared" si="18"/>
        <v>0</v>
      </c>
      <c r="G605" t="s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0.39457013574660599</v>
      </c>
      <c r="V605">
        <v>0</v>
      </c>
      <c r="W605">
        <v>0.98607759420827901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f t="shared" si="19"/>
        <v>2</v>
      </c>
    </row>
    <row r="606" spans="1:34" hidden="1">
      <c r="A606">
        <v>604</v>
      </c>
      <c r="B606">
        <v>527</v>
      </c>
      <c r="C606">
        <v>535</v>
      </c>
      <c r="D606" t="s">
        <v>43</v>
      </c>
      <c r="E606" t="s">
        <v>43</v>
      </c>
      <c r="F606" t="b">
        <f t="shared" si="18"/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f t="shared" si="19"/>
        <v>0</v>
      </c>
    </row>
    <row r="607" spans="1:34" hidden="1">
      <c r="A607">
        <v>605</v>
      </c>
      <c r="B607">
        <v>528</v>
      </c>
      <c r="C607">
        <v>536</v>
      </c>
      <c r="D607" t="s">
        <v>2</v>
      </c>
      <c r="E607" t="s">
        <v>2</v>
      </c>
      <c r="F607" t="b">
        <f t="shared" si="18"/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f t="shared" si="19"/>
        <v>0</v>
      </c>
    </row>
    <row r="608" spans="1:34" hidden="1">
      <c r="A608">
        <v>606</v>
      </c>
      <c r="B608">
        <v>529</v>
      </c>
      <c r="C608">
        <v>537</v>
      </c>
      <c r="D608" t="s">
        <v>42</v>
      </c>
      <c r="E608" t="s">
        <v>42</v>
      </c>
      <c r="F608" t="b">
        <f t="shared" si="18"/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f t="shared" si="19"/>
        <v>0</v>
      </c>
    </row>
    <row r="609" spans="1:34" hidden="1">
      <c r="A609">
        <v>607</v>
      </c>
      <c r="B609">
        <v>530</v>
      </c>
      <c r="C609">
        <v>538</v>
      </c>
      <c r="D609" t="s">
        <v>2</v>
      </c>
      <c r="E609" t="s">
        <v>2</v>
      </c>
      <c r="F609" t="b">
        <f t="shared" si="18"/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f t="shared" si="19"/>
        <v>0</v>
      </c>
    </row>
    <row r="610" spans="1:34">
      <c r="A610">
        <v>608</v>
      </c>
      <c r="B610">
        <v>531</v>
      </c>
      <c r="C610">
        <v>539</v>
      </c>
      <c r="D610" t="s">
        <v>47</v>
      </c>
      <c r="E610" t="s">
        <v>47</v>
      </c>
      <c r="F610" t="b">
        <f t="shared" si="18"/>
        <v>0</v>
      </c>
      <c r="G610" t="s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0.34576023391812799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f t="shared" si="19"/>
        <v>1</v>
      </c>
    </row>
    <row r="611" spans="1:34" hidden="1">
      <c r="A611">
        <v>609</v>
      </c>
      <c r="B611">
        <v>532</v>
      </c>
      <c r="C611">
        <v>540</v>
      </c>
      <c r="D611" t="s">
        <v>44</v>
      </c>
      <c r="E611" t="s">
        <v>44</v>
      </c>
      <c r="F611" t="b">
        <f t="shared" si="18"/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f t="shared" si="19"/>
        <v>0</v>
      </c>
    </row>
    <row r="612" spans="1:34" hidden="1">
      <c r="A612">
        <v>610</v>
      </c>
      <c r="B612">
        <v>533</v>
      </c>
      <c r="C612">
        <v>541</v>
      </c>
      <c r="D612" t="s">
        <v>1</v>
      </c>
      <c r="E612" t="s">
        <v>1</v>
      </c>
      <c r="F612" t="b">
        <f t="shared" si="18"/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f t="shared" si="19"/>
        <v>0</v>
      </c>
    </row>
    <row r="613" spans="1:34" hidden="1">
      <c r="A613">
        <v>611</v>
      </c>
      <c r="B613">
        <v>534</v>
      </c>
      <c r="C613">
        <v>542</v>
      </c>
      <c r="D613" t="s">
        <v>10</v>
      </c>
      <c r="E613" t="s">
        <v>10</v>
      </c>
      <c r="F613" t="b">
        <f t="shared" si="18"/>
        <v>0</v>
      </c>
      <c r="G613" t="s">
        <v>8</v>
      </c>
      <c r="H613">
        <v>0</v>
      </c>
      <c r="I613">
        <v>0</v>
      </c>
      <c r="J613">
        <v>0.14684845775592301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f t="shared" si="19"/>
        <v>0</v>
      </c>
    </row>
    <row r="614" spans="1:34" hidden="1">
      <c r="A614">
        <v>612</v>
      </c>
      <c r="B614">
        <v>535</v>
      </c>
      <c r="C614">
        <v>543</v>
      </c>
      <c r="D614" t="s">
        <v>44</v>
      </c>
      <c r="E614" t="s">
        <v>44</v>
      </c>
      <c r="F614" t="b">
        <f t="shared" si="18"/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f t="shared" si="19"/>
        <v>0</v>
      </c>
    </row>
    <row r="615" spans="1:34" hidden="1">
      <c r="A615">
        <v>613</v>
      </c>
      <c r="B615">
        <v>536</v>
      </c>
      <c r="C615">
        <v>544</v>
      </c>
      <c r="D615" t="s">
        <v>42</v>
      </c>
      <c r="E615" t="s">
        <v>42</v>
      </c>
      <c r="F615" t="b">
        <f t="shared" si="18"/>
        <v>1</v>
      </c>
      <c r="G615" t="s">
        <v>42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0.166786780603315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f t="shared" si="19"/>
        <v>0</v>
      </c>
    </row>
    <row r="616" spans="1:34" hidden="1">
      <c r="A616">
        <v>614</v>
      </c>
      <c r="B616">
        <v>537</v>
      </c>
      <c r="C616">
        <v>545</v>
      </c>
      <c r="D616" t="s">
        <v>42</v>
      </c>
      <c r="E616" t="s">
        <v>42</v>
      </c>
      <c r="F616" t="b">
        <f t="shared" si="18"/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f t="shared" si="19"/>
        <v>0</v>
      </c>
    </row>
    <row r="617" spans="1:34" hidden="1">
      <c r="A617">
        <v>615</v>
      </c>
      <c r="B617">
        <v>538</v>
      </c>
      <c r="C617">
        <v>546</v>
      </c>
      <c r="D617" t="s">
        <v>7</v>
      </c>
      <c r="E617" t="s">
        <v>7</v>
      </c>
      <c r="F617" t="b">
        <f t="shared" si="18"/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f t="shared" si="19"/>
        <v>0</v>
      </c>
    </row>
    <row r="618" spans="1:34" hidden="1">
      <c r="A618">
        <v>616</v>
      </c>
      <c r="B618">
        <v>539</v>
      </c>
      <c r="C618">
        <v>547</v>
      </c>
      <c r="D618" t="s">
        <v>4</v>
      </c>
      <c r="E618" t="s">
        <v>4</v>
      </c>
      <c r="F618" t="b">
        <f t="shared" si="18"/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f t="shared" si="19"/>
        <v>0</v>
      </c>
    </row>
    <row r="619" spans="1:34">
      <c r="A619">
        <v>617</v>
      </c>
      <c r="B619">
        <v>540</v>
      </c>
      <c r="C619">
        <v>548</v>
      </c>
      <c r="D619" t="s">
        <v>46</v>
      </c>
      <c r="E619" t="s">
        <v>46</v>
      </c>
      <c r="F619" t="b">
        <f t="shared" si="18"/>
        <v>0</v>
      </c>
      <c r="G619" t="s">
        <v>47</v>
      </c>
      <c r="H619">
        <v>0</v>
      </c>
      <c r="I619">
        <v>0.269526952695269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f t="shared" si="19"/>
        <v>1</v>
      </c>
    </row>
    <row r="620" spans="1:34" hidden="1">
      <c r="A620">
        <v>618</v>
      </c>
      <c r="B620">
        <v>541</v>
      </c>
      <c r="C620">
        <v>549</v>
      </c>
      <c r="D620" t="s">
        <v>47</v>
      </c>
      <c r="E620" t="s">
        <v>47</v>
      </c>
      <c r="F620" t="b">
        <f t="shared" si="18"/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f t="shared" si="19"/>
        <v>0</v>
      </c>
    </row>
    <row r="621" spans="1:34" hidden="1">
      <c r="A621">
        <v>619</v>
      </c>
      <c r="B621">
        <v>542</v>
      </c>
      <c r="C621">
        <v>550</v>
      </c>
      <c r="D621" t="s">
        <v>44</v>
      </c>
      <c r="E621" t="s">
        <v>44</v>
      </c>
      <c r="F621" t="b">
        <f t="shared" si="18"/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f t="shared" si="19"/>
        <v>0</v>
      </c>
    </row>
    <row r="622" spans="1:34" hidden="1">
      <c r="A622">
        <v>620</v>
      </c>
      <c r="B622">
        <v>543</v>
      </c>
      <c r="C622">
        <v>551</v>
      </c>
      <c r="D622" t="s">
        <v>44</v>
      </c>
      <c r="E622" t="s">
        <v>44</v>
      </c>
      <c r="F622" t="b">
        <f t="shared" si="18"/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f t="shared" si="19"/>
        <v>0</v>
      </c>
    </row>
    <row r="623" spans="1:34" hidden="1">
      <c r="A623">
        <v>621</v>
      </c>
      <c r="B623">
        <v>544</v>
      </c>
      <c r="C623">
        <v>552</v>
      </c>
      <c r="D623" t="s">
        <v>44</v>
      </c>
      <c r="E623" t="s">
        <v>44</v>
      </c>
      <c r="F623" t="b">
        <f t="shared" si="18"/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f t="shared" si="19"/>
        <v>0</v>
      </c>
    </row>
    <row r="624" spans="1:34" hidden="1">
      <c r="A624">
        <v>622</v>
      </c>
      <c r="B624">
        <v>545</v>
      </c>
      <c r="C624">
        <v>553</v>
      </c>
      <c r="D624" t="s">
        <v>3</v>
      </c>
      <c r="E624" t="s">
        <v>3</v>
      </c>
      <c r="F624" t="b">
        <f t="shared" si="18"/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f t="shared" si="19"/>
        <v>0</v>
      </c>
    </row>
    <row r="625" spans="1:34" hidden="1">
      <c r="A625">
        <v>623</v>
      </c>
      <c r="B625">
        <v>546</v>
      </c>
      <c r="C625">
        <v>554</v>
      </c>
      <c r="D625" t="s">
        <v>3</v>
      </c>
      <c r="E625" t="s">
        <v>3</v>
      </c>
      <c r="F625" t="b">
        <f t="shared" si="18"/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f t="shared" si="19"/>
        <v>0</v>
      </c>
    </row>
    <row r="626" spans="1:34">
      <c r="A626">
        <v>624</v>
      </c>
      <c r="B626">
        <v>547</v>
      </c>
      <c r="C626">
        <v>555</v>
      </c>
      <c r="D626" t="s">
        <v>42</v>
      </c>
      <c r="E626" t="s">
        <v>42</v>
      </c>
      <c r="F626" t="b">
        <f t="shared" si="18"/>
        <v>0</v>
      </c>
      <c r="G626" t="s">
        <v>43</v>
      </c>
      <c r="H626">
        <v>0</v>
      </c>
      <c r="I626">
        <v>0</v>
      </c>
      <c r="J626">
        <v>0</v>
      </c>
      <c r="K626">
        <v>0.33992094861659999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0.14419805232899199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f t="shared" si="19"/>
        <v>1</v>
      </c>
    </row>
    <row r="627" spans="1:34" hidden="1">
      <c r="A627">
        <v>625</v>
      </c>
      <c r="B627">
        <v>548</v>
      </c>
      <c r="C627">
        <v>556</v>
      </c>
      <c r="D627" t="s">
        <v>42</v>
      </c>
      <c r="E627" t="s">
        <v>42</v>
      </c>
      <c r="F627" t="b">
        <f t="shared" si="18"/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f t="shared" si="19"/>
        <v>0</v>
      </c>
    </row>
    <row r="628" spans="1:34" hidden="1">
      <c r="A628">
        <v>626</v>
      </c>
      <c r="B628">
        <v>549</v>
      </c>
      <c r="C628">
        <v>557</v>
      </c>
      <c r="D628" t="s">
        <v>10</v>
      </c>
      <c r="E628" t="s">
        <v>10</v>
      </c>
      <c r="F628" t="b">
        <f t="shared" si="18"/>
        <v>0</v>
      </c>
      <c r="G628" t="s">
        <v>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0.101451693642582</v>
      </c>
      <c r="AH628">
        <f t="shared" si="19"/>
        <v>0</v>
      </c>
    </row>
    <row r="629" spans="1:34" hidden="1">
      <c r="A629">
        <v>627</v>
      </c>
      <c r="B629">
        <v>550</v>
      </c>
      <c r="C629">
        <v>558</v>
      </c>
      <c r="D629" t="s">
        <v>1</v>
      </c>
      <c r="E629" t="s">
        <v>1</v>
      </c>
      <c r="F629" t="b">
        <f t="shared" si="18"/>
        <v>1</v>
      </c>
      <c r="G629" t="s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0.138003005510101</v>
      </c>
      <c r="AG629">
        <v>0</v>
      </c>
      <c r="AH629">
        <f t="shared" si="19"/>
        <v>0</v>
      </c>
    </row>
    <row r="630" spans="1:34" hidden="1">
      <c r="A630">
        <v>628</v>
      </c>
      <c r="B630">
        <v>551</v>
      </c>
      <c r="C630">
        <v>559</v>
      </c>
      <c r="D630" t="s">
        <v>46</v>
      </c>
      <c r="E630" t="s">
        <v>46</v>
      </c>
      <c r="F630" t="b">
        <f t="shared" si="18"/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f t="shared" si="19"/>
        <v>0</v>
      </c>
    </row>
    <row r="631" spans="1:34" hidden="1">
      <c r="A631">
        <v>629</v>
      </c>
      <c r="B631">
        <v>552</v>
      </c>
      <c r="C631">
        <v>560</v>
      </c>
      <c r="D631" t="s">
        <v>6</v>
      </c>
      <c r="E631" t="s">
        <v>6</v>
      </c>
      <c r="F631" t="b">
        <f t="shared" si="18"/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f t="shared" si="19"/>
        <v>0</v>
      </c>
    </row>
    <row r="632" spans="1:34" hidden="1">
      <c r="A632">
        <v>630</v>
      </c>
      <c r="B632">
        <v>553</v>
      </c>
      <c r="C632">
        <v>561</v>
      </c>
      <c r="D632" t="s">
        <v>1</v>
      </c>
      <c r="E632" t="s">
        <v>1</v>
      </c>
      <c r="F632" t="b">
        <f t="shared" si="18"/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f t="shared" si="19"/>
        <v>0</v>
      </c>
    </row>
    <row r="633" spans="1:34" hidden="1">
      <c r="A633">
        <v>631</v>
      </c>
      <c r="B633">
        <v>554</v>
      </c>
      <c r="C633">
        <v>562</v>
      </c>
      <c r="D633" t="s">
        <v>44</v>
      </c>
      <c r="E633" t="s">
        <v>44</v>
      </c>
      <c r="F633" t="b">
        <f t="shared" si="18"/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f t="shared" si="19"/>
        <v>0</v>
      </c>
    </row>
    <row r="634" spans="1:34" hidden="1">
      <c r="A634">
        <v>632</v>
      </c>
      <c r="B634">
        <v>555</v>
      </c>
      <c r="C634">
        <v>563</v>
      </c>
      <c r="D634" t="s">
        <v>44</v>
      </c>
      <c r="E634" t="s">
        <v>44</v>
      </c>
      <c r="F634" t="b">
        <f t="shared" si="18"/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f t="shared" si="19"/>
        <v>0</v>
      </c>
    </row>
    <row r="635" spans="1:34" hidden="1">
      <c r="A635">
        <v>633</v>
      </c>
      <c r="B635">
        <v>556</v>
      </c>
      <c r="C635">
        <v>564</v>
      </c>
      <c r="D635" t="s">
        <v>9</v>
      </c>
      <c r="E635" t="s">
        <v>9</v>
      </c>
      <c r="F635" t="b">
        <f t="shared" si="18"/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f t="shared" si="19"/>
        <v>0</v>
      </c>
    </row>
    <row r="636" spans="1:34" hidden="1">
      <c r="A636">
        <v>634</v>
      </c>
      <c r="B636">
        <v>557</v>
      </c>
      <c r="C636">
        <v>565</v>
      </c>
      <c r="D636" t="s">
        <v>43</v>
      </c>
      <c r="E636" t="s">
        <v>42</v>
      </c>
      <c r="F636" t="b">
        <f t="shared" si="18"/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f t="shared" si="19"/>
        <v>0</v>
      </c>
    </row>
    <row r="637" spans="1:34" hidden="1">
      <c r="A637">
        <v>635</v>
      </c>
      <c r="B637">
        <v>558</v>
      </c>
      <c r="C637">
        <v>566</v>
      </c>
      <c r="D637" t="s">
        <v>42</v>
      </c>
      <c r="E637" t="s">
        <v>42</v>
      </c>
      <c r="F637" t="b">
        <f t="shared" si="18"/>
        <v>1</v>
      </c>
      <c r="G637" t="s">
        <v>42</v>
      </c>
      <c r="H637">
        <v>0</v>
      </c>
      <c r="I637">
        <v>0</v>
      </c>
      <c r="J637">
        <v>0</v>
      </c>
      <c r="K637">
        <v>0.13636363636363599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f t="shared" si="19"/>
        <v>0</v>
      </c>
    </row>
    <row r="638" spans="1:34" hidden="1">
      <c r="A638">
        <v>636</v>
      </c>
      <c r="B638">
        <v>559</v>
      </c>
      <c r="C638">
        <v>567</v>
      </c>
      <c r="D638" t="s">
        <v>44</v>
      </c>
      <c r="E638" t="s">
        <v>44</v>
      </c>
      <c r="F638" t="b">
        <f t="shared" si="18"/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f t="shared" si="19"/>
        <v>0</v>
      </c>
    </row>
    <row r="639" spans="1:34" hidden="1">
      <c r="A639">
        <v>637</v>
      </c>
      <c r="B639">
        <v>560</v>
      </c>
      <c r="C639">
        <v>568</v>
      </c>
      <c r="D639" t="s">
        <v>42</v>
      </c>
      <c r="E639" t="s">
        <v>42</v>
      </c>
      <c r="F639" t="b">
        <f t="shared" si="18"/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f t="shared" si="19"/>
        <v>0</v>
      </c>
    </row>
    <row r="640" spans="1:34" hidden="1">
      <c r="A640">
        <v>638</v>
      </c>
      <c r="B640">
        <v>561</v>
      </c>
      <c r="C640">
        <v>569</v>
      </c>
      <c r="D640" t="s">
        <v>2</v>
      </c>
      <c r="E640" t="s">
        <v>2</v>
      </c>
      <c r="F640" t="b">
        <f t="shared" si="18"/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f t="shared" si="19"/>
        <v>0</v>
      </c>
    </row>
    <row r="641" spans="1:34" hidden="1">
      <c r="A641">
        <v>639</v>
      </c>
      <c r="B641">
        <v>562</v>
      </c>
      <c r="C641">
        <v>570</v>
      </c>
      <c r="D641" t="s">
        <v>47</v>
      </c>
      <c r="E641" t="s">
        <v>47</v>
      </c>
      <c r="F641" t="b">
        <f t="shared" si="18"/>
        <v>1</v>
      </c>
      <c r="G641" t="s">
        <v>47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0.249201277955271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f t="shared" si="19"/>
        <v>0</v>
      </c>
    </row>
    <row r="642" spans="1:34" hidden="1">
      <c r="A642">
        <v>640</v>
      </c>
      <c r="B642">
        <v>563</v>
      </c>
      <c r="C642">
        <v>571</v>
      </c>
      <c r="D642" t="s">
        <v>62</v>
      </c>
      <c r="E642" t="s">
        <v>62</v>
      </c>
      <c r="F642" t="b">
        <f t="shared" si="18"/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f t="shared" si="19"/>
        <v>0</v>
      </c>
    </row>
    <row r="643" spans="1:34" hidden="1">
      <c r="A643">
        <v>641</v>
      </c>
      <c r="B643">
        <v>564</v>
      </c>
      <c r="C643">
        <v>572</v>
      </c>
      <c r="D643" t="s">
        <v>4</v>
      </c>
      <c r="E643" t="s">
        <v>4</v>
      </c>
      <c r="F643" t="b">
        <f t="shared" ref="F643:F706" si="20">D643=G643</f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f t="shared" ref="AH643:AH706" si="21">COUNTIF(H643:AG643,"&gt;0.25")</f>
        <v>0</v>
      </c>
    </row>
    <row r="644" spans="1:34" hidden="1">
      <c r="A644">
        <v>642</v>
      </c>
      <c r="B644">
        <v>565</v>
      </c>
      <c r="C644">
        <v>573</v>
      </c>
      <c r="D644" t="s">
        <v>46</v>
      </c>
      <c r="E644" t="s">
        <v>46</v>
      </c>
      <c r="F644" t="b">
        <f t="shared" si="20"/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f t="shared" si="21"/>
        <v>0</v>
      </c>
    </row>
    <row r="645" spans="1:34" hidden="1">
      <c r="A645">
        <v>643</v>
      </c>
      <c r="B645">
        <v>566</v>
      </c>
      <c r="C645">
        <v>574</v>
      </c>
      <c r="D645" t="s">
        <v>8</v>
      </c>
      <c r="E645" t="s">
        <v>8</v>
      </c>
      <c r="F645" t="b">
        <f t="shared" si="20"/>
        <v>1</v>
      </c>
      <c r="G645" t="s">
        <v>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0.377139819245082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f t="shared" si="21"/>
        <v>1</v>
      </c>
    </row>
    <row r="646" spans="1:34" hidden="1">
      <c r="A646">
        <v>644</v>
      </c>
      <c r="B646">
        <v>567</v>
      </c>
      <c r="C646">
        <v>575</v>
      </c>
      <c r="D646" t="s">
        <v>44</v>
      </c>
      <c r="E646" t="s">
        <v>44</v>
      </c>
      <c r="F646" t="b">
        <f t="shared" si="20"/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f t="shared" si="21"/>
        <v>0</v>
      </c>
    </row>
    <row r="647" spans="1:34" hidden="1">
      <c r="A647">
        <v>645</v>
      </c>
      <c r="B647">
        <v>568</v>
      </c>
      <c r="C647">
        <v>576</v>
      </c>
      <c r="D647" t="s">
        <v>42</v>
      </c>
      <c r="E647" t="s">
        <v>42</v>
      </c>
      <c r="F647" t="b">
        <f t="shared" si="20"/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f t="shared" si="21"/>
        <v>0</v>
      </c>
    </row>
    <row r="648" spans="1:34" hidden="1">
      <c r="A648">
        <v>646</v>
      </c>
      <c r="B648">
        <v>569</v>
      </c>
      <c r="C648">
        <v>577</v>
      </c>
      <c r="D648" t="s">
        <v>44</v>
      </c>
      <c r="E648" t="s">
        <v>44</v>
      </c>
      <c r="F648" t="b">
        <f t="shared" si="20"/>
        <v>1</v>
      </c>
      <c r="G648" t="s">
        <v>44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0.16106301590497199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f t="shared" si="21"/>
        <v>0</v>
      </c>
    </row>
    <row r="649" spans="1:34" hidden="1">
      <c r="A649">
        <v>647</v>
      </c>
      <c r="B649">
        <v>570</v>
      </c>
      <c r="C649">
        <v>578</v>
      </c>
      <c r="D649" t="s">
        <v>1</v>
      </c>
      <c r="E649" t="s">
        <v>1</v>
      </c>
      <c r="F649" t="b">
        <f t="shared" si="20"/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f t="shared" si="21"/>
        <v>0</v>
      </c>
    </row>
    <row r="650" spans="1:34" hidden="1">
      <c r="A650">
        <v>648</v>
      </c>
      <c r="B650">
        <v>571</v>
      </c>
      <c r="C650">
        <v>579</v>
      </c>
      <c r="D650" t="s">
        <v>10</v>
      </c>
      <c r="E650" t="s">
        <v>10</v>
      </c>
      <c r="F650" t="b">
        <f t="shared" si="20"/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f t="shared" si="21"/>
        <v>0</v>
      </c>
    </row>
    <row r="651" spans="1:34" hidden="1">
      <c r="A651">
        <v>649</v>
      </c>
      <c r="B651">
        <v>572</v>
      </c>
      <c r="C651">
        <v>580</v>
      </c>
      <c r="D651" t="s">
        <v>47</v>
      </c>
      <c r="E651" t="s">
        <v>46</v>
      </c>
      <c r="F651" t="b">
        <f t="shared" si="20"/>
        <v>1</v>
      </c>
      <c r="G651" t="s">
        <v>47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0.13316082802547699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f t="shared" si="21"/>
        <v>0</v>
      </c>
    </row>
    <row r="652" spans="1:34" hidden="1">
      <c r="A652">
        <v>650</v>
      </c>
      <c r="B652">
        <v>573</v>
      </c>
      <c r="C652">
        <v>581</v>
      </c>
      <c r="D652" t="s">
        <v>42</v>
      </c>
      <c r="E652" t="s">
        <v>42</v>
      </c>
      <c r="F652" t="b">
        <f t="shared" si="20"/>
        <v>1</v>
      </c>
      <c r="G652" t="s">
        <v>42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0.70593525179856098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f t="shared" si="21"/>
        <v>1</v>
      </c>
    </row>
    <row r="653" spans="1:34" hidden="1">
      <c r="A653">
        <v>651</v>
      </c>
      <c r="B653">
        <v>574</v>
      </c>
      <c r="C653">
        <v>582</v>
      </c>
      <c r="D653" t="s">
        <v>1</v>
      </c>
      <c r="E653" t="s">
        <v>1</v>
      </c>
      <c r="F653" t="b">
        <f t="shared" si="20"/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f t="shared" si="21"/>
        <v>0</v>
      </c>
    </row>
    <row r="654" spans="1:34">
      <c r="A654">
        <v>652</v>
      </c>
      <c r="B654">
        <v>575</v>
      </c>
      <c r="C654">
        <v>583</v>
      </c>
      <c r="D654" t="s">
        <v>47</v>
      </c>
      <c r="E654" t="s">
        <v>47</v>
      </c>
      <c r="F654" t="b">
        <f t="shared" si="20"/>
        <v>0</v>
      </c>
      <c r="G654" t="s">
        <v>43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0.58675949034546104</v>
      </c>
      <c r="AE654">
        <v>0</v>
      </c>
      <c r="AF654">
        <v>0</v>
      </c>
      <c r="AG654">
        <v>0</v>
      </c>
      <c r="AH654">
        <f t="shared" si="21"/>
        <v>1</v>
      </c>
    </row>
    <row r="655" spans="1:34" hidden="1">
      <c r="A655">
        <v>653</v>
      </c>
      <c r="B655">
        <v>576</v>
      </c>
      <c r="C655">
        <v>584</v>
      </c>
      <c r="D655" t="s">
        <v>6</v>
      </c>
      <c r="E655" t="s">
        <v>6</v>
      </c>
      <c r="F655" t="b">
        <f t="shared" si="20"/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f t="shared" si="21"/>
        <v>0</v>
      </c>
    </row>
    <row r="656" spans="1:34" hidden="1">
      <c r="A656">
        <v>654</v>
      </c>
      <c r="B656">
        <v>577</v>
      </c>
      <c r="C656">
        <v>585</v>
      </c>
      <c r="D656" t="s">
        <v>10</v>
      </c>
      <c r="E656" t="s">
        <v>10</v>
      </c>
      <c r="F656" t="b">
        <f t="shared" si="20"/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f t="shared" si="21"/>
        <v>0</v>
      </c>
    </row>
    <row r="657" spans="1:34" hidden="1">
      <c r="A657">
        <v>655</v>
      </c>
      <c r="B657">
        <v>578</v>
      </c>
      <c r="C657">
        <v>586</v>
      </c>
      <c r="D657" t="s">
        <v>61</v>
      </c>
      <c r="E657" t="s">
        <v>61</v>
      </c>
      <c r="F657" t="b">
        <f t="shared" si="20"/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f t="shared" si="21"/>
        <v>0</v>
      </c>
    </row>
    <row r="658" spans="1:34" hidden="1">
      <c r="A658">
        <v>656</v>
      </c>
      <c r="B658">
        <v>579</v>
      </c>
      <c r="C658">
        <v>587</v>
      </c>
      <c r="D658" t="s">
        <v>42</v>
      </c>
      <c r="E658" t="s">
        <v>42</v>
      </c>
      <c r="F658" t="b">
        <f t="shared" si="20"/>
        <v>0</v>
      </c>
      <c r="G658" t="s">
        <v>46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0.13126402393417999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f t="shared" si="21"/>
        <v>0</v>
      </c>
    </row>
    <row r="659" spans="1:34" hidden="1">
      <c r="A659">
        <v>657</v>
      </c>
      <c r="B659">
        <v>580</v>
      </c>
      <c r="C659">
        <v>588</v>
      </c>
      <c r="D659" t="s">
        <v>8</v>
      </c>
      <c r="E659" t="s">
        <v>8</v>
      </c>
      <c r="F659" t="b">
        <f t="shared" si="20"/>
        <v>0</v>
      </c>
      <c r="G659" t="s">
        <v>10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0.13451241278598</v>
      </c>
      <c r="AH659">
        <f t="shared" si="21"/>
        <v>0</v>
      </c>
    </row>
    <row r="660" spans="1:34" hidden="1">
      <c r="A660">
        <v>658</v>
      </c>
      <c r="B660">
        <v>580</v>
      </c>
      <c r="C660">
        <v>588</v>
      </c>
      <c r="D660" t="s">
        <v>8</v>
      </c>
      <c r="E660" t="s">
        <v>8</v>
      </c>
      <c r="F660" t="b">
        <f t="shared" si="20"/>
        <v>1</v>
      </c>
      <c r="G660" t="s">
        <v>8</v>
      </c>
      <c r="H660">
        <v>0</v>
      </c>
      <c r="I660">
        <v>0</v>
      </c>
      <c r="J660">
        <v>0</v>
      </c>
      <c r="K660">
        <v>0</v>
      </c>
      <c r="L660">
        <v>0.40503144654088002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f t="shared" si="21"/>
        <v>1</v>
      </c>
    </row>
    <row r="661" spans="1:34" hidden="1">
      <c r="A661">
        <v>659</v>
      </c>
      <c r="B661">
        <v>581</v>
      </c>
      <c r="C661">
        <v>589</v>
      </c>
      <c r="D661" t="s">
        <v>5</v>
      </c>
      <c r="E661" t="s">
        <v>5</v>
      </c>
      <c r="F661" t="b">
        <f t="shared" si="20"/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f t="shared" si="21"/>
        <v>0</v>
      </c>
    </row>
    <row r="662" spans="1:34" hidden="1">
      <c r="A662">
        <v>660</v>
      </c>
      <c r="B662">
        <v>582</v>
      </c>
      <c r="C662">
        <v>590</v>
      </c>
      <c r="D662" t="s">
        <v>44</v>
      </c>
      <c r="E662" t="s">
        <v>44</v>
      </c>
      <c r="F662" t="b">
        <f t="shared" si="20"/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f t="shared" si="21"/>
        <v>0</v>
      </c>
    </row>
    <row r="663" spans="1:34" hidden="1">
      <c r="A663">
        <v>661</v>
      </c>
      <c r="B663">
        <v>583</v>
      </c>
      <c r="C663">
        <v>591</v>
      </c>
      <c r="D663" t="s">
        <v>44</v>
      </c>
      <c r="E663" t="s">
        <v>44</v>
      </c>
      <c r="F663" t="b">
        <f t="shared" si="20"/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f t="shared" si="21"/>
        <v>0</v>
      </c>
    </row>
    <row r="664" spans="1:34" hidden="1">
      <c r="A664">
        <v>662</v>
      </c>
      <c r="B664">
        <v>584</v>
      </c>
      <c r="C664">
        <v>592</v>
      </c>
      <c r="D664" t="s">
        <v>42</v>
      </c>
      <c r="E664" t="s">
        <v>42</v>
      </c>
      <c r="F664" t="b">
        <f t="shared" si="20"/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f t="shared" si="21"/>
        <v>0</v>
      </c>
    </row>
    <row r="665" spans="1:34">
      <c r="A665">
        <v>663</v>
      </c>
      <c r="B665">
        <v>585</v>
      </c>
      <c r="C665">
        <v>593</v>
      </c>
      <c r="D665" t="s">
        <v>43</v>
      </c>
      <c r="E665" t="s">
        <v>42</v>
      </c>
      <c r="F665" t="b">
        <f t="shared" si="20"/>
        <v>0</v>
      </c>
      <c r="G665" t="s">
        <v>42</v>
      </c>
      <c r="H665">
        <v>0</v>
      </c>
      <c r="I665">
        <v>0</v>
      </c>
      <c r="J665">
        <v>0</v>
      </c>
      <c r="K665">
        <v>0.12108559498956099</v>
      </c>
      <c r="L665">
        <v>0.76433915211970005</v>
      </c>
      <c r="M665">
        <v>0.24638989169674999</v>
      </c>
      <c r="N665">
        <v>0</v>
      </c>
      <c r="O665">
        <v>0.72977624784853601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0.121101752788527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f t="shared" si="21"/>
        <v>2</v>
      </c>
    </row>
    <row r="666" spans="1:34" hidden="1">
      <c r="A666">
        <v>664</v>
      </c>
      <c r="B666">
        <v>586</v>
      </c>
      <c r="C666">
        <v>594</v>
      </c>
      <c r="D666" t="s">
        <v>4</v>
      </c>
      <c r="E666" t="s">
        <v>4</v>
      </c>
      <c r="F666" t="b">
        <f t="shared" si="20"/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f t="shared" si="21"/>
        <v>0</v>
      </c>
    </row>
    <row r="667" spans="1:34" hidden="1">
      <c r="A667">
        <v>665</v>
      </c>
      <c r="B667">
        <v>587</v>
      </c>
      <c r="C667">
        <v>595</v>
      </c>
      <c r="D667" t="s">
        <v>46</v>
      </c>
      <c r="E667" t="s">
        <v>46</v>
      </c>
      <c r="F667" t="b">
        <f t="shared" si="20"/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f t="shared" si="21"/>
        <v>0</v>
      </c>
    </row>
    <row r="668" spans="1:34" hidden="1">
      <c r="A668">
        <v>666</v>
      </c>
      <c r="B668">
        <v>588</v>
      </c>
      <c r="C668">
        <v>596</v>
      </c>
      <c r="D668" t="s">
        <v>62</v>
      </c>
      <c r="E668" t="s">
        <v>62</v>
      </c>
      <c r="F668" t="b">
        <f t="shared" si="20"/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f t="shared" si="21"/>
        <v>0</v>
      </c>
    </row>
    <row r="669" spans="1:34" hidden="1">
      <c r="A669">
        <v>667</v>
      </c>
      <c r="B669">
        <v>589</v>
      </c>
      <c r="C669">
        <v>597</v>
      </c>
      <c r="D669" t="s">
        <v>4</v>
      </c>
      <c r="E669" t="s">
        <v>4</v>
      </c>
      <c r="F669" t="b">
        <f t="shared" si="20"/>
        <v>0</v>
      </c>
      <c r="G669" t="s">
        <v>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0.122486288848263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f t="shared" si="21"/>
        <v>0</v>
      </c>
    </row>
    <row r="670" spans="1:34" hidden="1">
      <c r="A670">
        <v>668</v>
      </c>
      <c r="B670">
        <v>590</v>
      </c>
      <c r="C670">
        <v>598</v>
      </c>
      <c r="D670" t="s">
        <v>50</v>
      </c>
      <c r="E670" t="s">
        <v>50</v>
      </c>
      <c r="F670" t="b">
        <f t="shared" si="20"/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f t="shared" si="21"/>
        <v>0</v>
      </c>
    </row>
    <row r="671" spans="1:34" hidden="1">
      <c r="A671">
        <v>669</v>
      </c>
      <c r="B671">
        <v>591</v>
      </c>
      <c r="C671">
        <v>599</v>
      </c>
      <c r="D671" t="s">
        <v>7</v>
      </c>
      <c r="E671" t="s">
        <v>7</v>
      </c>
      <c r="F671" t="b">
        <f t="shared" si="20"/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f t="shared" si="21"/>
        <v>0</v>
      </c>
    </row>
    <row r="672" spans="1:34" hidden="1">
      <c r="A672">
        <v>670</v>
      </c>
      <c r="B672">
        <v>592</v>
      </c>
      <c r="C672">
        <v>600</v>
      </c>
      <c r="D672" t="s">
        <v>4</v>
      </c>
      <c r="E672" t="s">
        <v>4</v>
      </c>
      <c r="F672" t="b">
        <f t="shared" si="20"/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f t="shared" si="21"/>
        <v>0</v>
      </c>
    </row>
    <row r="673" spans="1:34" hidden="1">
      <c r="A673">
        <v>671</v>
      </c>
      <c r="B673">
        <v>593</v>
      </c>
      <c r="C673">
        <v>601</v>
      </c>
      <c r="D673" t="s">
        <v>8</v>
      </c>
      <c r="E673" t="s">
        <v>8</v>
      </c>
      <c r="F673" t="b">
        <f t="shared" si="20"/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f t="shared" si="21"/>
        <v>0</v>
      </c>
    </row>
    <row r="674" spans="1:34" hidden="1">
      <c r="A674">
        <v>672</v>
      </c>
      <c r="B674">
        <v>594</v>
      </c>
      <c r="C674">
        <v>602</v>
      </c>
      <c r="D674" t="s">
        <v>42</v>
      </c>
      <c r="E674" t="s">
        <v>42</v>
      </c>
      <c r="F674" t="b">
        <f t="shared" si="20"/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f t="shared" si="21"/>
        <v>0</v>
      </c>
    </row>
    <row r="675" spans="1:34" hidden="1">
      <c r="A675">
        <v>673</v>
      </c>
      <c r="B675">
        <v>595</v>
      </c>
      <c r="C675">
        <v>603</v>
      </c>
      <c r="D675" t="s">
        <v>46</v>
      </c>
      <c r="E675" t="s">
        <v>46</v>
      </c>
      <c r="F675" t="b">
        <f t="shared" si="20"/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f t="shared" si="21"/>
        <v>0</v>
      </c>
    </row>
    <row r="676" spans="1:34" hidden="1">
      <c r="A676">
        <v>674</v>
      </c>
      <c r="B676">
        <v>596</v>
      </c>
      <c r="C676">
        <v>604</v>
      </c>
      <c r="D676" t="s">
        <v>50</v>
      </c>
      <c r="E676" t="s">
        <v>50</v>
      </c>
      <c r="F676" t="b">
        <f t="shared" si="20"/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f t="shared" si="21"/>
        <v>0</v>
      </c>
    </row>
    <row r="677" spans="1:34" hidden="1">
      <c r="A677">
        <v>675</v>
      </c>
      <c r="B677">
        <v>597</v>
      </c>
      <c r="C677">
        <v>605</v>
      </c>
      <c r="D677" t="s">
        <v>2</v>
      </c>
      <c r="E677" t="s">
        <v>2</v>
      </c>
      <c r="F677" t="b">
        <f t="shared" si="20"/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f t="shared" si="21"/>
        <v>0</v>
      </c>
    </row>
    <row r="678" spans="1:34" hidden="1">
      <c r="A678">
        <v>676</v>
      </c>
      <c r="B678">
        <v>598</v>
      </c>
      <c r="C678">
        <v>606</v>
      </c>
      <c r="D678" t="s">
        <v>2</v>
      </c>
      <c r="E678" t="s">
        <v>2</v>
      </c>
      <c r="F678" t="b">
        <f t="shared" si="20"/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f t="shared" si="21"/>
        <v>0</v>
      </c>
    </row>
    <row r="679" spans="1:34" hidden="1">
      <c r="A679">
        <v>677</v>
      </c>
      <c r="B679">
        <v>599</v>
      </c>
      <c r="C679">
        <v>607</v>
      </c>
      <c r="D679" t="s">
        <v>1</v>
      </c>
      <c r="E679" t="s">
        <v>1</v>
      </c>
      <c r="F679" t="b">
        <f t="shared" si="20"/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f t="shared" si="21"/>
        <v>0</v>
      </c>
    </row>
    <row r="680" spans="1:34" hidden="1">
      <c r="A680">
        <v>678</v>
      </c>
      <c r="B680">
        <v>600</v>
      </c>
      <c r="C680">
        <v>608</v>
      </c>
      <c r="D680" t="s">
        <v>47</v>
      </c>
      <c r="E680" t="s">
        <v>47</v>
      </c>
      <c r="F680" t="b">
        <f t="shared" si="20"/>
        <v>1</v>
      </c>
      <c r="G680" t="s">
        <v>47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0.939393939393939</v>
      </c>
      <c r="AD680">
        <v>0</v>
      </c>
      <c r="AE680">
        <v>0</v>
      </c>
      <c r="AF680">
        <v>0</v>
      </c>
      <c r="AG680">
        <v>0</v>
      </c>
      <c r="AH680">
        <f t="shared" si="21"/>
        <v>1</v>
      </c>
    </row>
    <row r="681" spans="1:34" hidden="1">
      <c r="A681">
        <v>679</v>
      </c>
      <c r="B681">
        <v>601</v>
      </c>
      <c r="C681">
        <v>609</v>
      </c>
      <c r="D681" t="s">
        <v>45</v>
      </c>
      <c r="E681" t="s">
        <v>45</v>
      </c>
      <c r="F681" t="b">
        <f t="shared" si="20"/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f t="shared" si="21"/>
        <v>0</v>
      </c>
    </row>
    <row r="682" spans="1:34" hidden="1">
      <c r="A682">
        <v>680</v>
      </c>
      <c r="B682">
        <v>602</v>
      </c>
      <c r="C682">
        <v>610</v>
      </c>
      <c r="D682" t="s">
        <v>62</v>
      </c>
      <c r="E682" t="s">
        <v>62</v>
      </c>
      <c r="F682" t="b">
        <f t="shared" si="20"/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f t="shared" si="21"/>
        <v>0</v>
      </c>
    </row>
    <row r="683" spans="1:34" hidden="1">
      <c r="A683">
        <v>681</v>
      </c>
      <c r="B683">
        <v>603</v>
      </c>
      <c r="C683">
        <v>611</v>
      </c>
      <c r="D683" t="s">
        <v>3</v>
      </c>
      <c r="E683" t="s">
        <v>3</v>
      </c>
      <c r="F683" t="b">
        <f t="shared" si="20"/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f t="shared" si="21"/>
        <v>0</v>
      </c>
    </row>
    <row r="684" spans="1:34">
      <c r="A684">
        <v>682</v>
      </c>
      <c r="B684">
        <v>604</v>
      </c>
      <c r="C684">
        <v>612</v>
      </c>
      <c r="D684" t="s">
        <v>2</v>
      </c>
      <c r="E684" t="s">
        <v>1</v>
      </c>
      <c r="F684" t="b">
        <f t="shared" si="20"/>
        <v>0</v>
      </c>
      <c r="G684" t="s">
        <v>7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0.81134554447793406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f t="shared" si="21"/>
        <v>1</v>
      </c>
    </row>
    <row r="685" spans="1:34" hidden="1">
      <c r="A685">
        <v>683</v>
      </c>
      <c r="B685">
        <v>605</v>
      </c>
      <c r="C685">
        <v>613</v>
      </c>
      <c r="D685" t="s">
        <v>7</v>
      </c>
      <c r="E685" t="s">
        <v>7</v>
      </c>
      <c r="F685" t="b">
        <f t="shared" si="20"/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f t="shared" si="21"/>
        <v>0</v>
      </c>
    </row>
    <row r="686" spans="1:34" hidden="1">
      <c r="A686">
        <v>684</v>
      </c>
      <c r="B686">
        <v>606</v>
      </c>
      <c r="C686">
        <v>614</v>
      </c>
      <c r="D686" t="s">
        <v>62</v>
      </c>
      <c r="E686" t="s">
        <v>62</v>
      </c>
      <c r="F686" t="b">
        <f t="shared" si="20"/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f t="shared" si="21"/>
        <v>0</v>
      </c>
    </row>
    <row r="687" spans="1:34" hidden="1">
      <c r="A687">
        <v>685</v>
      </c>
      <c r="B687">
        <v>607</v>
      </c>
      <c r="C687">
        <v>615</v>
      </c>
      <c r="D687" t="s">
        <v>7</v>
      </c>
      <c r="E687" t="s">
        <v>7</v>
      </c>
      <c r="F687" t="b">
        <f t="shared" si="20"/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f t="shared" si="21"/>
        <v>0</v>
      </c>
    </row>
    <row r="688" spans="1:34" hidden="1">
      <c r="A688">
        <v>686</v>
      </c>
      <c r="B688">
        <v>608</v>
      </c>
      <c r="C688">
        <v>616</v>
      </c>
      <c r="D688" t="s">
        <v>3</v>
      </c>
      <c r="E688" t="s">
        <v>3</v>
      </c>
      <c r="F688" t="b">
        <f t="shared" si="20"/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f t="shared" si="21"/>
        <v>0</v>
      </c>
    </row>
    <row r="689" spans="1:34" hidden="1">
      <c r="A689">
        <v>687</v>
      </c>
      <c r="B689">
        <v>609</v>
      </c>
      <c r="C689">
        <v>617</v>
      </c>
      <c r="D689" t="s">
        <v>8</v>
      </c>
      <c r="E689" t="s">
        <v>8</v>
      </c>
      <c r="F689" t="b">
        <f t="shared" si="20"/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f t="shared" si="21"/>
        <v>0</v>
      </c>
    </row>
    <row r="690" spans="1:34" hidden="1">
      <c r="A690">
        <v>688</v>
      </c>
      <c r="B690">
        <v>610</v>
      </c>
      <c r="C690">
        <v>618</v>
      </c>
      <c r="D690" t="s">
        <v>7</v>
      </c>
      <c r="E690" t="s">
        <v>7</v>
      </c>
      <c r="F690" t="b">
        <f t="shared" si="20"/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f t="shared" si="21"/>
        <v>0</v>
      </c>
    </row>
    <row r="691" spans="1:34" hidden="1">
      <c r="A691">
        <v>689</v>
      </c>
      <c r="B691">
        <v>611</v>
      </c>
      <c r="C691">
        <v>619</v>
      </c>
      <c r="D691" t="s">
        <v>42</v>
      </c>
      <c r="E691" t="s">
        <v>42</v>
      </c>
      <c r="F691" t="b">
        <f t="shared" si="20"/>
        <v>1</v>
      </c>
      <c r="G691" t="s">
        <v>42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0.38670326318999598</v>
      </c>
      <c r="AB691">
        <v>0</v>
      </c>
      <c r="AC691">
        <v>0</v>
      </c>
      <c r="AD691">
        <v>0</v>
      </c>
      <c r="AE691">
        <v>0</v>
      </c>
      <c r="AF691">
        <v>0.117147707979626</v>
      </c>
      <c r="AG691">
        <v>0</v>
      </c>
      <c r="AH691">
        <f t="shared" si="21"/>
        <v>1</v>
      </c>
    </row>
    <row r="692" spans="1:34" hidden="1">
      <c r="A692">
        <v>690</v>
      </c>
      <c r="B692">
        <v>612</v>
      </c>
      <c r="C692">
        <v>620</v>
      </c>
      <c r="D692" t="s">
        <v>5</v>
      </c>
      <c r="E692" t="s">
        <v>6</v>
      </c>
      <c r="F692" t="b">
        <f t="shared" si="20"/>
        <v>0</v>
      </c>
      <c r="G692" t="s">
        <v>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0.14186851211072601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f t="shared" si="21"/>
        <v>0</v>
      </c>
    </row>
    <row r="693" spans="1:34" hidden="1">
      <c r="A693">
        <v>691</v>
      </c>
      <c r="B693">
        <v>613</v>
      </c>
      <c r="C693">
        <v>621</v>
      </c>
      <c r="D693" t="s">
        <v>7</v>
      </c>
      <c r="E693" t="s">
        <v>44</v>
      </c>
      <c r="F693" t="b">
        <f t="shared" si="20"/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f t="shared" si="21"/>
        <v>0</v>
      </c>
    </row>
    <row r="694" spans="1:34" hidden="1">
      <c r="A694">
        <v>692</v>
      </c>
      <c r="B694">
        <v>614</v>
      </c>
      <c r="C694">
        <v>622</v>
      </c>
      <c r="D694" t="s">
        <v>46</v>
      </c>
      <c r="E694" t="s">
        <v>46</v>
      </c>
      <c r="F694" t="b">
        <f t="shared" si="20"/>
        <v>1</v>
      </c>
      <c r="G694" t="s">
        <v>46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0.15208529319535899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f t="shared" si="21"/>
        <v>0</v>
      </c>
    </row>
    <row r="695" spans="1:34" hidden="1">
      <c r="A695">
        <v>693</v>
      </c>
      <c r="B695">
        <v>615</v>
      </c>
      <c r="C695">
        <v>623</v>
      </c>
      <c r="D695" t="s">
        <v>62</v>
      </c>
      <c r="E695" t="s">
        <v>62</v>
      </c>
      <c r="F695" t="b">
        <f t="shared" si="20"/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f t="shared" si="21"/>
        <v>0</v>
      </c>
    </row>
    <row r="696" spans="1:34" hidden="1">
      <c r="A696">
        <v>694</v>
      </c>
      <c r="B696">
        <v>616</v>
      </c>
      <c r="C696">
        <v>624</v>
      </c>
      <c r="D696" t="s">
        <v>3</v>
      </c>
      <c r="E696" t="s">
        <v>3</v>
      </c>
      <c r="F696" t="b">
        <f t="shared" si="20"/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f t="shared" si="21"/>
        <v>0</v>
      </c>
    </row>
    <row r="697" spans="1:34" hidden="1">
      <c r="A697">
        <v>695</v>
      </c>
      <c r="B697">
        <v>617</v>
      </c>
      <c r="C697">
        <v>625</v>
      </c>
      <c r="D697" t="s">
        <v>3</v>
      </c>
      <c r="E697" t="s">
        <v>9</v>
      </c>
      <c r="F697" t="b">
        <f t="shared" si="20"/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f t="shared" si="21"/>
        <v>0</v>
      </c>
    </row>
    <row r="698" spans="1:34" hidden="1">
      <c r="A698">
        <v>696</v>
      </c>
      <c r="B698">
        <v>618</v>
      </c>
      <c r="C698">
        <v>626</v>
      </c>
      <c r="D698" t="s">
        <v>43</v>
      </c>
      <c r="E698" t="s">
        <v>2</v>
      </c>
      <c r="F698" t="b">
        <f t="shared" si="20"/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f t="shared" si="21"/>
        <v>0</v>
      </c>
    </row>
    <row r="699" spans="1:34" hidden="1">
      <c r="A699">
        <v>697</v>
      </c>
      <c r="B699">
        <v>619</v>
      </c>
      <c r="C699">
        <v>627</v>
      </c>
      <c r="D699" t="s">
        <v>2</v>
      </c>
      <c r="E699" t="s">
        <v>2</v>
      </c>
      <c r="F699" t="b">
        <f t="shared" si="20"/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f t="shared" si="21"/>
        <v>0</v>
      </c>
    </row>
    <row r="700" spans="1:34" hidden="1">
      <c r="A700">
        <v>698</v>
      </c>
      <c r="B700">
        <v>620</v>
      </c>
      <c r="C700">
        <v>628</v>
      </c>
      <c r="D700" t="s">
        <v>62</v>
      </c>
      <c r="E700" t="s">
        <v>62</v>
      </c>
      <c r="F700" t="b">
        <f t="shared" si="20"/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f t="shared" si="21"/>
        <v>0</v>
      </c>
    </row>
    <row r="701" spans="1:34" hidden="1">
      <c r="A701">
        <v>699</v>
      </c>
      <c r="B701">
        <v>621</v>
      </c>
      <c r="C701">
        <v>629</v>
      </c>
      <c r="D701" t="s">
        <v>43</v>
      </c>
      <c r="E701" t="s">
        <v>43</v>
      </c>
      <c r="F701" t="b">
        <f t="shared" si="20"/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f t="shared" si="21"/>
        <v>0</v>
      </c>
    </row>
    <row r="702" spans="1:34" hidden="1">
      <c r="A702">
        <v>700</v>
      </c>
      <c r="B702">
        <v>622</v>
      </c>
      <c r="C702">
        <v>630</v>
      </c>
      <c r="D702" t="s">
        <v>6</v>
      </c>
      <c r="E702" t="s">
        <v>6</v>
      </c>
      <c r="F702" t="b">
        <f t="shared" si="20"/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f t="shared" si="21"/>
        <v>0</v>
      </c>
    </row>
    <row r="703" spans="1:34" hidden="1">
      <c r="A703">
        <v>701</v>
      </c>
      <c r="B703">
        <v>623</v>
      </c>
      <c r="C703">
        <v>631</v>
      </c>
      <c r="D703" t="s">
        <v>62</v>
      </c>
      <c r="E703" t="s">
        <v>62</v>
      </c>
      <c r="F703" t="b">
        <f t="shared" si="20"/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f t="shared" si="21"/>
        <v>0</v>
      </c>
    </row>
    <row r="704" spans="1:34" hidden="1">
      <c r="A704">
        <v>702</v>
      </c>
      <c r="B704">
        <v>624</v>
      </c>
      <c r="C704">
        <v>632</v>
      </c>
      <c r="D704" t="s">
        <v>6</v>
      </c>
      <c r="E704" t="s">
        <v>5</v>
      </c>
      <c r="F704" t="b">
        <f t="shared" si="20"/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f t="shared" si="21"/>
        <v>0</v>
      </c>
    </row>
    <row r="705" spans="1:34" hidden="1">
      <c r="A705">
        <v>703</v>
      </c>
      <c r="B705">
        <v>625</v>
      </c>
      <c r="C705">
        <v>633</v>
      </c>
      <c r="D705" t="s">
        <v>8</v>
      </c>
      <c r="E705" t="s">
        <v>10</v>
      </c>
      <c r="F705" t="b">
        <f t="shared" si="20"/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f t="shared" si="21"/>
        <v>0</v>
      </c>
    </row>
    <row r="706" spans="1:34" hidden="1">
      <c r="A706">
        <v>704</v>
      </c>
      <c r="B706">
        <v>626</v>
      </c>
      <c r="C706">
        <v>634</v>
      </c>
      <c r="D706" t="s">
        <v>6</v>
      </c>
      <c r="E706" t="s">
        <v>6</v>
      </c>
      <c r="F706" t="b">
        <f t="shared" si="20"/>
        <v>1</v>
      </c>
      <c r="G706" t="s">
        <v>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0.146341463414634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f t="shared" si="21"/>
        <v>0</v>
      </c>
    </row>
    <row r="707" spans="1:34" hidden="1">
      <c r="A707">
        <v>705</v>
      </c>
      <c r="B707">
        <v>627</v>
      </c>
      <c r="C707">
        <v>635</v>
      </c>
      <c r="D707" t="s">
        <v>46</v>
      </c>
      <c r="E707" t="s">
        <v>46</v>
      </c>
      <c r="F707" t="b">
        <f t="shared" ref="F707:F770" si="22">D707=G707</f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f t="shared" ref="AH707:AH770" si="23">COUNTIF(H707:AG707,"&gt;0.25")</f>
        <v>0</v>
      </c>
    </row>
    <row r="708" spans="1:34" hidden="1">
      <c r="A708">
        <v>706</v>
      </c>
      <c r="B708">
        <v>628</v>
      </c>
      <c r="C708">
        <v>636</v>
      </c>
      <c r="D708" t="s">
        <v>6</v>
      </c>
      <c r="E708" t="s">
        <v>3</v>
      </c>
      <c r="F708" t="b">
        <f t="shared" si="22"/>
        <v>1</v>
      </c>
      <c r="G708" t="s">
        <v>6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0.86847389558232901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f t="shared" si="23"/>
        <v>1</v>
      </c>
    </row>
    <row r="709" spans="1:34" hidden="1">
      <c r="A709">
        <v>707</v>
      </c>
      <c r="B709">
        <v>629</v>
      </c>
      <c r="C709">
        <v>637</v>
      </c>
      <c r="D709" t="s">
        <v>3</v>
      </c>
      <c r="E709" t="s">
        <v>3</v>
      </c>
      <c r="F709" t="b">
        <f t="shared" si="22"/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f t="shared" si="23"/>
        <v>0</v>
      </c>
    </row>
    <row r="710" spans="1:34" hidden="1">
      <c r="A710">
        <v>708</v>
      </c>
      <c r="B710">
        <v>630</v>
      </c>
      <c r="C710">
        <v>638</v>
      </c>
      <c r="D710" t="s">
        <v>61</v>
      </c>
      <c r="E710" t="s">
        <v>61</v>
      </c>
      <c r="F710" t="b">
        <f t="shared" si="22"/>
        <v>1</v>
      </c>
      <c r="G710" t="s">
        <v>61</v>
      </c>
      <c r="H710">
        <v>0</v>
      </c>
      <c r="I710">
        <v>0.36033994334277603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f t="shared" si="23"/>
        <v>1</v>
      </c>
    </row>
    <row r="711" spans="1:34" hidden="1">
      <c r="A711">
        <v>709</v>
      </c>
      <c r="B711">
        <v>631</v>
      </c>
      <c r="C711">
        <v>639</v>
      </c>
      <c r="D711" t="s">
        <v>2</v>
      </c>
      <c r="E711" t="s">
        <v>2</v>
      </c>
      <c r="F711" t="b">
        <f t="shared" si="22"/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f t="shared" si="23"/>
        <v>0</v>
      </c>
    </row>
    <row r="712" spans="1:34" hidden="1">
      <c r="A712">
        <v>710</v>
      </c>
      <c r="B712">
        <v>632</v>
      </c>
      <c r="C712">
        <v>640</v>
      </c>
      <c r="D712" t="s">
        <v>3</v>
      </c>
      <c r="E712" t="s">
        <v>7</v>
      </c>
      <c r="F712" t="b">
        <f t="shared" si="22"/>
        <v>0</v>
      </c>
      <c r="G712" t="s">
        <v>5</v>
      </c>
      <c r="H712">
        <v>0</v>
      </c>
      <c r="I712">
        <v>0</v>
      </c>
      <c r="J712">
        <v>0</v>
      </c>
      <c r="K712">
        <v>0.16666666666666599</v>
      </c>
      <c r="L712">
        <v>0</v>
      </c>
      <c r="M712">
        <v>0.14245810055865901</v>
      </c>
      <c r="N712">
        <v>0</v>
      </c>
      <c r="O712">
        <v>0</v>
      </c>
      <c r="P712">
        <v>0.102137767220902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f t="shared" si="23"/>
        <v>0</v>
      </c>
    </row>
    <row r="713" spans="1:34" hidden="1">
      <c r="A713">
        <v>711</v>
      </c>
      <c r="B713">
        <v>633</v>
      </c>
      <c r="C713">
        <v>641</v>
      </c>
      <c r="D713" t="s">
        <v>2</v>
      </c>
      <c r="E713" t="s">
        <v>42</v>
      </c>
      <c r="F713" t="b">
        <f t="shared" si="22"/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f t="shared" si="23"/>
        <v>0</v>
      </c>
    </row>
    <row r="714" spans="1:34" hidden="1">
      <c r="A714">
        <v>712</v>
      </c>
      <c r="B714">
        <v>634</v>
      </c>
      <c r="C714">
        <v>642</v>
      </c>
      <c r="D714" t="s">
        <v>46</v>
      </c>
      <c r="E714" t="s">
        <v>46</v>
      </c>
      <c r="F714" t="b">
        <f t="shared" si="22"/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f t="shared" si="23"/>
        <v>0</v>
      </c>
    </row>
    <row r="715" spans="1:34" hidden="1">
      <c r="A715">
        <v>713</v>
      </c>
      <c r="B715">
        <v>635</v>
      </c>
      <c r="C715">
        <v>643</v>
      </c>
      <c r="D715" t="s">
        <v>61</v>
      </c>
      <c r="E715" t="s">
        <v>9</v>
      </c>
      <c r="F715" t="b">
        <f t="shared" si="22"/>
        <v>1</v>
      </c>
      <c r="G715" t="s">
        <v>61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0.11673753382296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f t="shared" si="23"/>
        <v>0</v>
      </c>
    </row>
    <row r="716" spans="1:34" hidden="1">
      <c r="A716">
        <v>714</v>
      </c>
      <c r="B716">
        <v>636</v>
      </c>
      <c r="C716">
        <v>644</v>
      </c>
      <c r="D716" t="s">
        <v>2</v>
      </c>
      <c r="E716" t="s">
        <v>7</v>
      </c>
      <c r="F716" t="b">
        <f t="shared" si="22"/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f t="shared" si="23"/>
        <v>0</v>
      </c>
    </row>
    <row r="717" spans="1:34" hidden="1">
      <c r="A717">
        <v>715</v>
      </c>
      <c r="B717">
        <v>637</v>
      </c>
      <c r="C717">
        <v>645</v>
      </c>
      <c r="D717" t="s">
        <v>42</v>
      </c>
      <c r="E717" t="s">
        <v>42</v>
      </c>
      <c r="F717" t="b">
        <f t="shared" si="22"/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f t="shared" si="23"/>
        <v>0</v>
      </c>
    </row>
    <row r="718" spans="1:34" hidden="1">
      <c r="A718">
        <v>716</v>
      </c>
      <c r="B718">
        <v>638</v>
      </c>
      <c r="C718">
        <v>646</v>
      </c>
      <c r="D718" t="s">
        <v>46</v>
      </c>
      <c r="E718" t="s">
        <v>46</v>
      </c>
      <c r="F718" t="b">
        <f t="shared" si="22"/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f t="shared" si="23"/>
        <v>0</v>
      </c>
    </row>
    <row r="719" spans="1:34" hidden="1">
      <c r="A719">
        <v>717</v>
      </c>
      <c r="B719">
        <v>639</v>
      </c>
      <c r="C719">
        <v>647</v>
      </c>
      <c r="D719" t="s">
        <v>6</v>
      </c>
      <c r="E719" t="s">
        <v>6</v>
      </c>
      <c r="F719" t="b">
        <f t="shared" si="22"/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f t="shared" si="23"/>
        <v>0</v>
      </c>
    </row>
    <row r="720" spans="1:34" hidden="1">
      <c r="A720">
        <v>718</v>
      </c>
      <c r="B720">
        <v>640</v>
      </c>
      <c r="C720">
        <v>648</v>
      </c>
      <c r="D720" t="s">
        <v>6</v>
      </c>
      <c r="E720" t="s">
        <v>6</v>
      </c>
      <c r="F720" t="b">
        <f t="shared" si="22"/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f t="shared" si="23"/>
        <v>0</v>
      </c>
    </row>
    <row r="721" spans="1:34" hidden="1">
      <c r="A721">
        <v>719</v>
      </c>
      <c r="B721">
        <v>641</v>
      </c>
      <c r="C721">
        <v>649</v>
      </c>
      <c r="D721" t="s">
        <v>7</v>
      </c>
      <c r="E721" t="s">
        <v>7</v>
      </c>
      <c r="F721" t="b">
        <f t="shared" si="22"/>
        <v>1</v>
      </c>
      <c r="G721" t="s">
        <v>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0.12509197939661501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f t="shared" si="23"/>
        <v>0</v>
      </c>
    </row>
    <row r="722" spans="1:34" hidden="1">
      <c r="A722">
        <v>720</v>
      </c>
      <c r="B722">
        <v>642</v>
      </c>
      <c r="C722">
        <v>650</v>
      </c>
      <c r="D722" t="s">
        <v>44</v>
      </c>
      <c r="E722" t="s">
        <v>44</v>
      </c>
      <c r="F722" t="b">
        <f t="shared" si="22"/>
        <v>1</v>
      </c>
      <c r="G722" t="s">
        <v>44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0.16406165786353299</v>
      </c>
      <c r="AG722">
        <v>0</v>
      </c>
      <c r="AH722">
        <f t="shared" si="23"/>
        <v>0</v>
      </c>
    </row>
    <row r="723" spans="1:34" hidden="1">
      <c r="A723">
        <v>721</v>
      </c>
      <c r="B723">
        <v>643</v>
      </c>
      <c r="C723">
        <v>651</v>
      </c>
      <c r="D723" t="s">
        <v>46</v>
      </c>
      <c r="E723" t="s">
        <v>3</v>
      </c>
      <c r="F723" t="b">
        <f t="shared" si="22"/>
        <v>0</v>
      </c>
      <c r="G723" t="s">
        <v>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0.18344827586206799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f t="shared" si="23"/>
        <v>0</v>
      </c>
    </row>
    <row r="724" spans="1:34" hidden="1">
      <c r="A724">
        <v>722</v>
      </c>
      <c r="B724">
        <v>643</v>
      </c>
      <c r="C724">
        <v>651</v>
      </c>
      <c r="D724" t="s">
        <v>46</v>
      </c>
      <c r="E724" t="s">
        <v>3</v>
      </c>
      <c r="F724" t="b">
        <f t="shared" si="22"/>
        <v>0</v>
      </c>
      <c r="G724" t="s">
        <v>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0.16401376640137599</v>
      </c>
      <c r="AG724">
        <v>0</v>
      </c>
      <c r="AH724">
        <f t="shared" si="23"/>
        <v>0</v>
      </c>
    </row>
    <row r="725" spans="1:34" hidden="1">
      <c r="A725">
        <v>723</v>
      </c>
      <c r="B725">
        <v>644</v>
      </c>
      <c r="C725">
        <v>652</v>
      </c>
      <c r="D725" t="s">
        <v>44</v>
      </c>
      <c r="E725" t="s">
        <v>44</v>
      </c>
      <c r="F725" t="b">
        <f t="shared" si="22"/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f t="shared" si="23"/>
        <v>0</v>
      </c>
    </row>
    <row r="726" spans="1:34" hidden="1">
      <c r="A726">
        <v>724</v>
      </c>
      <c r="B726">
        <v>645</v>
      </c>
      <c r="C726">
        <v>653</v>
      </c>
      <c r="D726" t="s">
        <v>44</v>
      </c>
      <c r="E726" t="s">
        <v>44</v>
      </c>
      <c r="F726" t="b">
        <f t="shared" si="22"/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f t="shared" si="23"/>
        <v>0</v>
      </c>
    </row>
    <row r="727" spans="1:34" hidden="1">
      <c r="A727">
        <v>725</v>
      </c>
      <c r="B727">
        <v>646</v>
      </c>
      <c r="C727">
        <v>654</v>
      </c>
      <c r="D727" t="s">
        <v>6</v>
      </c>
      <c r="E727" t="s">
        <v>6</v>
      </c>
      <c r="F727" t="b">
        <f t="shared" si="22"/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f t="shared" si="23"/>
        <v>0</v>
      </c>
    </row>
    <row r="728" spans="1:34" hidden="1">
      <c r="A728">
        <v>726</v>
      </c>
      <c r="B728">
        <v>647</v>
      </c>
      <c r="C728">
        <v>655</v>
      </c>
      <c r="D728" t="s">
        <v>8</v>
      </c>
      <c r="E728" t="s">
        <v>8</v>
      </c>
      <c r="F728" t="b">
        <f t="shared" si="22"/>
        <v>0</v>
      </c>
      <c r="G728" t="s">
        <v>43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0.106481481481481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f t="shared" si="23"/>
        <v>0</v>
      </c>
    </row>
    <row r="729" spans="1:34" hidden="1">
      <c r="A729">
        <v>727</v>
      </c>
      <c r="B729">
        <v>648</v>
      </c>
      <c r="C729">
        <v>656</v>
      </c>
      <c r="D729" t="s">
        <v>3</v>
      </c>
      <c r="E729" t="s">
        <v>3</v>
      </c>
      <c r="F729" t="b">
        <f t="shared" si="22"/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f t="shared" si="23"/>
        <v>0</v>
      </c>
    </row>
    <row r="730" spans="1:34" hidden="1">
      <c r="A730">
        <v>728</v>
      </c>
      <c r="B730">
        <v>649</v>
      </c>
      <c r="C730">
        <v>657</v>
      </c>
      <c r="D730" t="s">
        <v>6</v>
      </c>
      <c r="E730" t="s">
        <v>6</v>
      </c>
      <c r="F730" t="b">
        <f t="shared" si="22"/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f t="shared" si="23"/>
        <v>0</v>
      </c>
    </row>
    <row r="731" spans="1:34" hidden="1">
      <c r="A731">
        <v>729</v>
      </c>
      <c r="B731">
        <v>650</v>
      </c>
      <c r="C731">
        <v>658</v>
      </c>
      <c r="D731" t="s">
        <v>44</v>
      </c>
      <c r="E731" t="s">
        <v>44</v>
      </c>
      <c r="F731" t="b">
        <f t="shared" si="22"/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f t="shared" si="23"/>
        <v>0</v>
      </c>
    </row>
    <row r="732" spans="1:34" hidden="1">
      <c r="A732">
        <v>730</v>
      </c>
      <c r="B732">
        <v>651</v>
      </c>
      <c r="C732">
        <v>659</v>
      </c>
      <c r="D732" t="s">
        <v>6</v>
      </c>
      <c r="E732" t="s">
        <v>6</v>
      </c>
      <c r="F732" t="b">
        <f t="shared" si="22"/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f t="shared" si="23"/>
        <v>0</v>
      </c>
    </row>
    <row r="733" spans="1:34" hidden="1">
      <c r="A733">
        <v>731</v>
      </c>
      <c r="B733">
        <v>652</v>
      </c>
      <c r="C733">
        <v>660</v>
      </c>
      <c r="D733" t="s">
        <v>42</v>
      </c>
      <c r="E733" t="s">
        <v>42</v>
      </c>
      <c r="F733" t="b">
        <f t="shared" si="22"/>
        <v>1</v>
      </c>
      <c r="G733" t="s">
        <v>42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0.11853287609959701</v>
      </c>
      <c r="AH733">
        <f t="shared" si="23"/>
        <v>0</v>
      </c>
    </row>
    <row r="734" spans="1:34" hidden="1">
      <c r="A734">
        <v>732</v>
      </c>
      <c r="B734">
        <v>653</v>
      </c>
      <c r="C734">
        <v>661</v>
      </c>
      <c r="D734" t="s">
        <v>42</v>
      </c>
      <c r="E734" t="s">
        <v>42</v>
      </c>
      <c r="F734" t="b">
        <f t="shared" si="22"/>
        <v>1</v>
      </c>
      <c r="G734" t="s">
        <v>42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0.96224619289340096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f t="shared" si="23"/>
        <v>1</v>
      </c>
    </row>
    <row r="735" spans="1:34" hidden="1">
      <c r="A735">
        <v>733</v>
      </c>
      <c r="B735">
        <v>654</v>
      </c>
      <c r="C735">
        <v>662</v>
      </c>
      <c r="D735" t="s">
        <v>6</v>
      </c>
      <c r="E735" t="s">
        <v>6</v>
      </c>
      <c r="F735" t="b">
        <f t="shared" si="22"/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f t="shared" si="23"/>
        <v>0</v>
      </c>
    </row>
    <row r="736" spans="1:34" hidden="1">
      <c r="A736">
        <v>734</v>
      </c>
      <c r="B736">
        <v>655</v>
      </c>
      <c r="C736">
        <v>663</v>
      </c>
      <c r="D736" t="s">
        <v>42</v>
      </c>
      <c r="E736" t="s">
        <v>42</v>
      </c>
      <c r="F736" t="b">
        <f t="shared" si="22"/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f t="shared" si="23"/>
        <v>0</v>
      </c>
    </row>
    <row r="737" spans="1:34" hidden="1">
      <c r="A737">
        <v>735</v>
      </c>
      <c r="B737">
        <v>656</v>
      </c>
      <c r="C737">
        <v>664</v>
      </c>
      <c r="D737" t="s">
        <v>5</v>
      </c>
      <c r="E737" t="s">
        <v>5</v>
      </c>
      <c r="F737" t="b">
        <f t="shared" si="22"/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f t="shared" si="23"/>
        <v>0</v>
      </c>
    </row>
    <row r="738" spans="1:34" hidden="1">
      <c r="A738">
        <v>736</v>
      </c>
      <c r="B738">
        <v>657</v>
      </c>
      <c r="C738">
        <v>665</v>
      </c>
      <c r="D738" t="s">
        <v>8</v>
      </c>
      <c r="E738" t="s">
        <v>8</v>
      </c>
      <c r="F738" t="b">
        <f t="shared" si="22"/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f t="shared" si="23"/>
        <v>0</v>
      </c>
    </row>
    <row r="739" spans="1:34" hidden="1">
      <c r="A739">
        <v>737</v>
      </c>
      <c r="B739">
        <v>658</v>
      </c>
      <c r="C739">
        <v>666</v>
      </c>
      <c r="D739" t="s">
        <v>62</v>
      </c>
      <c r="E739" t="s">
        <v>62</v>
      </c>
      <c r="F739" t="b">
        <f t="shared" si="22"/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f t="shared" si="23"/>
        <v>0</v>
      </c>
    </row>
    <row r="740" spans="1:34" hidden="1">
      <c r="A740">
        <v>738</v>
      </c>
      <c r="B740">
        <v>659</v>
      </c>
      <c r="C740">
        <v>667</v>
      </c>
      <c r="D740" t="s">
        <v>1</v>
      </c>
      <c r="E740" t="s">
        <v>1</v>
      </c>
      <c r="F740" t="b">
        <f t="shared" si="22"/>
        <v>0</v>
      </c>
      <c r="G740" t="s">
        <v>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0.14280895086022699</v>
      </c>
      <c r="AG740">
        <v>0</v>
      </c>
      <c r="AH740">
        <f t="shared" si="23"/>
        <v>0</v>
      </c>
    </row>
    <row r="741" spans="1:34" hidden="1">
      <c r="A741">
        <v>739</v>
      </c>
      <c r="B741">
        <v>660</v>
      </c>
      <c r="C741">
        <v>668</v>
      </c>
      <c r="D741" t="s">
        <v>7</v>
      </c>
      <c r="E741" t="s">
        <v>7</v>
      </c>
      <c r="F741" t="b">
        <f t="shared" si="22"/>
        <v>0</v>
      </c>
      <c r="G741" t="s">
        <v>46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0.10204665807929</v>
      </c>
      <c r="AH741">
        <f t="shared" si="23"/>
        <v>0</v>
      </c>
    </row>
    <row r="742" spans="1:34">
      <c r="A742">
        <v>740</v>
      </c>
      <c r="B742">
        <v>660</v>
      </c>
      <c r="C742">
        <v>668</v>
      </c>
      <c r="D742" t="s">
        <v>7</v>
      </c>
      <c r="E742" t="s">
        <v>7</v>
      </c>
      <c r="F742" t="b">
        <f t="shared" si="22"/>
        <v>0</v>
      </c>
      <c r="G742" t="s">
        <v>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0.294290892614408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f t="shared" si="23"/>
        <v>1</v>
      </c>
    </row>
    <row r="743" spans="1:34" hidden="1">
      <c r="A743">
        <v>741</v>
      </c>
      <c r="B743">
        <v>661</v>
      </c>
      <c r="C743">
        <v>669</v>
      </c>
      <c r="D743" t="s">
        <v>42</v>
      </c>
      <c r="E743" t="s">
        <v>42</v>
      </c>
      <c r="F743" t="b">
        <f t="shared" si="22"/>
        <v>1</v>
      </c>
      <c r="G743" t="s">
        <v>42</v>
      </c>
      <c r="H743">
        <v>0.112567463377023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f t="shared" si="23"/>
        <v>0</v>
      </c>
    </row>
    <row r="744" spans="1:34" hidden="1">
      <c r="A744">
        <v>742</v>
      </c>
      <c r="B744">
        <v>662</v>
      </c>
      <c r="C744">
        <v>670</v>
      </c>
      <c r="D744" t="s">
        <v>62</v>
      </c>
      <c r="E744" t="s">
        <v>62</v>
      </c>
      <c r="F744" t="b">
        <f t="shared" si="22"/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f t="shared" si="23"/>
        <v>0</v>
      </c>
    </row>
    <row r="745" spans="1:34" hidden="1">
      <c r="A745">
        <v>743</v>
      </c>
      <c r="B745">
        <v>663</v>
      </c>
      <c r="C745">
        <v>671</v>
      </c>
      <c r="D745" t="s">
        <v>3</v>
      </c>
      <c r="E745" t="s">
        <v>3</v>
      </c>
      <c r="F745" t="b">
        <f t="shared" si="22"/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f t="shared" si="23"/>
        <v>0</v>
      </c>
    </row>
    <row r="746" spans="1:34" hidden="1">
      <c r="A746">
        <v>744</v>
      </c>
      <c r="B746">
        <v>664</v>
      </c>
      <c r="C746">
        <v>672</v>
      </c>
      <c r="D746" t="s">
        <v>62</v>
      </c>
      <c r="E746" t="s">
        <v>62</v>
      </c>
      <c r="F746" t="b">
        <f t="shared" si="22"/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f t="shared" si="23"/>
        <v>0</v>
      </c>
    </row>
    <row r="747" spans="1:34" hidden="1">
      <c r="A747">
        <v>745</v>
      </c>
      <c r="B747">
        <v>665</v>
      </c>
      <c r="C747">
        <v>673</v>
      </c>
      <c r="D747" t="s">
        <v>48</v>
      </c>
      <c r="E747" t="s">
        <v>48</v>
      </c>
      <c r="F747" t="b">
        <f t="shared" si="22"/>
        <v>1</v>
      </c>
      <c r="G747" t="s">
        <v>48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0.11637148047229701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f t="shared" si="23"/>
        <v>0</v>
      </c>
    </row>
    <row r="748" spans="1:34" hidden="1">
      <c r="A748">
        <v>746</v>
      </c>
      <c r="B748">
        <v>666</v>
      </c>
      <c r="C748">
        <v>674</v>
      </c>
      <c r="D748" t="s">
        <v>5</v>
      </c>
      <c r="E748" t="s">
        <v>3</v>
      </c>
      <c r="F748" t="b">
        <f t="shared" si="22"/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f t="shared" si="23"/>
        <v>0</v>
      </c>
    </row>
    <row r="749" spans="1:34" hidden="1">
      <c r="A749">
        <v>747</v>
      </c>
      <c r="B749">
        <v>667</v>
      </c>
      <c r="C749">
        <v>675</v>
      </c>
      <c r="D749" t="s">
        <v>46</v>
      </c>
      <c r="E749" t="s">
        <v>46</v>
      </c>
      <c r="F749" t="b">
        <f t="shared" si="22"/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f t="shared" si="23"/>
        <v>0</v>
      </c>
    </row>
    <row r="750" spans="1:34" hidden="1">
      <c r="A750">
        <v>748</v>
      </c>
      <c r="B750">
        <v>668</v>
      </c>
      <c r="C750">
        <v>676</v>
      </c>
      <c r="D750" t="s">
        <v>2</v>
      </c>
      <c r="E750" t="s">
        <v>2</v>
      </c>
      <c r="F750" t="b">
        <f t="shared" si="22"/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f t="shared" si="23"/>
        <v>0</v>
      </c>
    </row>
    <row r="751" spans="1:34" hidden="1">
      <c r="A751">
        <v>749</v>
      </c>
      <c r="B751">
        <v>669</v>
      </c>
      <c r="C751">
        <v>677</v>
      </c>
      <c r="D751" t="s">
        <v>8</v>
      </c>
      <c r="E751" t="s">
        <v>3</v>
      </c>
      <c r="F751" t="b">
        <f t="shared" si="22"/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f t="shared" si="23"/>
        <v>0</v>
      </c>
    </row>
    <row r="752" spans="1:34" hidden="1">
      <c r="A752">
        <v>750</v>
      </c>
      <c r="B752">
        <v>670</v>
      </c>
      <c r="C752">
        <v>678</v>
      </c>
      <c r="D752" t="s">
        <v>62</v>
      </c>
      <c r="E752" t="s">
        <v>62</v>
      </c>
      <c r="F752" t="b">
        <f t="shared" si="22"/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f t="shared" si="23"/>
        <v>0</v>
      </c>
    </row>
    <row r="753" spans="1:34" hidden="1">
      <c r="A753">
        <v>751</v>
      </c>
      <c r="B753">
        <v>671</v>
      </c>
      <c r="C753">
        <v>679</v>
      </c>
      <c r="D753" t="s">
        <v>42</v>
      </c>
      <c r="E753" t="s">
        <v>42</v>
      </c>
      <c r="F753" t="b">
        <f t="shared" si="22"/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f t="shared" si="23"/>
        <v>0</v>
      </c>
    </row>
    <row r="754" spans="1:34" hidden="1">
      <c r="A754">
        <v>752</v>
      </c>
      <c r="B754">
        <v>672</v>
      </c>
      <c r="C754">
        <v>680</v>
      </c>
      <c r="D754" t="s">
        <v>62</v>
      </c>
      <c r="E754" t="s">
        <v>62</v>
      </c>
      <c r="F754" t="b">
        <f t="shared" si="22"/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f t="shared" si="23"/>
        <v>0</v>
      </c>
    </row>
    <row r="755" spans="1:34" hidden="1">
      <c r="A755">
        <v>753</v>
      </c>
      <c r="B755">
        <v>673</v>
      </c>
      <c r="C755">
        <v>681</v>
      </c>
      <c r="D755" t="s">
        <v>61</v>
      </c>
      <c r="E755" t="s">
        <v>61</v>
      </c>
      <c r="F755" t="b">
        <f t="shared" si="22"/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f t="shared" si="23"/>
        <v>0</v>
      </c>
    </row>
    <row r="756" spans="1:34" hidden="1">
      <c r="A756">
        <v>754</v>
      </c>
      <c r="B756">
        <v>674</v>
      </c>
      <c r="C756">
        <v>682</v>
      </c>
      <c r="D756" t="s">
        <v>46</v>
      </c>
      <c r="E756" t="s">
        <v>46</v>
      </c>
      <c r="F756" t="b">
        <f t="shared" si="22"/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f t="shared" si="23"/>
        <v>0</v>
      </c>
    </row>
    <row r="757" spans="1:34" hidden="1">
      <c r="A757">
        <v>755</v>
      </c>
      <c r="B757">
        <v>675</v>
      </c>
      <c r="C757">
        <v>683</v>
      </c>
      <c r="D757" t="s">
        <v>8</v>
      </c>
      <c r="E757" t="s">
        <v>8</v>
      </c>
      <c r="F757" t="b">
        <f t="shared" si="22"/>
        <v>1</v>
      </c>
      <c r="G757" t="s">
        <v>8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0.122448979591836</v>
      </c>
      <c r="AF757">
        <v>0</v>
      </c>
      <c r="AG757">
        <v>0</v>
      </c>
      <c r="AH757">
        <f t="shared" si="23"/>
        <v>0</v>
      </c>
    </row>
    <row r="758" spans="1:34">
      <c r="A758">
        <v>756</v>
      </c>
      <c r="B758">
        <v>675</v>
      </c>
      <c r="C758">
        <v>683</v>
      </c>
      <c r="D758" t="s">
        <v>8</v>
      </c>
      <c r="E758" t="s">
        <v>8</v>
      </c>
      <c r="F758" t="b">
        <f t="shared" si="22"/>
        <v>0</v>
      </c>
      <c r="G758" t="s">
        <v>10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0.43195541105434199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f t="shared" si="23"/>
        <v>1</v>
      </c>
    </row>
    <row r="759" spans="1:34" hidden="1">
      <c r="A759">
        <v>757</v>
      </c>
      <c r="B759">
        <v>676</v>
      </c>
      <c r="C759">
        <v>684</v>
      </c>
      <c r="D759" t="s">
        <v>46</v>
      </c>
      <c r="E759" t="s">
        <v>42</v>
      </c>
      <c r="F759" t="b">
        <f t="shared" si="22"/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f t="shared" si="23"/>
        <v>0</v>
      </c>
    </row>
    <row r="760" spans="1:34" hidden="1">
      <c r="A760">
        <v>758</v>
      </c>
      <c r="B760">
        <v>677</v>
      </c>
      <c r="C760">
        <v>685</v>
      </c>
      <c r="D760" t="s">
        <v>48</v>
      </c>
      <c r="E760" t="s">
        <v>48</v>
      </c>
      <c r="F760" t="b">
        <f t="shared" si="22"/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f t="shared" si="23"/>
        <v>0</v>
      </c>
    </row>
    <row r="761" spans="1:34" hidden="1">
      <c r="A761">
        <v>759</v>
      </c>
      <c r="B761">
        <v>678</v>
      </c>
      <c r="C761">
        <v>686</v>
      </c>
      <c r="D761" t="s">
        <v>46</v>
      </c>
      <c r="E761" t="s">
        <v>46</v>
      </c>
      <c r="F761" t="b">
        <f t="shared" si="22"/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f t="shared" si="23"/>
        <v>0</v>
      </c>
    </row>
    <row r="762" spans="1:34">
      <c r="A762">
        <v>760</v>
      </c>
      <c r="B762">
        <v>679</v>
      </c>
      <c r="C762">
        <v>687</v>
      </c>
      <c r="D762" t="s">
        <v>43</v>
      </c>
      <c r="E762" t="s">
        <v>43</v>
      </c>
      <c r="F762" t="b">
        <f t="shared" si="22"/>
        <v>0</v>
      </c>
      <c r="G762" t="s">
        <v>46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0.35199386503067398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0.30769230769230699</v>
      </c>
      <c r="AF762">
        <v>0</v>
      </c>
      <c r="AG762">
        <v>0</v>
      </c>
      <c r="AH762">
        <f t="shared" si="23"/>
        <v>2</v>
      </c>
    </row>
    <row r="763" spans="1:34" hidden="1">
      <c r="A763">
        <v>761</v>
      </c>
      <c r="B763">
        <v>680</v>
      </c>
      <c r="C763">
        <v>688</v>
      </c>
      <c r="D763" t="s">
        <v>46</v>
      </c>
      <c r="E763" t="s">
        <v>46</v>
      </c>
      <c r="F763" t="b">
        <f t="shared" si="22"/>
        <v>1</v>
      </c>
      <c r="G763" t="s">
        <v>46</v>
      </c>
      <c r="H763">
        <v>0</v>
      </c>
      <c r="I763">
        <v>0</v>
      </c>
      <c r="J763">
        <v>0</v>
      </c>
      <c r="K763">
        <v>0.13806706114398401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f t="shared" si="23"/>
        <v>0</v>
      </c>
    </row>
    <row r="764" spans="1:34" hidden="1">
      <c r="A764">
        <v>762</v>
      </c>
      <c r="B764">
        <v>681</v>
      </c>
      <c r="C764">
        <v>689</v>
      </c>
      <c r="D764" t="s">
        <v>47</v>
      </c>
      <c r="E764" t="s">
        <v>47</v>
      </c>
      <c r="F764" t="b">
        <f t="shared" si="22"/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f t="shared" si="23"/>
        <v>0</v>
      </c>
    </row>
    <row r="765" spans="1:34" hidden="1">
      <c r="A765">
        <v>763</v>
      </c>
      <c r="B765">
        <v>682</v>
      </c>
      <c r="C765">
        <v>690</v>
      </c>
      <c r="D765" t="s">
        <v>4</v>
      </c>
      <c r="E765" t="s">
        <v>4</v>
      </c>
      <c r="F765" t="b">
        <f t="shared" si="22"/>
        <v>1</v>
      </c>
      <c r="G765" t="s">
        <v>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0.121001184834123</v>
      </c>
      <c r="AH765">
        <f t="shared" si="23"/>
        <v>0</v>
      </c>
    </row>
    <row r="766" spans="1:34" hidden="1">
      <c r="A766">
        <v>764</v>
      </c>
      <c r="B766">
        <v>683</v>
      </c>
      <c r="C766">
        <v>691</v>
      </c>
      <c r="D766" t="s">
        <v>4</v>
      </c>
      <c r="E766" t="s">
        <v>4</v>
      </c>
      <c r="F766" t="b">
        <f t="shared" si="22"/>
        <v>1</v>
      </c>
      <c r="G766" t="s">
        <v>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0.17873303167420801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f t="shared" si="23"/>
        <v>0</v>
      </c>
    </row>
    <row r="767" spans="1:34" hidden="1">
      <c r="A767">
        <v>765</v>
      </c>
      <c r="B767">
        <v>683</v>
      </c>
      <c r="C767">
        <v>691</v>
      </c>
      <c r="D767" t="s">
        <v>4</v>
      </c>
      <c r="E767" t="s">
        <v>4</v>
      </c>
      <c r="F767" t="b">
        <f t="shared" si="22"/>
        <v>0</v>
      </c>
      <c r="G767" t="s">
        <v>7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0.123916608104942</v>
      </c>
      <c r="AG767">
        <v>0</v>
      </c>
      <c r="AH767">
        <f t="shared" si="23"/>
        <v>0</v>
      </c>
    </row>
    <row r="768" spans="1:34" hidden="1">
      <c r="A768">
        <v>766</v>
      </c>
      <c r="B768">
        <v>684</v>
      </c>
      <c r="C768">
        <v>692</v>
      </c>
      <c r="D768" t="s">
        <v>42</v>
      </c>
      <c r="E768" t="s">
        <v>42</v>
      </c>
      <c r="F768" t="b">
        <f t="shared" si="22"/>
        <v>0</v>
      </c>
      <c r="G768" t="s">
        <v>62</v>
      </c>
      <c r="H768">
        <v>0</v>
      </c>
      <c r="I768">
        <v>0</v>
      </c>
      <c r="J768">
        <v>0.11526203966005601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f t="shared" si="23"/>
        <v>0</v>
      </c>
    </row>
    <row r="769" spans="1:34" hidden="1">
      <c r="A769">
        <v>767</v>
      </c>
      <c r="B769">
        <v>685</v>
      </c>
      <c r="C769">
        <v>693</v>
      </c>
      <c r="D769" t="s">
        <v>46</v>
      </c>
      <c r="E769" t="s">
        <v>47</v>
      </c>
      <c r="F769" t="b">
        <f t="shared" si="22"/>
        <v>0</v>
      </c>
      <c r="G769" t="s">
        <v>47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0.105754514845423</v>
      </c>
      <c r="AH769">
        <f t="shared" si="23"/>
        <v>0</v>
      </c>
    </row>
    <row r="770" spans="1:34" hidden="1">
      <c r="A770">
        <v>768</v>
      </c>
      <c r="B770">
        <v>685</v>
      </c>
      <c r="C770">
        <v>693</v>
      </c>
      <c r="D770" t="s">
        <v>46</v>
      </c>
      <c r="E770" t="s">
        <v>47</v>
      </c>
      <c r="F770" t="b">
        <f t="shared" si="22"/>
        <v>0</v>
      </c>
      <c r="G770" t="s">
        <v>43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0.108974358974358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f t="shared" si="23"/>
        <v>0</v>
      </c>
    </row>
    <row r="771" spans="1:34" hidden="1">
      <c r="A771">
        <v>769</v>
      </c>
      <c r="B771">
        <v>686</v>
      </c>
      <c r="C771">
        <v>694</v>
      </c>
      <c r="D771" t="s">
        <v>4</v>
      </c>
      <c r="E771" t="s">
        <v>4</v>
      </c>
      <c r="F771" t="b">
        <f t="shared" ref="F771:F834" si="24">D771=G771</f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f t="shared" ref="AH771:AH834" si="25">COUNTIF(H771:AG771,"&gt;0.25")</f>
        <v>0</v>
      </c>
    </row>
    <row r="772" spans="1:34" hidden="1">
      <c r="A772">
        <v>770</v>
      </c>
      <c r="B772">
        <v>687</v>
      </c>
      <c r="C772">
        <v>695</v>
      </c>
      <c r="D772" t="s">
        <v>42</v>
      </c>
      <c r="E772" t="s">
        <v>42</v>
      </c>
      <c r="F772" t="b">
        <f t="shared" si="24"/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f t="shared" si="25"/>
        <v>0</v>
      </c>
    </row>
    <row r="773" spans="1:34">
      <c r="A773">
        <v>771</v>
      </c>
      <c r="B773">
        <v>688</v>
      </c>
      <c r="C773">
        <v>696</v>
      </c>
      <c r="D773" t="s">
        <v>10</v>
      </c>
      <c r="E773" t="s">
        <v>10</v>
      </c>
      <c r="F773" t="b">
        <f t="shared" si="24"/>
        <v>0</v>
      </c>
      <c r="G773" t="s">
        <v>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0.16639072847682099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0.441717791411042</v>
      </c>
      <c r="AF773">
        <v>0</v>
      </c>
      <c r="AG773">
        <v>0</v>
      </c>
      <c r="AH773">
        <f t="shared" si="25"/>
        <v>1</v>
      </c>
    </row>
    <row r="774" spans="1:34" hidden="1">
      <c r="A774">
        <v>772</v>
      </c>
      <c r="B774">
        <v>689</v>
      </c>
      <c r="C774">
        <v>697</v>
      </c>
      <c r="D774" t="s">
        <v>46</v>
      </c>
      <c r="E774" t="s">
        <v>46</v>
      </c>
      <c r="F774" t="b">
        <f t="shared" si="24"/>
        <v>1</v>
      </c>
      <c r="G774" t="s">
        <v>46</v>
      </c>
      <c r="H774">
        <v>0</v>
      </c>
      <c r="I774">
        <v>0</v>
      </c>
      <c r="J774">
        <v>0</v>
      </c>
      <c r="K774">
        <v>0.134490238611713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f t="shared" si="25"/>
        <v>0</v>
      </c>
    </row>
    <row r="775" spans="1:34" hidden="1">
      <c r="A775">
        <v>773</v>
      </c>
      <c r="B775">
        <v>690</v>
      </c>
      <c r="C775">
        <v>698</v>
      </c>
      <c r="D775" t="s">
        <v>47</v>
      </c>
      <c r="E775" t="s">
        <v>47</v>
      </c>
      <c r="F775" t="b">
        <f t="shared" si="24"/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f t="shared" si="25"/>
        <v>0</v>
      </c>
    </row>
    <row r="776" spans="1:34">
      <c r="A776">
        <v>774</v>
      </c>
      <c r="B776">
        <v>691</v>
      </c>
      <c r="C776">
        <v>699</v>
      </c>
      <c r="D776" t="s">
        <v>48</v>
      </c>
      <c r="E776" t="s">
        <v>48</v>
      </c>
      <c r="F776" t="b">
        <f t="shared" si="24"/>
        <v>0</v>
      </c>
      <c r="G776" t="s">
        <v>42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0.89278957326045805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f t="shared" si="25"/>
        <v>1</v>
      </c>
    </row>
    <row r="777" spans="1:34" hidden="1">
      <c r="A777">
        <v>775</v>
      </c>
      <c r="B777">
        <v>692</v>
      </c>
      <c r="C777">
        <v>700</v>
      </c>
      <c r="D777" t="s">
        <v>7</v>
      </c>
      <c r="E777" t="s">
        <v>1</v>
      </c>
      <c r="F777" t="b">
        <f t="shared" si="24"/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f t="shared" si="25"/>
        <v>0</v>
      </c>
    </row>
    <row r="778" spans="1:34">
      <c r="A778">
        <v>776</v>
      </c>
      <c r="B778">
        <v>693</v>
      </c>
      <c r="C778">
        <v>701</v>
      </c>
      <c r="D778" t="s">
        <v>47</v>
      </c>
      <c r="E778" t="s">
        <v>47</v>
      </c>
      <c r="F778" t="b">
        <f t="shared" si="24"/>
        <v>0</v>
      </c>
      <c r="G778" t="s">
        <v>46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0.90131780570027498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f t="shared" si="25"/>
        <v>1</v>
      </c>
    </row>
    <row r="779" spans="1:34" hidden="1">
      <c r="A779">
        <v>777</v>
      </c>
      <c r="B779">
        <v>694</v>
      </c>
      <c r="C779">
        <v>702</v>
      </c>
      <c r="D779" t="s">
        <v>42</v>
      </c>
      <c r="E779" t="s">
        <v>42</v>
      </c>
      <c r="F779" t="b">
        <f t="shared" si="24"/>
        <v>1</v>
      </c>
      <c r="G779" t="s">
        <v>42</v>
      </c>
      <c r="H779">
        <v>0</v>
      </c>
      <c r="I779">
        <v>0</v>
      </c>
      <c r="J779">
        <v>0.115713404424076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f t="shared" si="25"/>
        <v>0</v>
      </c>
    </row>
    <row r="780" spans="1:34" hidden="1">
      <c r="A780">
        <v>778</v>
      </c>
      <c r="B780">
        <v>695</v>
      </c>
      <c r="C780">
        <v>703</v>
      </c>
      <c r="D780" t="s">
        <v>7</v>
      </c>
      <c r="E780" t="s">
        <v>7</v>
      </c>
      <c r="F780" t="b">
        <f t="shared" si="24"/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f t="shared" si="25"/>
        <v>0</v>
      </c>
    </row>
    <row r="781" spans="1:34" hidden="1">
      <c r="A781">
        <v>779</v>
      </c>
      <c r="B781">
        <v>696</v>
      </c>
      <c r="C781">
        <v>704</v>
      </c>
      <c r="D781" t="s">
        <v>46</v>
      </c>
      <c r="E781" t="s">
        <v>46</v>
      </c>
      <c r="F781" t="b">
        <f t="shared" si="24"/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f t="shared" si="25"/>
        <v>0</v>
      </c>
    </row>
    <row r="782" spans="1:34" hidden="1">
      <c r="A782">
        <v>780</v>
      </c>
      <c r="B782">
        <v>697</v>
      </c>
      <c r="C782">
        <v>705</v>
      </c>
      <c r="D782" t="s">
        <v>47</v>
      </c>
      <c r="E782" t="s">
        <v>47</v>
      </c>
      <c r="F782" t="b">
        <f t="shared" si="24"/>
        <v>1</v>
      </c>
      <c r="G782" t="s">
        <v>47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0.106365503080082</v>
      </c>
      <c r="Y782">
        <v>0.10104087331809999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f t="shared" si="25"/>
        <v>0</v>
      </c>
    </row>
    <row r="783" spans="1:34" hidden="1">
      <c r="A783">
        <v>781</v>
      </c>
      <c r="B783">
        <v>698</v>
      </c>
      <c r="C783">
        <v>706</v>
      </c>
      <c r="D783" t="s">
        <v>3</v>
      </c>
      <c r="E783" t="s">
        <v>3</v>
      </c>
      <c r="F783" t="b">
        <f t="shared" si="24"/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f t="shared" si="25"/>
        <v>0</v>
      </c>
    </row>
    <row r="784" spans="1:34" hidden="1">
      <c r="A784">
        <v>782</v>
      </c>
      <c r="B784">
        <v>699</v>
      </c>
      <c r="C784">
        <v>707</v>
      </c>
      <c r="D784" t="s">
        <v>10</v>
      </c>
      <c r="E784" t="s">
        <v>10</v>
      </c>
      <c r="F784" t="b">
        <f t="shared" si="24"/>
        <v>0</v>
      </c>
      <c r="G784" t="s">
        <v>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0.16899224806201499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f t="shared" si="25"/>
        <v>0</v>
      </c>
    </row>
    <row r="785" spans="1:34" hidden="1">
      <c r="A785">
        <v>783</v>
      </c>
      <c r="B785">
        <v>700</v>
      </c>
      <c r="C785">
        <v>708</v>
      </c>
      <c r="D785" t="s">
        <v>47</v>
      </c>
      <c r="E785" t="s">
        <v>47</v>
      </c>
      <c r="F785" t="b">
        <f t="shared" si="24"/>
        <v>0</v>
      </c>
      <c r="G785" t="s">
        <v>42</v>
      </c>
      <c r="H785">
        <v>0</v>
      </c>
      <c r="I785">
        <v>0</v>
      </c>
      <c r="J785">
        <v>0</v>
      </c>
      <c r="K785">
        <v>0.17330677290836599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f t="shared" si="25"/>
        <v>0</v>
      </c>
    </row>
    <row r="786" spans="1:34" hidden="1">
      <c r="A786">
        <v>784</v>
      </c>
      <c r="B786">
        <v>701</v>
      </c>
      <c r="C786">
        <v>709</v>
      </c>
      <c r="D786" t="s">
        <v>10</v>
      </c>
      <c r="E786" t="s">
        <v>10</v>
      </c>
      <c r="F786" t="b">
        <f t="shared" si="24"/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f t="shared" si="25"/>
        <v>0</v>
      </c>
    </row>
    <row r="787" spans="1:34" hidden="1">
      <c r="A787">
        <v>785</v>
      </c>
      <c r="B787">
        <v>702</v>
      </c>
      <c r="C787">
        <v>710</v>
      </c>
      <c r="D787" t="s">
        <v>44</v>
      </c>
      <c r="E787" t="s">
        <v>44</v>
      </c>
      <c r="F787" t="b">
        <f t="shared" si="24"/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f t="shared" si="25"/>
        <v>0</v>
      </c>
    </row>
    <row r="788" spans="1:34" hidden="1">
      <c r="A788">
        <v>786</v>
      </c>
      <c r="B788">
        <v>703</v>
      </c>
      <c r="C788">
        <v>711</v>
      </c>
      <c r="D788" t="s">
        <v>4</v>
      </c>
      <c r="E788" t="s">
        <v>4</v>
      </c>
      <c r="F788" t="b">
        <f t="shared" si="24"/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f t="shared" si="25"/>
        <v>0</v>
      </c>
    </row>
    <row r="789" spans="1:34" hidden="1">
      <c r="A789">
        <v>787</v>
      </c>
      <c r="B789">
        <v>704</v>
      </c>
      <c r="C789">
        <v>712</v>
      </c>
      <c r="D789" t="s">
        <v>61</v>
      </c>
      <c r="E789" t="s">
        <v>61</v>
      </c>
      <c r="F789" t="b">
        <f t="shared" si="24"/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f t="shared" si="25"/>
        <v>0</v>
      </c>
    </row>
    <row r="790" spans="1:34" hidden="1">
      <c r="A790">
        <v>788</v>
      </c>
      <c r="B790">
        <v>705</v>
      </c>
      <c r="C790">
        <v>713</v>
      </c>
      <c r="D790" t="s">
        <v>7</v>
      </c>
      <c r="E790" t="s">
        <v>7</v>
      </c>
      <c r="F790" t="b">
        <f t="shared" si="24"/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f t="shared" si="25"/>
        <v>0</v>
      </c>
    </row>
    <row r="791" spans="1:34" hidden="1">
      <c r="A791">
        <v>789</v>
      </c>
      <c r="B791">
        <v>706</v>
      </c>
      <c r="C791">
        <v>714</v>
      </c>
      <c r="D791" t="s">
        <v>45</v>
      </c>
      <c r="E791" t="s">
        <v>45</v>
      </c>
      <c r="F791" t="b">
        <f t="shared" si="24"/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f t="shared" si="25"/>
        <v>0</v>
      </c>
    </row>
    <row r="792" spans="1:34" hidden="1">
      <c r="A792">
        <v>790</v>
      </c>
      <c r="B792">
        <v>707</v>
      </c>
      <c r="C792">
        <v>715</v>
      </c>
      <c r="D792" t="s">
        <v>42</v>
      </c>
      <c r="E792" t="s">
        <v>42</v>
      </c>
      <c r="F792" t="b">
        <f t="shared" si="24"/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f t="shared" si="25"/>
        <v>0</v>
      </c>
    </row>
    <row r="793" spans="1:34" hidden="1">
      <c r="A793">
        <v>791</v>
      </c>
      <c r="B793">
        <v>708</v>
      </c>
      <c r="C793">
        <v>716</v>
      </c>
      <c r="D793" t="s">
        <v>7</v>
      </c>
      <c r="E793" t="s">
        <v>7</v>
      </c>
      <c r="F793" t="b">
        <f t="shared" si="24"/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f t="shared" si="25"/>
        <v>0</v>
      </c>
    </row>
    <row r="794" spans="1:34" hidden="1">
      <c r="A794">
        <v>792</v>
      </c>
      <c r="B794">
        <v>709</v>
      </c>
      <c r="C794">
        <v>717</v>
      </c>
      <c r="D794" t="s">
        <v>48</v>
      </c>
      <c r="E794" t="s">
        <v>48</v>
      </c>
      <c r="F794" t="b">
        <f t="shared" si="24"/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f t="shared" si="25"/>
        <v>0</v>
      </c>
    </row>
    <row r="795" spans="1:34" hidden="1">
      <c r="A795">
        <v>793</v>
      </c>
      <c r="B795">
        <v>710</v>
      </c>
      <c r="C795">
        <v>718</v>
      </c>
      <c r="D795" t="s">
        <v>44</v>
      </c>
      <c r="E795" t="s">
        <v>44</v>
      </c>
      <c r="F795" t="b">
        <f t="shared" si="24"/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f t="shared" si="25"/>
        <v>0</v>
      </c>
    </row>
    <row r="796" spans="1:34" hidden="1">
      <c r="A796">
        <v>794</v>
      </c>
      <c r="B796">
        <v>711</v>
      </c>
      <c r="C796">
        <v>719</v>
      </c>
      <c r="D796" t="s">
        <v>2</v>
      </c>
      <c r="E796" t="s">
        <v>2</v>
      </c>
      <c r="F796" t="b">
        <f t="shared" si="24"/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f t="shared" si="25"/>
        <v>0</v>
      </c>
    </row>
    <row r="797" spans="1:34" hidden="1">
      <c r="A797">
        <v>795</v>
      </c>
      <c r="B797">
        <v>712</v>
      </c>
      <c r="C797">
        <v>720</v>
      </c>
      <c r="D797" t="s">
        <v>42</v>
      </c>
      <c r="E797" t="s">
        <v>9</v>
      </c>
      <c r="F797" t="b">
        <f t="shared" si="24"/>
        <v>0</v>
      </c>
      <c r="G797" t="s">
        <v>45</v>
      </c>
      <c r="H797">
        <v>0</v>
      </c>
      <c r="I797">
        <v>0</v>
      </c>
      <c r="J797">
        <v>0.12809519643013301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f t="shared" si="25"/>
        <v>0</v>
      </c>
    </row>
    <row r="798" spans="1:34" hidden="1">
      <c r="A798">
        <v>796</v>
      </c>
      <c r="B798">
        <v>713</v>
      </c>
      <c r="C798">
        <v>721</v>
      </c>
      <c r="D798" t="s">
        <v>42</v>
      </c>
      <c r="E798" t="s">
        <v>42</v>
      </c>
      <c r="F798" t="b">
        <f t="shared" si="24"/>
        <v>0</v>
      </c>
      <c r="G798" t="s">
        <v>45</v>
      </c>
      <c r="H798">
        <v>0</v>
      </c>
      <c r="I798">
        <v>0</v>
      </c>
      <c r="J798">
        <v>0.122690068348662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f t="shared" si="25"/>
        <v>0</v>
      </c>
    </row>
    <row r="799" spans="1:34" hidden="1">
      <c r="A799">
        <v>797</v>
      </c>
      <c r="B799">
        <v>714</v>
      </c>
      <c r="C799">
        <v>722</v>
      </c>
      <c r="D799" t="s">
        <v>45</v>
      </c>
      <c r="E799" t="s">
        <v>45</v>
      </c>
      <c r="F799" t="b">
        <f t="shared" si="24"/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f t="shared" si="25"/>
        <v>0</v>
      </c>
    </row>
    <row r="800" spans="1:34">
      <c r="A800">
        <v>798</v>
      </c>
      <c r="B800">
        <v>715</v>
      </c>
      <c r="C800">
        <v>723</v>
      </c>
      <c r="D800" t="s">
        <v>1</v>
      </c>
      <c r="E800" t="s">
        <v>2</v>
      </c>
      <c r="F800" t="b">
        <f t="shared" si="24"/>
        <v>0</v>
      </c>
      <c r="G800" t="s">
        <v>2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0.68370986920332899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0.81928770335629397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f t="shared" si="25"/>
        <v>2</v>
      </c>
    </row>
    <row r="801" spans="1:34" hidden="1">
      <c r="A801">
        <v>799</v>
      </c>
      <c r="B801">
        <v>716</v>
      </c>
      <c r="C801">
        <v>724</v>
      </c>
      <c r="D801" t="s">
        <v>2</v>
      </c>
      <c r="E801" t="s">
        <v>45</v>
      </c>
      <c r="F801" t="b">
        <f t="shared" si="24"/>
        <v>1</v>
      </c>
      <c r="G801" t="s">
        <v>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0.16487018464710801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f t="shared" si="25"/>
        <v>0</v>
      </c>
    </row>
    <row r="802" spans="1:34" hidden="1">
      <c r="A802">
        <v>800</v>
      </c>
      <c r="B802">
        <v>717</v>
      </c>
      <c r="C802">
        <v>725</v>
      </c>
      <c r="D802" t="s">
        <v>10</v>
      </c>
      <c r="E802" t="s">
        <v>10</v>
      </c>
      <c r="F802" t="b">
        <f t="shared" si="24"/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f t="shared" si="25"/>
        <v>0</v>
      </c>
    </row>
    <row r="803" spans="1:34">
      <c r="A803">
        <v>801</v>
      </c>
      <c r="B803">
        <v>718</v>
      </c>
      <c r="C803">
        <v>726</v>
      </c>
      <c r="D803" t="s">
        <v>4</v>
      </c>
      <c r="E803" t="s">
        <v>4</v>
      </c>
      <c r="F803" t="b">
        <f t="shared" si="24"/>
        <v>0</v>
      </c>
      <c r="G803" t="s">
        <v>6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0.38874999999999998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f t="shared" si="25"/>
        <v>1</v>
      </c>
    </row>
    <row r="804" spans="1:34" hidden="1">
      <c r="A804">
        <v>802</v>
      </c>
      <c r="B804">
        <v>719</v>
      </c>
      <c r="C804">
        <v>727</v>
      </c>
      <c r="D804" t="s">
        <v>45</v>
      </c>
      <c r="E804" t="s">
        <v>45</v>
      </c>
      <c r="F804" t="b">
        <f t="shared" si="24"/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f t="shared" si="25"/>
        <v>0</v>
      </c>
    </row>
    <row r="805" spans="1:34" hidden="1">
      <c r="A805">
        <v>803</v>
      </c>
      <c r="B805">
        <v>720</v>
      </c>
      <c r="C805">
        <v>728</v>
      </c>
      <c r="D805" t="s">
        <v>5</v>
      </c>
      <c r="E805" t="s">
        <v>5</v>
      </c>
      <c r="F805" t="b">
        <f t="shared" si="24"/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f t="shared" si="25"/>
        <v>0</v>
      </c>
    </row>
    <row r="806" spans="1:34" hidden="1">
      <c r="A806">
        <v>804</v>
      </c>
      <c r="B806">
        <v>721</v>
      </c>
      <c r="C806">
        <v>729</v>
      </c>
      <c r="D806" t="s">
        <v>10</v>
      </c>
      <c r="E806" t="s">
        <v>10</v>
      </c>
      <c r="F806" t="b">
        <f t="shared" si="24"/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f t="shared" si="25"/>
        <v>0</v>
      </c>
    </row>
    <row r="807" spans="1:34" hidden="1">
      <c r="A807">
        <v>805</v>
      </c>
      <c r="B807">
        <v>722</v>
      </c>
      <c r="C807">
        <v>730</v>
      </c>
      <c r="D807" t="s">
        <v>45</v>
      </c>
      <c r="E807" t="s">
        <v>45</v>
      </c>
      <c r="F807" t="b">
        <f t="shared" si="24"/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f t="shared" si="25"/>
        <v>0</v>
      </c>
    </row>
    <row r="808" spans="1:34" hidden="1">
      <c r="A808">
        <v>806</v>
      </c>
      <c r="B808">
        <v>723</v>
      </c>
      <c r="C808">
        <v>731</v>
      </c>
      <c r="D808" t="s">
        <v>6</v>
      </c>
      <c r="E808" t="s">
        <v>6</v>
      </c>
      <c r="F808" t="b">
        <f t="shared" si="24"/>
        <v>0</v>
      </c>
      <c r="G808" t="s">
        <v>10</v>
      </c>
      <c r="H808">
        <v>0</v>
      </c>
      <c r="I808">
        <v>0</v>
      </c>
      <c r="J808">
        <v>0.103985381134702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f t="shared" si="25"/>
        <v>0</v>
      </c>
    </row>
    <row r="809" spans="1:34" hidden="1">
      <c r="A809">
        <v>807</v>
      </c>
      <c r="B809">
        <v>724</v>
      </c>
      <c r="C809">
        <v>732</v>
      </c>
      <c r="D809" t="s">
        <v>4</v>
      </c>
      <c r="E809" t="s">
        <v>4</v>
      </c>
      <c r="F809" t="b">
        <f t="shared" si="24"/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f t="shared" si="25"/>
        <v>0</v>
      </c>
    </row>
    <row r="810" spans="1:34" hidden="1">
      <c r="A810">
        <v>808</v>
      </c>
      <c r="B810">
        <v>725</v>
      </c>
      <c r="C810">
        <v>733</v>
      </c>
      <c r="D810" t="s">
        <v>46</v>
      </c>
      <c r="E810" t="s">
        <v>46</v>
      </c>
      <c r="F810" t="b">
        <f t="shared" si="24"/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f t="shared" si="25"/>
        <v>0</v>
      </c>
    </row>
    <row r="811" spans="1:34" hidden="1">
      <c r="A811">
        <v>809</v>
      </c>
      <c r="B811">
        <v>726</v>
      </c>
      <c r="C811">
        <v>734</v>
      </c>
      <c r="D811" t="s">
        <v>6</v>
      </c>
      <c r="E811" t="s">
        <v>6</v>
      </c>
      <c r="F811" t="b">
        <f t="shared" si="24"/>
        <v>0</v>
      </c>
      <c r="G811" t="s">
        <v>10</v>
      </c>
      <c r="H811">
        <v>0</v>
      </c>
      <c r="I811">
        <v>0</v>
      </c>
      <c r="J811">
        <v>0.103156609696546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f t="shared" si="25"/>
        <v>0</v>
      </c>
    </row>
    <row r="812" spans="1:34" hidden="1">
      <c r="A812">
        <v>810</v>
      </c>
      <c r="B812">
        <v>727</v>
      </c>
      <c r="C812">
        <v>735</v>
      </c>
      <c r="D812" t="s">
        <v>6</v>
      </c>
      <c r="E812" t="s">
        <v>6</v>
      </c>
      <c r="F812" t="b">
        <f t="shared" si="24"/>
        <v>0</v>
      </c>
      <c r="G812" t="s">
        <v>10</v>
      </c>
      <c r="H812">
        <v>0</v>
      </c>
      <c r="I812">
        <v>0</v>
      </c>
      <c r="J812">
        <v>0.10140311612292301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f t="shared" si="25"/>
        <v>0</v>
      </c>
    </row>
    <row r="813" spans="1:34">
      <c r="A813">
        <v>811</v>
      </c>
      <c r="B813">
        <v>728</v>
      </c>
      <c r="C813">
        <v>736</v>
      </c>
      <c r="D813" t="s">
        <v>6</v>
      </c>
      <c r="E813" t="s">
        <v>6</v>
      </c>
      <c r="F813" t="b">
        <f t="shared" si="24"/>
        <v>0</v>
      </c>
      <c r="G813" t="s">
        <v>4</v>
      </c>
      <c r="H813">
        <v>0</v>
      </c>
      <c r="I813">
        <v>0.37696629213483102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f t="shared" si="25"/>
        <v>1</v>
      </c>
    </row>
    <row r="814" spans="1:34" hidden="1">
      <c r="A814">
        <v>812</v>
      </c>
      <c r="B814">
        <v>729</v>
      </c>
      <c r="C814">
        <v>737</v>
      </c>
      <c r="D814" t="s">
        <v>4</v>
      </c>
      <c r="E814" t="s">
        <v>4</v>
      </c>
      <c r="F814" t="b">
        <f t="shared" si="24"/>
        <v>0</v>
      </c>
      <c r="G814" t="s">
        <v>7</v>
      </c>
      <c r="H814">
        <v>0</v>
      </c>
      <c r="I814">
        <v>0</v>
      </c>
      <c r="J814">
        <v>0.108838938651343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f t="shared" si="25"/>
        <v>0</v>
      </c>
    </row>
    <row r="815" spans="1:34" hidden="1">
      <c r="A815">
        <v>813</v>
      </c>
      <c r="B815">
        <v>730</v>
      </c>
      <c r="C815">
        <v>738</v>
      </c>
      <c r="D815" t="s">
        <v>4</v>
      </c>
      <c r="E815" t="s">
        <v>4</v>
      </c>
      <c r="F815" t="b">
        <f t="shared" si="24"/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f t="shared" si="25"/>
        <v>0</v>
      </c>
    </row>
    <row r="816" spans="1:34" hidden="1">
      <c r="A816">
        <v>814</v>
      </c>
      <c r="B816">
        <v>731</v>
      </c>
      <c r="C816">
        <v>739</v>
      </c>
      <c r="D816" t="s">
        <v>6</v>
      </c>
      <c r="E816" t="s">
        <v>6</v>
      </c>
      <c r="F816" t="b">
        <f t="shared" si="24"/>
        <v>1</v>
      </c>
      <c r="G816" t="s">
        <v>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0.17639512508017899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f t="shared" si="25"/>
        <v>0</v>
      </c>
    </row>
    <row r="817" spans="1:34" hidden="1">
      <c r="A817">
        <v>815</v>
      </c>
      <c r="B817">
        <v>732</v>
      </c>
      <c r="C817">
        <v>740</v>
      </c>
      <c r="D817" t="s">
        <v>10</v>
      </c>
      <c r="E817" t="s">
        <v>10</v>
      </c>
      <c r="F817" t="b">
        <f t="shared" si="24"/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f t="shared" si="25"/>
        <v>0</v>
      </c>
    </row>
    <row r="818" spans="1:34" hidden="1">
      <c r="A818">
        <v>816</v>
      </c>
      <c r="B818">
        <v>733</v>
      </c>
      <c r="C818">
        <v>741</v>
      </c>
      <c r="D818" t="s">
        <v>5</v>
      </c>
      <c r="E818" t="s">
        <v>5</v>
      </c>
      <c r="F818" t="b">
        <f t="shared" si="24"/>
        <v>0</v>
      </c>
      <c r="G818" t="s">
        <v>3</v>
      </c>
      <c r="H818">
        <v>0</v>
      </c>
      <c r="I818">
        <v>0</v>
      </c>
      <c r="J818">
        <v>0</v>
      </c>
      <c r="K818">
        <v>0.133333333333333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f t="shared" si="25"/>
        <v>0</v>
      </c>
    </row>
    <row r="819" spans="1:34" hidden="1">
      <c r="A819">
        <v>817</v>
      </c>
      <c r="B819">
        <v>734</v>
      </c>
      <c r="C819">
        <v>742</v>
      </c>
      <c r="D819" t="s">
        <v>10</v>
      </c>
      <c r="E819" t="s">
        <v>10</v>
      </c>
      <c r="F819" t="b">
        <f t="shared" si="24"/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f t="shared" si="25"/>
        <v>0</v>
      </c>
    </row>
    <row r="820" spans="1:34" hidden="1">
      <c r="A820">
        <v>818</v>
      </c>
      <c r="B820">
        <v>735</v>
      </c>
      <c r="C820">
        <v>743</v>
      </c>
      <c r="D820" t="s">
        <v>5</v>
      </c>
      <c r="E820" t="s">
        <v>5</v>
      </c>
      <c r="F820" t="b">
        <f t="shared" si="24"/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f t="shared" si="25"/>
        <v>0</v>
      </c>
    </row>
    <row r="821" spans="1:34" hidden="1">
      <c r="A821">
        <v>819</v>
      </c>
      <c r="B821">
        <v>736</v>
      </c>
      <c r="C821">
        <v>744</v>
      </c>
      <c r="D821" t="s">
        <v>10</v>
      </c>
      <c r="E821" t="s">
        <v>10</v>
      </c>
      <c r="F821" t="b">
        <f t="shared" si="24"/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f t="shared" si="25"/>
        <v>0</v>
      </c>
    </row>
    <row r="822" spans="1:34" hidden="1">
      <c r="A822">
        <v>820</v>
      </c>
      <c r="B822">
        <v>737</v>
      </c>
      <c r="C822">
        <v>745</v>
      </c>
      <c r="D822" t="s">
        <v>7</v>
      </c>
      <c r="E822" t="s">
        <v>7</v>
      </c>
      <c r="F822" t="b">
        <f t="shared" si="24"/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f t="shared" si="25"/>
        <v>0</v>
      </c>
    </row>
    <row r="823" spans="1:34">
      <c r="A823">
        <v>821</v>
      </c>
      <c r="B823">
        <v>738</v>
      </c>
      <c r="C823">
        <v>746</v>
      </c>
      <c r="D823" t="s">
        <v>4</v>
      </c>
      <c r="E823" t="s">
        <v>46</v>
      </c>
      <c r="F823" t="b">
        <f t="shared" si="24"/>
        <v>0</v>
      </c>
      <c r="G823" t="s">
        <v>10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0.58340847610459801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0.11430490261920701</v>
      </c>
      <c r="AH823">
        <f t="shared" si="25"/>
        <v>2</v>
      </c>
    </row>
    <row r="824" spans="1:34" hidden="1">
      <c r="A824">
        <v>822</v>
      </c>
      <c r="B824">
        <v>739</v>
      </c>
      <c r="C824">
        <v>747</v>
      </c>
      <c r="D824" t="s">
        <v>44</v>
      </c>
      <c r="E824" t="s">
        <v>10</v>
      </c>
      <c r="F824" t="b">
        <f t="shared" si="24"/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f t="shared" si="25"/>
        <v>0</v>
      </c>
    </row>
    <row r="825" spans="1:34" hidden="1">
      <c r="A825">
        <v>823</v>
      </c>
      <c r="B825">
        <v>740</v>
      </c>
      <c r="C825">
        <v>748</v>
      </c>
      <c r="D825" t="s">
        <v>42</v>
      </c>
      <c r="E825" t="s">
        <v>42</v>
      </c>
      <c r="F825" t="b">
        <f t="shared" si="24"/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f t="shared" si="25"/>
        <v>0</v>
      </c>
    </row>
    <row r="826" spans="1:34" hidden="1">
      <c r="A826">
        <v>824</v>
      </c>
      <c r="B826">
        <v>741</v>
      </c>
      <c r="C826">
        <v>749</v>
      </c>
      <c r="D826" t="s">
        <v>47</v>
      </c>
      <c r="E826" t="s">
        <v>47</v>
      </c>
      <c r="F826" t="b">
        <f t="shared" si="24"/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f t="shared" si="25"/>
        <v>0</v>
      </c>
    </row>
    <row r="827" spans="1:34" hidden="1">
      <c r="A827">
        <v>825</v>
      </c>
      <c r="B827">
        <v>742</v>
      </c>
      <c r="C827">
        <v>750</v>
      </c>
      <c r="D827" t="s">
        <v>3</v>
      </c>
      <c r="E827" t="s">
        <v>3</v>
      </c>
      <c r="F827" t="b">
        <f t="shared" si="24"/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f t="shared" si="25"/>
        <v>0</v>
      </c>
    </row>
    <row r="828" spans="1:34" hidden="1">
      <c r="A828">
        <v>826</v>
      </c>
      <c r="B828">
        <v>743</v>
      </c>
      <c r="C828">
        <v>751</v>
      </c>
      <c r="D828" t="s">
        <v>4</v>
      </c>
      <c r="E828" t="s">
        <v>4</v>
      </c>
      <c r="F828" t="b">
        <f t="shared" si="24"/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f t="shared" si="25"/>
        <v>0</v>
      </c>
    </row>
    <row r="829" spans="1:34" hidden="1">
      <c r="A829">
        <v>827</v>
      </c>
      <c r="B829">
        <v>744</v>
      </c>
      <c r="C829">
        <v>752</v>
      </c>
      <c r="D829" t="s">
        <v>48</v>
      </c>
      <c r="E829" t="s">
        <v>7</v>
      </c>
      <c r="F829" t="b">
        <f t="shared" si="24"/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f t="shared" si="25"/>
        <v>0</v>
      </c>
    </row>
    <row r="830" spans="1:34" hidden="1">
      <c r="A830">
        <v>828</v>
      </c>
      <c r="B830">
        <v>745</v>
      </c>
      <c r="C830">
        <v>753</v>
      </c>
      <c r="D830" t="s">
        <v>42</v>
      </c>
      <c r="E830" t="s">
        <v>42</v>
      </c>
      <c r="F830" t="b">
        <f t="shared" si="24"/>
        <v>0</v>
      </c>
      <c r="G830" t="s">
        <v>48</v>
      </c>
      <c r="H830">
        <v>0</v>
      </c>
      <c r="I830">
        <v>0</v>
      </c>
      <c r="J830">
        <v>0</v>
      </c>
      <c r="K830">
        <v>0.16752136752136701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f t="shared" si="25"/>
        <v>0</v>
      </c>
    </row>
    <row r="831" spans="1:34" hidden="1">
      <c r="A831">
        <v>829</v>
      </c>
      <c r="B831">
        <v>746</v>
      </c>
      <c r="C831">
        <v>754</v>
      </c>
      <c r="D831" t="s">
        <v>1</v>
      </c>
      <c r="E831" t="s">
        <v>1</v>
      </c>
      <c r="F831" t="b">
        <f t="shared" si="24"/>
        <v>1</v>
      </c>
      <c r="G831" t="s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0.124362244897959</v>
      </c>
      <c r="AG831">
        <v>0</v>
      </c>
      <c r="AH831">
        <f t="shared" si="25"/>
        <v>0</v>
      </c>
    </row>
    <row r="832" spans="1:34" hidden="1">
      <c r="A832">
        <v>830</v>
      </c>
      <c r="B832">
        <v>747</v>
      </c>
      <c r="C832">
        <v>755</v>
      </c>
      <c r="D832" t="s">
        <v>42</v>
      </c>
      <c r="E832" t="s">
        <v>42</v>
      </c>
      <c r="F832" t="b">
        <f t="shared" si="24"/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f t="shared" si="25"/>
        <v>0</v>
      </c>
    </row>
    <row r="833" spans="1:34" hidden="1">
      <c r="A833">
        <v>831</v>
      </c>
      <c r="B833">
        <v>748</v>
      </c>
      <c r="C833">
        <v>756</v>
      </c>
      <c r="D833" t="s">
        <v>46</v>
      </c>
      <c r="E833" t="s">
        <v>46</v>
      </c>
      <c r="F833" t="b">
        <f t="shared" si="24"/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f t="shared" si="25"/>
        <v>0</v>
      </c>
    </row>
    <row r="834" spans="1:34" hidden="1">
      <c r="A834">
        <v>832</v>
      </c>
      <c r="B834">
        <v>749</v>
      </c>
      <c r="C834">
        <v>757</v>
      </c>
      <c r="D834" t="s">
        <v>62</v>
      </c>
      <c r="E834" t="s">
        <v>62</v>
      </c>
      <c r="F834" t="b">
        <f t="shared" si="24"/>
        <v>0</v>
      </c>
      <c r="G834" t="s">
        <v>42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0.173834685016793</v>
      </c>
      <c r="AG834">
        <v>0</v>
      </c>
      <c r="AH834">
        <f t="shared" si="25"/>
        <v>0</v>
      </c>
    </row>
    <row r="835" spans="1:34">
      <c r="A835">
        <v>833</v>
      </c>
      <c r="B835">
        <v>750</v>
      </c>
      <c r="C835">
        <v>758</v>
      </c>
      <c r="D835" t="s">
        <v>47</v>
      </c>
      <c r="E835" t="s">
        <v>5</v>
      </c>
      <c r="F835" t="b">
        <f t="shared" ref="F835:F898" si="26">D835=G835</f>
        <v>0</v>
      </c>
      <c r="G835" t="s">
        <v>46</v>
      </c>
      <c r="H835">
        <v>0</v>
      </c>
      <c r="I835">
        <v>0</v>
      </c>
      <c r="J835">
        <v>0</v>
      </c>
      <c r="K835">
        <v>0.40734265734265701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f t="shared" ref="AH835:AH898" si="27">COUNTIF(H835:AG835,"&gt;0.25")</f>
        <v>1</v>
      </c>
    </row>
    <row r="836" spans="1:34" hidden="1">
      <c r="A836">
        <v>834</v>
      </c>
      <c r="B836">
        <v>750</v>
      </c>
      <c r="C836">
        <v>758</v>
      </c>
      <c r="D836" t="s">
        <v>47</v>
      </c>
      <c r="E836" t="s">
        <v>5</v>
      </c>
      <c r="F836" t="b">
        <f t="shared" si="26"/>
        <v>1</v>
      </c>
      <c r="G836" t="s">
        <v>47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0.98911760849613195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f t="shared" si="27"/>
        <v>1</v>
      </c>
    </row>
    <row r="837" spans="1:34" hidden="1">
      <c r="A837">
        <v>835</v>
      </c>
      <c r="B837">
        <v>751</v>
      </c>
      <c r="C837">
        <v>759</v>
      </c>
      <c r="D837" t="s">
        <v>5</v>
      </c>
      <c r="E837" t="s">
        <v>5</v>
      </c>
      <c r="F837" t="b">
        <f t="shared" si="26"/>
        <v>0</v>
      </c>
      <c r="G837" t="s">
        <v>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0.12966207759699599</v>
      </c>
      <c r="AG837">
        <v>0</v>
      </c>
      <c r="AH837">
        <f t="shared" si="27"/>
        <v>0</v>
      </c>
    </row>
    <row r="838" spans="1:34" hidden="1">
      <c r="A838">
        <v>836</v>
      </c>
      <c r="B838">
        <v>752</v>
      </c>
      <c r="C838">
        <v>760</v>
      </c>
      <c r="D838" t="s">
        <v>42</v>
      </c>
      <c r="E838" t="s">
        <v>42</v>
      </c>
      <c r="F838" t="b">
        <f t="shared" si="26"/>
        <v>1</v>
      </c>
      <c r="G838" t="s">
        <v>42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0.162093171665603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0.84692679107399105</v>
      </c>
      <c r="AH838">
        <f t="shared" si="27"/>
        <v>1</v>
      </c>
    </row>
    <row r="839" spans="1:34" hidden="1">
      <c r="A839">
        <v>837</v>
      </c>
      <c r="B839">
        <v>753</v>
      </c>
      <c r="C839">
        <v>761</v>
      </c>
      <c r="D839" t="s">
        <v>10</v>
      </c>
      <c r="E839" t="s">
        <v>10</v>
      </c>
      <c r="F839" t="b">
        <f t="shared" si="26"/>
        <v>1</v>
      </c>
      <c r="G839" t="s">
        <v>10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0.25156154317207502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f t="shared" si="27"/>
        <v>1</v>
      </c>
    </row>
    <row r="840" spans="1:34" hidden="1">
      <c r="A840">
        <v>838</v>
      </c>
      <c r="B840">
        <v>754</v>
      </c>
      <c r="C840">
        <v>762</v>
      </c>
      <c r="D840" t="s">
        <v>7</v>
      </c>
      <c r="E840" t="s">
        <v>7</v>
      </c>
      <c r="F840" t="b">
        <f t="shared" si="26"/>
        <v>1</v>
      </c>
      <c r="G840" t="s">
        <v>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0.114170584284754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f t="shared" si="27"/>
        <v>0</v>
      </c>
    </row>
    <row r="841" spans="1:34" hidden="1">
      <c r="A841">
        <v>839</v>
      </c>
      <c r="B841">
        <v>755</v>
      </c>
      <c r="C841">
        <v>763</v>
      </c>
      <c r="D841" t="s">
        <v>42</v>
      </c>
      <c r="E841" t="s">
        <v>42</v>
      </c>
      <c r="F841" t="b">
        <f t="shared" si="26"/>
        <v>1</v>
      </c>
      <c r="G841" t="s">
        <v>42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0.28064551785122099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f t="shared" si="27"/>
        <v>1</v>
      </c>
    </row>
    <row r="842" spans="1:34" hidden="1">
      <c r="A842">
        <v>840</v>
      </c>
      <c r="B842">
        <v>756</v>
      </c>
      <c r="C842">
        <v>764</v>
      </c>
      <c r="D842" t="s">
        <v>48</v>
      </c>
      <c r="E842" t="s">
        <v>50</v>
      </c>
      <c r="F842" t="b">
        <f t="shared" si="26"/>
        <v>1</v>
      </c>
      <c r="G842" t="s">
        <v>48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0.14413438092657799</v>
      </c>
      <c r="AH842">
        <f t="shared" si="27"/>
        <v>0</v>
      </c>
    </row>
    <row r="843" spans="1:34" hidden="1">
      <c r="A843">
        <v>841</v>
      </c>
      <c r="B843">
        <v>757</v>
      </c>
      <c r="C843">
        <v>765</v>
      </c>
      <c r="D843" t="s">
        <v>42</v>
      </c>
      <c r="E843" t="s">
        <v>42</v>
      </c>
      <c r="F843" t="b">
        <f t="shared" si="26"/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f t="shared" si="27"/>
        <v>0</v>
      </c>
    </row>
    <row r="844" spans="1:34" hidden="1">
      <c r="A844">
        <v>842</v>
      </c>
      <c r="B844">
        <v>758</v>
      </c>
      <c r="C844">
        <v>766</v>
      </c>
      <c r="D844" t="s">
        <v>48</v>
      </c>
      <c r="E844" t="s">
        <v>48</v>
      </c>
      <c r="F844" t="b">
        <f t="shared" si="26"/>
        <v>0</v>
      </c>
      <c r="G844" t="s">
        <v>7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0.19791666666666599</v>
      </c>
      <c r="AF844">
        <v>0</v>
      </c>
      <c r="AG844">
        <v>0</v>
      </c>
      <c r="AH844">
        <f t="shared" si="27"/>
        <v>0</v>
      </c>
    </row>
    <row r="845" spans="1:34" hidden="1">
      <c r="A845">
        <v>843</v>
      </c>
      <c r="B845">
        <v>759</v>
      </c>
      <c r="C845">
        <v>767</v>
      </c>
      <c r="D845" t="s">
        <v>7</v>
      </c>
      <c r="E845" t="s">
        <v>7</v>
      </c>
      <c r="F845" t="b">
        <f t="shared" si="26"/>
        <v>0</v>
      </c>
      <c r="G845" t="s">
        <v>46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0.15625</v>
      </c>
      <c r="AF845">
        <v>0</v>
      </c>
      <c r="AG845">
        <v>0</v>
      </c>
      <c r="AH845">
        <f t="shared" si="27"/>
        <v>0</v>
      </c>
    </row>
    <row r="846" spans="1:34" hidden="1">
      <c r="A846">
        <v>844</v>
      </c>
      <c r="B846">
        <v>760</v>
      </c>
      <c r="C846">
        <v>768</v>
      </c>
      <c r="D846" t="s">
        <v>61</v>
      </c>
      <c r="E846" t="s">
        <v>61</v>
      </c>
      <c r="F846" t="b">
        <f t="shared" si="26"/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f t="shared" si="27"/>
        <v>0</v>
      </c>
    </row>
    <row r="847" spans="1:34" hidden="1">
      <c r="A847">
        <v>845</v>
      </c>
      <c r="B847">
        <v>761</v>
      </c>
      <c r="C847">
        <v>769</v>
      </c>
      <c r="D847" t="s">
        <v>9</v>
      </c>
      <c r="E847" t="s">
        <v>9</v>
      </c>
      <c r="F847" t="b">
        <f t="shared" si="26"/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f t="shared" si="27"/>
        <v>0</v>
      </c>
    </row>
    <row r="848" spans="1:34">
      <c r="A848">
        <v>846</v>
      </c>
      <c r="B848">
        <v>762</v>
      </c>
      <c r="C848">
        <v>770</v>
      </c>
      <c r="D848" t="s">
        <v>10</v>
      </c>
      <c r="E848" t="s">
        <v>10</v>
      </c>
      <c r="F848" t="b">
        <f t="shared" si="26"/>
        <v>0</v>
      </c>
      <c r="G848" t="s">
        <v>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0.54874617737002995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f t="shared" si="27"/>
        <v>1</v>
      </c>
    </row>
    <row r="849" spans="1:34" hidden="1">
      <c r="A849">
        <v>847</v>
      </c>
      <c r="B849">
        <v>763</v>
      </c>
      <c r="C849">
        <v>771</v>
      </c>
      <c r="D849" t="s">
        <v>42</v>
      </c>
      <c r="E849" t="s">
        <v>42</v>
      </c>
      <c r="F849" t="b">
        <f t="shared" si="26"/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f t="shared" si="27"/>
        <v>0</v>
      </c>
    </row>
    <row r="850" spans="1:34" hidden="1">
      <c r="A850">
        <v>848</v>
      </c>
      <c r="B850">
        <v>764</v>
      </c>
      <c r="C850">
        <v>772</v>
      </c>
      <c r="D850" t="s">
        <v>10</v>
      </c>
      <c r="E850" t="s">
        <v>10</v>
      </c>
      <c r="F850" t="b">
        <f t="shared" si="26"/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f t="shared" si="27"/>
        <v>0</v>
      </c>
    </row>
    <row r="851" spans="1:34" hidden="1">
      <c r="A851">
        <v>849</v>
      </c>
      <c r="B851">
        <v>765</v>
      </c>
      <c r="C851">
        <v>773</v>
      </c>
      <c r="D851" t="s">
        <v>5</v>
      </c>
      <c r="E851" t="s">
        <v>5</v>
      </c>
      <c r="F851" t="b">
        <f t="shared" si="26"/>
        <v>0</v>
      </c>
      <c r="G851" t="s">
        <v>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0.131897711978465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f t="shared" si="27"/>
        <v>0</v>
      </c>
    </row>
    <row r="852" spans="1:34" hidden="1">
      <c r="A852">
        <v>850</v>
      </c>
      <c r="B852">
        <v>765</v>
      </c>
      <c r="C852">
        <v>773</v>
      </c>
      <c r="D852" t="s">
        <v>5</v>
      </c>
      <c r="E852" t="s">
        <v>5</v>
      </c>
      <c r="F852" t="b">
        <f t="shared" si="26"/>
        <v>0</v>
      </c>
      <c r="G852" t="s">
        <v>61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0.140117075600946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f t="shared" si="27"/>
        <v>0</v>
      </c>
    </row>
    <row r="853" spans="1:34" hidden="1">
      <c r="A853">
        <v>851</v>
      </c>
      <c r="B853">
        <v>766</v>
      </c>
      <c r="C853">
        <v>774</v>
      </c>
      <c r="D853" t="s">
        <v>42</v>
      </c>
      <c r="E853" t="s">
        <v>42</v>
      </c>
      <c r="F853" t="b">
        <f t="shared" si="26"/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f t="shared" si="27"/>
        <v>0</v>
      </c>
    </row>
    <row r="854" spans="1:34" hidden="1">
      <c r="A854">
        <v>852</v>
      </c>
      <c r="B854">
        <v>767</v>
      </c>
      <c r="C854">
        <v>775</v>
      </c>
      <c r="D854" t="s">
        <v>42</v>
      </c>
      <c r="E854" t="s">
        <v>42</v>
      </c>
      <c r="F854" t="b">
        <f t="shared" si="26"/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f t="shared" si="27"/>
        <v>0</v>
      </c>
    </row>
    <row r="855" spans="1:34" hidden="1">
      <c r="A855">
        <v>853</v>
      </c>
      <c r="B855">
        <v>768</v>
      </c>
      <c r="C855">
        <v>776</v>
      </c>
      <c r="D855" t="s">
        <v>42</v>
      </c>
      <c r="E855" t="s">
        <v>42</v>
      </c>
      <c r="F855" t="b">
        <f t="shared" si="26"/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f t="shared" si="27"/>
        <v>0</v>
      </c>
    </row>
    <row r="856" spans="1:34" hidden="1">
      <c r="A856">
        <v>854</v>
      </c>
      <c r="B856">
        <v>769</v>
      </c>
      <c r="C856">
        <v>777</v>
      </c>
      <c r="D856" t="s">
        <v>2</v>
      </c>
      <c r="E856" t="s">
        <v>46</v>
      </c>
      <c r="F856" t="b">
        <f t="shared" si="26"/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f t="shared" si="27"/>
        <v>0</v>
      </c>
    </row>
    <row r="857" spans="1:34" hidden="1">
      <c r="A857">
        <v>855</v>
      </c>
      <c r="B857">
        <v>770</v>
      </c>
      <c r="C857">
        <v>778</v>
      </c>
      <c r="D857" t="s">
        <v>47</v>
      </c>
      <c r="E857" t="s">
        <v>47</v>
      </c>
      <c r="F857" t="b">
        <f t="shared" si="26"/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f t="shared" si="27"/>
        <v>0</v>
      </c>
    </row>
    <row r="858" spans="1:34">
      <c r="A858">
        <v>856</v>
      </c>
      <c r="B858">
        <v>771</v>
      </c>
      <c r="C858">
        <v>779</v>
      </c>
      <c r="D858" t="s">
        <v>2</v>
      </c>
      <c r="E858" t="s">
        <v>2</v>
      </c>
      <c r="F858" t="b">
        <f t="shared" si="26"/>
        <v>0</v>
      </c>
      <c r="G858" t="s">
        <v>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0.81366191093817497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f t="shared" si="27"/>
        <v>1</v>
      </c>
    </row>
    <row r="859" spans="1:34" hidden="1">
      <c r="A859">
        <v>857</v>
      </c>
      <c r="B859">
        <v>771</v>
      </c>
      <c r="C859">
        <v>779</v>
      </c>
      <c r="D859" t="s">
        <v>2</v>
      </c>
      <c r="E859" t="s">
        <v>2</v>
      </c>
      <c r="F859" t="b">
        <f t="shared" si="26"/>
        <v>1</v>
      </c>
      <c r="G859" t="s">
        <v>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0.12876884422110499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f t="shared" si="27"/>
        <v>0</v>
      </c>
    </row>
    <row r="860" spans="1:34" hidden="1">
      <c r="A860">
        <v>858</v>
      </c>
      <c r="B860">
        <v>772</v>
      </c>
      <c r="C860">
        <v>780</v>
      </c>
      <c r="D860" t="s">
        <v>10</v>
      </c>
      <c r="E860" t="s">
        <v>10</v>
      </c>
      <c r="F860" t="b">
        <f t="shared" si="26"/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f t="shared" si="27"/>
        <v>0</v>
      </c>
    </row>
    <row r="861" spans="1:34" hidden="1">
      <c r="A861">
        <v>859</v>
      </c>
      <c r="B861">
        <v>773</v>
      </c>
      <c r="C861">
        <v>781</v>
      </c>
      <c r="D861" t="s">
        <v>46</v>
      </c>
      <c r="E861" t="s">
        <v>46</v>
      </c>
      <c r="F861" t="b">
        <f t="shared" si="26"/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f t="shared" si="27"/>
        <v>0</v>
      </c>
    </row>
    <row r="862" spans="1:34" hidden="1">
      <c r="A862">
        <v>860</v>
      </c>
      <c r="B862">
        <v>774</v>
      </c>
      <c r="C862">
        <v>782</v>
      </c>
      <c r="D862" t="s">
        <v>47</v>
      </c>
      <c r="E862" t="s">
        <v>47</v>
      </c>
      <c r="F862" t="b">
        <f t="shared" si="26"/>
        <v>1</v>
      </c>
      <c r="G862" t="s">
        <v>47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0.72555772994129097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f t="shared" si="27"/>
        <v>1</v>
      </c>
    </row>
    <row r="863" spans="1:34" hidden="1">
      <c r="A863">
        <v>861</v>
      </c>
      <c r="B863">
        <v>775</v>
      </c>
      <c r="C863">
        <v>783</v>
      </c>
      <c r="D863" t="s">
        <v>6</v>
      </c>
      <c r="E863" t="s">
        <v>6</v>
      </c>
      <c r="F863" t="b">
        <f t="shared" si="26"/>
        <v>0</v>
      </c>
      <c r="G863" t="s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0.15384615384615299</v>
      </c>
      <c r="AF863">
        <v>0</v>
      </c>
      <c r="AG863">
        <v>0</v>
      </c>
      <c r="AH863">
        <f t="shared" si="27"/>
        <v>0</v>
      </c>
    </row>
    <row r="864" spans="1:34" hidden="1">
      <c r="A864">
        <v>862</v>
      </c>
      <c r="B864">
        <v>775</v>
      </c>
      <c r="C864">
        <v>783</v>
      </c>
      <c r="D864" t="s">
        <v>6</v>
      </c>
      <c r="E864" t="s">
        <v>6</v>
      </c>
      <c r="F864" t="b">
        <f t="shared" si="26"/>
        <v>1</v>
      </c>
      <c r="G864" t="s">
        <v>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0.13468797686932699</v>
      </c>
      <c r="AG864">
        <v>0</v>
      </c>
      <c r="AH864">
        <f t="shared" si="27"/>
        <v>0</v>
      </c>
    </row>
    <row r="865" spans="1:34" hidden="1">
      <c r="A865">
        <v>863</v>
      </c>
      <c r="B865">
        <v>776</v>
      </c>
      <c r="C865">
        <v>784</v>
      </c>
      <c r="D865" t="s">
        <v>42</v>
      </c>
      <c r="E865" t="s">
        <v>42</v>
      </c>
      <c r="F865" t="b">
        <f t="shared" si="26"/>
        <v>0</v>
      </c>
      <c r="G865" t="s">
        <v>48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0.13320079522862799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f t="shared" si="27"/>
        <v>0</v>
      </c>
    </row>
    <row r="866" spans="1:34" hidden="1">
      <c r="A866">
        <v>864</v>
      </c>
      <c r="B866">
        <v>777</v>
      </c>
      <c r="C866">
        <v>785</v>
      </c>
      <c r="D866" t="s">
        <v>42</v>
      </c>
      <c r="E866" t="s">
        <v>42</v>
      </c>
      <c r="F866" t="b">
        <f t="shared" si="26"/>
        <v>1</v>
      </c>
      <c r="G866" t="s">
        <v>42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0.385600516573396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f t="shared" si="27"/>
        <v>1</v>
      </c>
    </row>
    <row r="867" spans="1:34" hidden="1">
      <c r="A867">
        <v>865</v>
      </c>
      <c r="B867">
        <v>778</v>
      </c>
      <c r="C867">
        <v>786</v>
      </c>
      <c r="D867" t="s">
        <v>4</v>
      </c>
      <c r="E867" t="s">
        <v>4</v>
      </c>
      <c r="F867" t="b">
        <f t="shared" si="26"/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f t="shared" si="27"/>
        <v>0</v>
      </c>
    </row>
    <row r="868" spans="1:34">
      <c r="A868">
        <v>866</v>
      </c>
      <c r="B868">
        <v>779</v>
      </c>
      <c r="C868">
        <v>787</v>
      </c>
      <c r="D868" t="s">
        <v>10</v>
      </c>
      <c r="E868" t="s">
        <v>10</v>
      </c>
      <c r="F868" t="b">
        <f t="shared" si="26"/>
        <v>0</v>
      </c>
      <c r="G868" t="s">
        <v>9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0.69622751015670303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0.83684146489840505</v>
      </c>
      <c r="AA868">
        <v>0</v>
      </c>
      <c r="AB868">
        <v>0</v>
      </c>
      <c r="AC868">
        <v>0</v>
      </c>
      <c r="AD868">
        <v>0.584970436772839</v>
      </c>
      <c r="AE868">
        <v>0</v>
      </c>
      <c r="AF868">
        <v>0.86264523316886799</v>
      </c>
      <c r="AG868">
        <v>0</v>
      </c>
      <c r="AH868">
        <f t="shared" si="27"/>
        <v>4</v>
      </c>
    </row>
    <row r="869" spans="1:34">
      <c r="A869">
        <v>867</v>
      </c>
      <c r="B869">
        <v>779</v>
      </c>
      <c r="C869">
        <v>787</v>
      </c>
      <c r="D869" t="s">
        <v>10</v>
      </c>
      <c r="E869" t="s">
        <v>10</v>
      </c>
      <c r="F869" t="b">
        <f t="shared" si="26"/>
        <v>0</v>
      </c>
      <c r="G869" t="s">
        <v>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0.90395007230382796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0.137203166226912</v>
      </c>
      <c r="AH869">
        <f t="shared" si="27"/>
        <v>1</v>
      </c>
    </row>
    <row r="870" spans="1:34" hidden="1">
      <c r="A870">
        <v>868</v>
      </c>
      <c r="B870">
        <v>780</v>
      </c>
      <c r="C870">
        <v>788</v>
      </c>
      <c r="D870" t="s">
        <v>10</v>
      </c>
      <c r="E870" t="s">
        <v>10</v>
      </c>
      <c r="F870" t="b">
        <f t="shared" si="26"/>
        <v>1</v>
      </c>
      <c r="G870" t="s">
        <v>10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0.23262839879153999</v>
      </c>
      <c r="AF870">
        <v>0</v>
      </c>
      <c r="AG870">
        <v>0</v>
      </c>
      <c r="AH870">
        <f t="shared" si="27"/>
        <v>0</v>
      </c>
    </row>
    <row r="871" spans="1:34" hidden="1">
      <c r="A871">
        <v>869</v>
      </c>
      <c r="B871">
        <v>780</v>
      </c>
      <c r="C871">
        <v>788</v>
      </c>
      <c r="D871" t="s">
        <v>10</v>
      </c>
      <c r="E871" t="s">
        <v>10</v>
      </c>
      <c r="F871" t="b">
        <f t="shared" si="26"/>
        <v>0</v>
      </c>
      <c r="G871" t="s">
        <v>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0.13768173512354001</v>
      </c>
      <c r="AG871">
        <v>0</v>
      </c>
      <c r="AH871">
        <f t="shared" si="27"/>
        <v>0</v>
      </c>
    </row>
    <row r="872" spans="1:34">
      <c r="A872">
        <v>870</v>
      </c>
      <c r="B872">
        <v>780</v>
      </c>
      <c r="C872">
        <v>788</v>
      </c>
      <c r="D872" t="s">
        <v>10</v>
      </c>
      <c r="E872" t="s">
        <v>10</v>
      </c>
      <c r="F872" t="b">
        <f t="shared" si="26"/>
        <v>0</v>
      </c>
      <c r="G872" t="s">
        <v>62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0.85150232461314201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f t="shared" si="27"/>
        <v>1</v>
      </c>
    </row>
    <row r="873" spans="1:34" hidden="1">
      <c r="A873">
        <v>871</v>
      </c>
      <c r="B873">
        <v>781</v>
      </c>
      <c r="C873">
        <v>789</v>
      </c>
      <c r="D873" t="s">
        <v>4</v>
      </c>
      <c r="E873" t="s">
        <v>4</v>
      </c>
      <c r="F873" t="b">
        <f t="shared" si="26"/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f t="shared" si="27"/>
        <v>0</v>
      </c>
    </row>
    <row r="874" spans="1:34" hidden="1">
      <c r="A874">
        <v>872</v>
      </c>
      <c r="B874">
        <v>782</v>
      </c>
      <c r="C874">
        <v>790</v>
      </c>
      <c r="D874" t="s">
        <v>62</v>
      </c>
      <c r="E874" t="s">
        <v>62</v>
      </c>
      <c r="F874" t="b">
        <f t="shared" si="26"/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f t="shared" si="27"/>
        <v>0</v>
      </c>
    </row>
    <row r="875" spans="1:34">
      <c r="A875">
        <v>873</v>
      </c>
      <c r="B875">
        <v>783</v>
      </c>
      <c r="C875">
        <v>791</v>
      </c>
      <c r="D875" t="s">
        <v>6</v>
      </c>
      <c r="E875" t="s">
        <v>6</v>
      </c>
      <c r="F875" t="b">
        <f t="shared" si="26"/>
        <v>0</v>
      </c>
      <c r="G875" t="s">
        <v>5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0.401728710342795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0.19584569732937601</v>
      </c>
      <c r="AF875">
        <v>0</v>
      </c>
      <c r="AG875">
        <v>0</v>
      </c>
      <c r="AH875">
        <f t="shared" si="27"/>
        <v>1</v>
      </c>
    </row>
    <row r="876" spans="1:34">
      <c r="A876">
        <v>874</v>
      </c>
      <c r="B876">
        <v>783</v>
      </c>
      <c r="C876">
        <v>791</v>
      </c>
      <c r="D876" t="s">
        <v>6</v>
      </c>
      <c r="E876" t="s">
        <v>6</v>
      </c>
      <c r="F876" t="b">
        <f t="shared" si="26"/>
        <v>0</v>
      </c>
      <c r="G876" t="s">
        <v>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0.29468372256777298</v>
      </c>
      <c r="R876">
        <v>0.59100284844317796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0.121910347716799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0.41912725372354298</v>
      </c>
      <c r="AE876">
        <v>0</v>
      </c>
      <c r="AF876">
        <v>0</v>
      </c>
      <c r="AG876">
        <v>0</v>
      </c>
      <c r="AH876">
        <f t="shared" si="27"/>
        <v>3</v>
      </c>
    </row>
    <row r="877" spans="1:34">
      <c r="A877">
        <v>875</v>
      </c>
      <c r="B877">
        <v>783</v>
      </c>
      <c r="C877">
        <v>791</v>
      </c>
      <c r="D877" t="s">
        <v>6</v>
      </c>
      <c r="E877" t="s">
        <v>6</v>
      </c>
      <c r="F877" t="b">
        <f t="shared" si="26"/>
        <v>0</v>
      </c>
      <c r="G877" t="s">
        <v>10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0.69329722410291095</v>
      </c>
      <c r="AH877">
        <f t="shared" si="27"/>
        <v>1</v>
      </c>
    </row>
    <row r="878" spans="1:34">
      <c r="A878">
        <v>876</v>
      </c>
      <c r="B878">
        <v>784</v>
      </c>
      <c r="C878">
        <v>792</v>
      </c>
      <c r="D878" t="s">
        <v>46</v>
      </c>
      <c r="E878" t="s">
        <v>1</v>
      </c>
      <c r="F878" t="b">
        <f t="shared" si="26"/>
        <v>0</v>
      </c>
      <c r="G878" t="s">
        <v>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0.98607242339832801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f t="shared" si="27"/>
        <v>1</v>
      </c>
    </row>
    <row r="879" spans="1:34">
      <c r="A879">
        <v>877</v>
      </c>
      <c r="B879">
        <v>784</v>
      </c>
      <c r="C879">
        <v>792</v>
      </c>
      <c r="D879" t="s">
        <v>46</v>
      </c>
      <c r="E879" t="s">
        <v>1</v>
      </c>
      <c r="F879" t="b">
        <f t="shared" si="26"/>
        <v>0</v>
      </c>
      <c r="G879" t="s">
        <v>47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0.42042042042041999</v>
      </c>
      <c r="AF879">
        <v>0</v>
      </c>
      <c r="AG879">
        <v>0.10611335468597601</v>
      </c>
      <c r="AH879">
        <f t="shared" si="27"/>
        <v>1</v>
      </c>
    </row>
    <row r="880" spans="1:34" hidden="1">
      <c r="A880">
        <v>878</v>
      </c>
      <c r="B880">
        <v>784</v>
      </c>
      <c r="C880">
        <v>792</v>
      </c>
      <c r="D880" t="s">
        <v>46</v>
      </c>
      <c r="E880" t="s">
        <v>1</v>
      </c>
      <c r="F880" t="b">
        <f t="shared" si="26"/>
        <v>0</v>
      </c>
      <c r="G880" t="s">
        <v>42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0.145490292455148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f t="shared" si="27"/>
        <v>0</v>
      </c>
    </row>
    <row r="881" spans="1:34" hidden="1">
      <c r="A881">
        <v>879</v>
      </c>
      <c r="B881">
        <v>785</v>
      </c>
      <c r="C881">
        <v>793</v>
      </c>
      <c r="D881" t="s">
        <v>42</v>
      </c>
      <c r="E881" t="s">
        <v>42</v>
      </c>
      <c r="F881" t="b">
        <f t="shared" si="26"/>
        <v>1</v>
      </c>
      <c r="G881" t="s">
        <v>42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0.15660377358490499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f t="shared" si="27"/>
        <v>0</v>
      </c>
    </row>
    <row r="882" spans="1:34" hidden="1">
      <c r="A882">
        <v>880</v>
      </c>
      <c r="B882">
        <v>786</v>
      </c>
      <c r="C882">
        <v>794</v>
      </c>
      <c r="D882" t="s">
        <v>8</v>
      </c>
      <c r="E882" t="s">
        <v>8</v>
      </c>
      <c r="F882" t="b">
        <f t="shared" si="26"/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f t="shared" si="27"/>
        <v>0</v>
      </c>
    </row>
    <row r="883" spans="1:34" hidden="1">
      <c r="A883">
        <v>881</v>
      </c>
      <c r="B883">
        <v>787</v>
      </c>
      <c r="C883">
        <v>795</v>
      </c>
      <c r="D883" t="s">
        <v>61</v>
      </c>
      <c r="E883" t="s">
        <v>61</v>
      </c>
      <c r="F883" t="b">
        <f t="shared" si="26"/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f t="shared" si="27"/>
        <v>0</v>
      </c>
    </row>
    <row r="884" spans="1:34">
      <c r="A884">
        <v>882</v>
      </c>
      <c r="B884">
        <v>788</v>
      </c>
      <c r="C884">
        <v>796</v>
      </c>
      <c r="D884" t="s">
        <v>62</v>
      </c>
      <c r="E884" t="s">
        <v>62</v>
      </c>
      <c r="F884" t="b">
        <f t="shared" si="26"/>
        <v>0</v>
      </c>
      <c r="G884" t="s">
        <v>4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0.98743161318941297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f t="shared" si="27"/>
        <v>1</v>
      </c>
    </row>
    <row r="885" spans="1:34" hidden="1">
      <c r="A885">
        <v>883</v>
      </c>
      <c r="B885">
        <v>789</v>
      </c>
      <c r="C885">
        <v>797</v>
      </c>
      <c r="D885" t="s">
        <v>62</v>
      </c>
      <c r="E885" t="s">
        <v>62</v>
      </c>
      <c r="F885" t="b">
        <f t="shared" si="26"/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f t="shared" si="27"/>
        <v>0</v>
      </c>
    </row>
    <row r="886" spans="1:34" hidden="1">
      <c r="A886">
        <v>884</v>
      </c>
      <c r="B886">
        <v>790</v>
      </c>
      <c r="C886">
        <v>798</v>
      </c>
      <c r="D886" t="s">
        <v>3</v>
      </c>
      <c r="E886" t="s">
        <v>3</v>
      </c>
      <c r="F886" t="b">
        <f t="shared" si="26"/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f t="shared" si="27"/>
        <v>0</v>
      </c>
    </row>
    <row r="887" spans="1:34" hidden="1">
      <c r="A887">
        <v>885</v>
      </c>
      <c r="B887">
        <v>791</v>
      </c>
      <c r="C887">
        <v>799</v>
      </c>
      <c r="D887" t="s">
        <v>42</v>
      </c>
      <c r="E887" t="s">
        <v>42</v>
      </c>
      <c r="F887" t="b">
        <f t="shared" si="26"/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f t="shared" si="27"/>
        <v>0</v>
      </c>
    </row>
    <row r="888" spans="1:34" hidden="1">
      <c r="A888">
        <v>886</v>
      </c>
      <c r="B888">
        <v>792</v>
      </c>
      <c r="C888">
        <v>800</v>
      </c>
      <c r="D888" t="s">
        <v>42</v>
      </c>
      <c r="E888" t="s">
        <v>42</v>
      </c>
      <c r="F888" t="b">
        <f t="shared" si="26"/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f t="shared" si="27"/>
        <v>0</v>
      </c>
    </row>
    <row r="889" spans="1:34">
      <c r="A889">
        <v>887</v>
      </c>
      <c r="B889">
        <v>793</v>
      </c>
      <c r="C889">
        <v>801</v>
      </c>
      <c r="D889" t="s">
        <v>44</v>
      </c>
      <c r="E889" t="s">
        <v>44</v>
      </c>
      <c r="F889" t="b">
        <f t="shared" si="26"/>
        <v>0</v>
      </c>
      <c r="G889" t="s">
        <v>10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0.33420707732634303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f t="shared" si="27"/>
        <v>1</v>
      </c>
    </row>
    <row r="890" spans="1:34" hidden="1">
      <c r="A890">
        <v>888</v>
      </c>
      <c r="B890">
        <v>794</v>
      </c>
      <c r="C890">
        <v>802</v>
      </c>
      <c r="D890" t="s">
        <v>61</v>
      </c>
      <c r="E890" t="s">
        <v>61</v>
      </c>
      <c r="F890" t="b">
        <f t="shared" si="26"/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f t="shared" si="27"/>
        <v>0</v>
      </c>
    </row>
    <row r="891" spans="1:34" hidden="1">
      <c r="A891">
        <v>889</v>
      </c>
      <c r="B891">
        <v>795</v>
      </c>
      <c r="C891">
        <v>803</v>
      </c>
      <c r="D891" t="s">
        <v>62</v>
      </c>
      <c r="E891" t="s">
        <v>62</v>
      </c>
      <c r="F891" t="b">
        <f t="shared" si="26"/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f t="shared" si="27"/>
        <v>0</v>
      </c>
    </row>
    <row r="892" spans="1:34" hidden="1">
      <c r="A892">
        <v>890</v>
      </c>
      <c r="B892">
        <v>796</v>
      </c>
      <c r="C892">
        <v>804</v>
      </c>
      <c r="D892" t="s">
        <v>7</v>
      </c>
      <c r="E892" t="s">
        <v>7</v>
      </c>
      <c r="F892" t="b">
        <f t="shared" si="26"/>
        <v>0</v>
      </c>
      <c r="G892" t="s">
        <v>3</v>
      </c>
      <c r="H892">
        <v>0.119402985074626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f t="shared" si="27"/>
        <v>0</v>
      </c>
    </row>
    <row r="893" spans="1:34" hidden="1">
      <c r="A893">
        <v>891</v>
      </c>
      <c r="B893">
        <v>797</v>
      </c>
      <c r="C893">
        <v>805</v>
      </c>
      <c r="D893" t="s">
        <v>44</v>
      </c>
      <c r="E893" t="s">
        <v>44</v>
      </c>
      <c r="F893" t="b">
        <f t="shared" si="26"/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f t="shared" si="27"/>
        <v>0</v>
      </c>
    </row>
    <row r="894" spans="1:34" hidden="1">
      <c r="A894">
        <v>892</v>
      </c>
      <c r="B894">
        <v>798</v>
      </c>
      <c r="C894">
        <v>806</v>
      </c>
      <c r="D894" t="s">
        <v>6</v>
      </c>
      <c r="E894" t="s">
        <v>6</v>
      </c>
      <c r="F894" t="b">
        <f t="shared" si="26"/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f t="shared" si="27"/>
        <v>0</v>
      </c>
    </row>
    <row r="895" spans="1:34" hidden="1">
      <c r="A895">
        <v>893</v>
      </c>
      <c r="B895">
        <v>799</v>
      </c>
      <c r="C895">
        <v>807</v>
      </c>
      <c r="D895" t="s">
        <v>42</v>
      </c>
      <c r="E895" t="s">
        <v>42</v>
      </c>
      <c r="F895" t="b">
        <f t="shared" si="26"/>
        <v>1</v>
      </c>
      <c r="G895" t="s">
        <v>42</v>
      </c>
      <c r="H895">
        <v>0</v>
      </c>
      <c r="I895">
        <v>0</v>
      </c>
      <c r="J895">
        <v>0</v>
      </c>
      <c r="K895">
        <v>0.110921501706484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f t="shared" si="27"/>
        <v>0</v>
      </c>
    </row>
    <row r="896" spans="1:34" hidden="1">
      <c r="A896">
        <v>894</v>
      </c>
      <c r="B896">
        <v>800</v>
      </c>
      <c r="C896">
        <v>808</v>
      </c>
      <c r="D896" t="s">
        <v>8</v>
      </c>
      <c r="E896" t="s">
        <v>8</v>
      </c>
      <c r="F896" t="b">
        <f t="shared" si="26"/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f t="shared" si="27"/>
        <v>0</v>
      </c>
    </row>
    <row r="897" spans="1:34" hidden="1">
      <c r="A897">
        <v>895</v>
      </c>
      <c r="B897">
        <v>801</v>
      </c>
      <c r="C897">
        <v>809</v>
      </c>
      <c r="D897" t="s">
        <v>3</v>
      </c>
      <c r="E897" t="s">
        <v>3</v>
      </c>
      <c r="F897" t="b">
        <f t="shared" si="26"/>
        <v>0</v>
      </c>
      <c r="G897" t="s">
        <v>7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0.157516183169503</v>
      </c>
      <c r="Y897">
        <v>0</v>
      </c>
      <c r="Z897">
        <v>0</v>
      </c>
      <c r="AA897">
        <v>0</v>
      </c>
      <c r="AB897">
        <v>0.116752234265069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f t="shared" si="27"/>
        <v>0</v>
      </c>
    </row>
    <row r="898" spans="1:34" hidden="1">
      <c r="A898">
        <v>896</v>
      </c>
      <c r="B898">
        <v>802</v>
      </c>
      <c r="C898">
        <v>810</v>
      </c>
      <c r="D898" t="s">
        <v>7</v>
      </c>
      <c r="E898" t="s">
        <v>7</v>
      </c>
      <c r="F898" t="b">
        <f t="shared" si="26"/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f t="shared" si="27"/>
        <v>0</v>
      </c>
    </row>
    <row r="899" spans="1:34" hidden="1">
      <c r="A899">
        <v>897</v>
      </c>
      <c r="B899">
        <v>803</v>
      </c>
      <c r="C899">
        <v>811</v>
      </c>
      <c r="D899" t="s">
        <v>1</v>
      </c>
      <c r="E899" t="s">
        <v>1</v>
      </c>
      <c r="F899" t="b">
        <f t="shared" ref="F899:F944" si="28">D899=G899</f>
        <v>0</v>
      </c>
      <c r="G899" t="s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0.12763682317488001</v>
      </c>
      <c r="AG899">
        <v>0</v>
      </c>
      <c r="AH899">
        <f t="shared" ref="AH899:AH944" si="29">COUNTIF(H899:AG899,"&gt;0.25")</f>
        <v>0</v>
      </c>
    </row>
    <row r="900" spans="1:34" hidden="1">
      <c r="A900">
        <v>898</v>
      </c>
      <c r="B900">
        <v>804</v>
      </c>
      <c r="C900">
        <v>812</v>
      </c>
      <c r="D900" t="s">
        <v>47</v>
      </c>
      <c r="E900" t="s">
        <v>47</v>
      </c>
      <c r="F900" t="b">
        <f t="shared" si="28"/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f t="shared" si="29"/>
        <v>0</v>
      </c>
    </row>
    <row r="901" spans="1:34" hidden="1">
      <c r="A901">
        <v>899</v>
      </c>
      <c r="B901">
        <v>805</v>
      </c>
      <c r="C901">
        <v>813</v>
      </c>
      <c r="D901" t="s">
        <v>7</v>
      </c>
      <c r="E901" t="s">
        <v>7</v>
      </c>
      <c r="F901" t="b">
        <f t="shared" si="28"/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f t="shared" si="29"/>
        <v>0</v>
      </c>
    </row>
    <row r="902" spans="1:34" hidden="1">
      <c r="A902">
        <v>900</v>
      </c>
      <c r="B902">
        <v>806</v>
      </c>
      <c r="C902">
        <v>814</v>
      </c>
      <c r="D902" t="s">
        <v>42</v>
      </c>
      <c r="E902" t="s">
        <v>42</v>
      </c>
      <c r="F902" t="b">
        <f t="shared" si="28"/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f t="shared" si="29"/>
        <v>0</v>
      </c>
    </row>
    <row r="903" spans="1:34" hidden="1">
      <c r="A903">
        <v>901</v>
      </c>
      <c r="B903">
        <v>807</v>
      </c>
      <c r="C903">
        <v>815</v>
      </c>
      <c r="D903" t="s">
        <v>42</v>
      </c>
      <c r="E903" t="s">
        <v>42</v>
      </c>
      <c r="F903" t="b">
        <f t="shared" si="28"/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f t="shared" si="29"/>
        <v>0</v>
      </c>
    </row>
    <row r="904" spans="1:34" hidden="1">
      <c r="A904">
        <v>902</v>
      </c>
      <c r="B904">
        <v>808</v>
      </c>
      <c r="C904">
        <v>816</v>
      </c>
      <c r="D904" t="s">
        <v>3</v>
      </c>
      <c r="E904" t="s">
        <v>3</v>
      </c>
      <c r="F904" t="b">
        <f t="shared" si="28"/>
        <v>1</v>
      </c>
      <c r="G904" t="s">
        <v>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0.15494296577946701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f t="shared" si="29"/>
        <v>0</v>
      </c>
    </row>
    <row r="905" spans="1:34">
      <c r="A905">
        <v>903</v>
      </c>
      <c r="B905">
        <v>809</v>
      </c>
      <c r="C905">
        <v>817</v>
      </c>
      <c r="D905" t="s">
        <v>1</v>
      </c>
      <c r="E905" t="s">
        <v>1</v>
      </c>
      <c r="F905" t="b">
        <f t="shared" si="28"/>
        <v>0</v>
      </c>
      <c r="G905" t="s">
        <v>2</v>
      </c>
      <c r="H905">
        <v>0</v>
      </c>
      <c r="I905">
        <v>0</v>
      </c>
      <c r="J905">
        <v>0</v>
      </c>
      <c r="K905">
        <v>0.47672253258845398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f t="shared" si="29"/>
        <v>1</v>
      </c>
    </row>
    <row r="906" spans="1:34" hidden="1">
      <c r="A906">
        <v>904</v>
      </c>
      <c r="B906">
        <v>810</v>
      </c>
      <c r="C906">
        <v>818</v>
      </c>
      <c r="D906" t="s">
        <v>2</v>
      </c>
      <c r="E906" t="s">
        <v>2</v>
      </c>
      <c r="F906" t="b">
        <f t="shared" si="28"/>
        <v>0</v>
      </c>
      <c r="G906" t="s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0.132601179581045</v>
      </c>
      <c r="AG906">
        <v>0</v>
      </c>
      <c r="AH906">
        <f t="shared" si="29"/>
        <v>0</v>
      </c>
    </row>
    <row r="907" spans="1:34" hidden="1">
      <c r="A907">
        <v>905</v>
      </c>
      <c r="B907">
        <v>811</v>
      </c>
      <c r="C907">
        <v>819</v>
      </c>
      <c r="D907" t="s">
        <v>1</v>
      </c>
      <c r="E907" t="s">
        <v>1</v>
      </c>
      <c r="F907" t="b">
        <f t="shared" si="28"/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f t="shared" si="29"/>
        <v>0</v>
      </c>
    </row>
    <row r="908" spans="1:34" hidden="1">
      <c r="A908">
        <v>906</v>
      </c>
      <c r="B908">
        <v>812</v>
      </c>
      <c r="C908">
        <v>820</v>
      </c>
      <c r="D908" t="s">
        <v>46</v>
      </c>
      <c r="E908" t="s">
        <v>46</v>
      </c>
      <c r="F908" t="b">
        <f t="shared" si="28"/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f t="shared" si="29"/>
        <v>0</v>
      </c>
    </row>
    <row r="909" spans="1:34" hidden="1">
      <c r="A909">
        <v>907</v>
      </c>
      <c r="B909">
        <v>813</v>
      </c>
      <c r="C909">
        <v>821</v>
      </c>
      <c r="D909" t="s">
        <v>1</v>
      </c>
      <c r="E909" t="s">
        <v>1</v>
      </c>
      <c r="F909" t="b">
        <f t="shared" si="28"/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f t="shared" si="29"/>
        <v>0</v>
      </c>
    </row>
    <row r="910" spans="1:34">
      <c r="A910">
        <v>908</v>
      </c>
      <c r="B910">
        <v>814</v>
      </c>
      <c r="C910">
        <v>822</v>
      </c>
      <c r="D910" t="s">
        <v>47</v>
      </c>
      <c r="E910" t="s">
        <v>47</v>
      </c>
      <c r="F910" t="b">
        <f t="shared" si="28"/>
        <v>0</v>
      </c>
      <c r="G910" t="s">
        <v>46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0.90238704177323104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f t="shared" si="29"/>
        <v>1</v>
      </c>
    </row>
    <row r="911" spans="1:34" hidden="1">
      <c r="A911">
        <v>909</v>
      </c>
      <c r="B911">
        <v>815</v>
      </c>
      <c r="C911">
        <v>823</v>
      </c>
      <c r="D911" t="s">
        <v>1</v>
      </c>
      <c r="E911" t="s">
        <v>1</v>
      </c>
      <c r="F911" t="b">
        <f t="shared" si="28"/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f t="shared" si="29"/>
        <v>0</v>
      </c>
    </row>
    <row r="912" spans="1:34" hidden="1">
      <c r="A912">
        <v>910</v>
      </c>
      <c r="B912">
        <v>816</v>
      </c>
      <c r="C912">
        <v>824</v>
      </c>
      <c r="D912" t="s">
        <v>6</v>
      </c>
      <c r="E912" t="s">
        <v>6</v>
      </c>
      <c r="F912" t="b">
        <f t="shared" si="28"/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f t="shared" si="29"/>
        <v>0</v>
      </c>
    </row>
    <row r="913" spans="1:34" hidden="1">
      <c r="A913">
        <v>911</v>
      </c>
      <c r="B913">
        <v>817</v>
      </c>
      <c r="C913">
        <v>825</v>
      </c>
      <c r="D913" t="s">
        <v>4</v>
      </c>
      <c r="E913" t="s">
        <v>4</v>
      </c>
      <c r="F913" t="b">
        <f t="shared" si="28"/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f t="shared" si="29"/>
        <v>0</v>
      </c>
    </row>
    <row r="914" spans="1:34" hidden="1">
      <c r="A914">
        <v>912</v>
      </c>
      <c r="B914">
        <v>818</v>
      </c>
      <c r="C914">
        <v>826</v>
      </c>
      <c r="D914" t="s">
        <v>2</v>
      </c>
      <c r="E914" t="s">
        <v>2</v>
      </c>
      <c r="F914" t="b">
        <f t="shared" si="28"/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f t="shared" si="29"/>
        <v>0</v>
      </c>
    </row>
    <row r="915" spans="1:34" hidden="1">
      <c r="A915">
        <v>913</v>
      </c>
      <c r="B915">
        <v>819</v>
      </c>
      <c r="C915">
        <v>827</v>
      </c>
      <c r="D915" t="s">
        <v>5</v>
      </c>
      <c r="E915" t="s">
        <v>5</v>
      </c>
      <c r="F915" t="b">
        <f t="shared" si="28"/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f t="shared" si="29"/>
        <v>0</v>
      </c>
    </row>
    <row r="916" spans="1:34" hidden="1">
      <c r="A916">
        <v>914</v>
      </c>
      <c r="B916">
        <v>820</v>
      </c>
      <c r="C916">
        <v>828</v>
      </c>
      <c r="D916" t="s">
        <v>10</v>
      </c>
      <c r="E916" t="s">
        <v>10</v>
      </c>
      <c r="F916" t="b">
        <f t="shared" si="28"/>
        <v>1</v>
      </c>
      <c r="G916" t="s">
        <v>10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0.133333333333333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f t="shared" si="29"/>
        <v>0</v>
      </c>
    </row>
    <row r="917" spans="1:34" hidden="1">
      <c r="A917">
        <v>915</v>
      </c>
      <c r="B917">
        <v>821</v>
      </c>
      <c r="C917">
        <v>829</v>
      </c>
      <c r="D917" t="s">
        <v>46</v>
      </c>
      <c r="E917" t="s">
        <v>47</v>
      </c>
      <c r="F917" t="b">
        <f t="shared" si="28"/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f t="shared" si="29"/>
        <v>0</v>
      </c>
    </row>
    <row r="918" spans="1:34" hidden="1">
      <c r="A918">
        <v>916</v>
      </c>
      <c r="B918">
        <v>822</v>
      </c>
      <c r="C918">
        <v>830</v>
      </c>
      <c r="D918" t="s">
        <v>46</v>
      </c>
      <c r="E918" t="s">
        <v>46</v>
      </c>
      <c r="F918" t="b">
        <f t="shared" si="28"/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f t="shared" si="29"/>
        <v>0</v>
      </c>
    </row>
    <row r="919" spans="1:34" hidden="1">
      <c r="A919">
        <v>917</v>
      </c>
      <c r="B919">
        <v>823</v>
      </c>
      <c r="C919">
        <v>831</v>
      </c>
      <c r="D919" t="s">
        <v>6</v>
      </c>
      <c r="E919" t="s">
        <v>6</v>
      </c>
      <c r="F919" t="b">
        <f t="shared" si="28"/>
        <v>0</v>
      </c>
      <c r="G919" t="s">
        <v>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0.13324386503067401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f t="shared" si="29"/>
        <v>0</v>
      </c>
    </row>
    <row r="920" spans="1:34">
      <c r="A920">
        <v>918</v>
      </c>
      <c r="B920">
        <v>824</v>
      </c>
      <c r="C920">
        <v>832</v>
      </c>
      <c r="D920" t="s">
        <v>47</v>
      </c>
      <c r="E920" t="s">
        <v>47</v>
      </c>
      <c r="F920" t="b">
        <f t="shared" si="28"/>
        <v>0</v>
      </c>
      <c r="G920" t="s">
        <v>46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0.44728616084114797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f t="shared" si="29"/>
        <v>1</v>
      </c>
    </row>
    <row r="921" spans="1:34" hidden="1">
      <c r="A921">
        <v>919</v>
      </c>
      <c r="B921">
        <v>825</v>
      </c>
      <c r="C921">
        <v>833</v>
      </c>
      <c r="D921" t="s">
        <v>47</v>
      </c>
      <c r="E921" t="s">
        <v>47</v>
      </c>
      <c r="F921" t="b">
        <f t="shared" si="28"/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f t="shared" si="29"/>
        <v>0</v>
      </c>
    </row>
    <row r="922" spans="1:34" hidden="1">
      <c r="A922">
        <v>920</v>
      </c>
      <c r="B922">
        <v>826</v>
      </c>
      <c r="C922">
        <v>834</v>
      </c>
      <c r="D922" t="s">
        <v>44</v>
      </c>
      <c r="E922" t="s">
        <v>44</v>
      </c>
      <c r="F922" t="b">
        <f t="shared" si="28"/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f t="shared" si="29"/>
        <v>0</v>
      </c>
    </row>
    <row r="923" spans="1:34" hidden="1">
      <c r="A923">
        <v>921</v>
      </c>
      <c r="B923">
        <v>827</v>
      </c>
      <c r="C923">
        <v>835</v>
      </c>
      <c r="D923" t="s">
        <v>10</v>
      </c>
      <c r="E923" t="s">
        <v>4</v>
      </c>
      <c r="F923" t="b">
        <f t="shared" si="28"/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f t="shared" si="29"/>
        <v>0</v>
      </c>
    </row>
    <row r="924" spans="1:34" hidden="1">
      <c r="A924">
        <v>922</v>
      </c>
      <c r="B924">
        <v>828</v>
      </c>
      <c r="C924">
        <v>836</v>
      </c>
      <c r="D924" t="s">
        <v>47</v>
      </c>
      <c r="E924" t="s">
        <v>1</v>
      </c>
      <c r="F924" t="b">
        <f t="shared" si="28"/>
        <v>0</v>
      </c>
      <c r="G924" t="s">
        <v>48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0.19306552619520301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f t="shared" si="29"/>
        <v>0</v>
      </c>
    </row>
    <row r="925" spans="1:34" hidden="1">
      <c r="A925">
        <v>923</v>
      </c>
      <c r="B925">
        <v>829</v>
      </c>
      <c r="C925">
        <v>837</v>
      </c>
      <c r="D925" t="s">
        <v>61</v>
      </c>
      <c r="E925" t="s">
        <v>50</v>
      </c>
      <c r="F925" t="b">
        <f t="shared" si="28"/>
        <v>1</v>
      </c>
      <c r="G925" t="s">
        <v>61</v>
      </c>
      <c r="H925">
        <v>0</v>
      </c>
      <c r="I925">
        <v>0.30420711974109998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f t="shared" si="29"/>
        <v>1</v>
      </c>
    </row>
    <row r="926" spans="1:34" hidden="1">
      <c r="A926">
        <v>924</v>
      </c>
      <c r="B926">
        <v>830</v>
      </c>
      <c r="C926">
        <v>838</v>
      </c>
      <c r="D926" t="s">
        <v>10</v>
      </c>
      <c r="E926" t="s">
        <v>10</v>
      </c>
      <c r="F926" t="b">
        <f t="shared" si="28"/>
        <v>1</v>
      </c>
      <c r="G926" t="s">
        <v>10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0.248648648648648</v>
      </c>
      <c r="AF926">
        <v>0</v>
      </c>
      <c r="AG926">
        <v>0</v>
      </c>
      <c r="AH926">
        <f t="shared" si="29"/>
        <v>0</v>
      </c>
    </row>
    <row r="927" spans="1:34" hidden="1">
      <c r="A927">
        <v>925</v>
      </c>
      <c r="B927">
        <v>831</v>
      </c>
      <c r="C927">
        <v>839</v>
      </c>
      <c r="D927" t="s">
        <v>1</v>
      </c>
      <c r="E927" t="s">
        <v>1</v>
      </c>
      <c r="F927" t="b">
        <f t="shared" si="28"/>
        <v>0</v>
      </c>
      <c r="G927" t="s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0.100637461006374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f t="shared" si="29"/>
        <v>0</v>
      </c>
    </row>
    <row r="928" spans="1:34" hidden="1">
      <c r="A928">
        <v>926</v>
      </c>
      <c r="B928">
        <v>832</v>
      </c>
      <c r="C928">
        <v>840</v>
      </c>
      <c r="D928" t="s">
        <v>46</v>
      </c>
      <c r="E928" t="s">
        <v>46</v>
      </c>
      <c r="F928" t="b">
        <f t="shared" si="28"/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f t="shared" si="29"/>
        <v>0</v>
      </c>
    </row>
    <row r="929" spans="1:34" hidden="1">
      <c r="A929">
        <v>927</v>
      </c>
      <c r="B929">
        <v>833</v>
      </c>
      <c r="C929">
        <v>841</v>
      </c>
      <c r="D929" t="s">
        <v>42</v>
      </c>
      <c r="E929" t="s">
        <v>10</v>
      </c>
      <c r="F929" t="b">
        <f t="shared" si="28"/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f t="shared" si="29"/>
        <v>0</v>
      </c>
    </row>
    <row r="930" spans="1:34" hidden="1">
      <c r="A930">
        <v>928</v>
      </c>
      <c r="B930">
        <v>834</v>
      </c>
      <c r="C930">
        <v>842</v>
      </c>
      <c r="D930" t="s">
        <v>9</v>
      </c>
      <c r="E930" t="s">
        <v>9</v>
      </c>
      <c r="F930" t="b">
        <f t="shared" si="28"/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f t="shared" si="29"/>
        <v>0</v>
      </c>
    </row>
    <row r="931" spans="1:34" hidden="1">
      <c r="A931">
        <v>929</v>
      </c>
      <c r="B931">
        <v>835</v>
      </c>
      <c r="C931">
        <v>843</v>
      </c>
      <c r="D931" t="s">
        <v>46</v>
      </c>
      <c r="E931" t="s">
        <v>46</v>
      </c>
      <c r="F931" t="b">
        <f t="shared" si="28"/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f t="shared" si="29"/>
        <v>0</v>
      </c>
    </row>
    <row r="932" spans="1:34" hidden="1">
      <c r="A932">
        <v>930</v>
      </c>
      <c r="B932">
        <v>836</v>
      </c>
      <c r="C932">
        <v>844</v>
      </c>
      <c r="D932" t="s">
        <v>45</v>
      </c>
      <c r="E932" t="s">
        <v>45</v>
      </c>
      <c r="F932" t="b">
        <f t="shared" si="28"/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f t="shared" si="29"/>
        <v>0</v>
      </c>
    </row>
    <row r="933" spans="1:34" hidden="1">
      <c r="A933">
        <v>931</v>
      </c>
      <c r="B933">
        <v>837</v>
      </c>
      <c r="C933">
        <v>845</v>
      </c>
      <c r="D933" t="s">
        <v>2</v>
      </c>
      <c r="E933" t="s">
        <v>10</v>
      </c>
      <c r="F933" t="b">
        <f t="shared" si="28"/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f t="shared" si="29"/>
        <v>0</v>
      </c>
    </row>
    <row r="934" spans="1:34" hidden="1">
      <c r="A934">
        <v>932</v>
      </c>
      <c r="B934">
        <v>838</v>
      </c>
      <c r="C934">
        <v>846</v>
      </c>
      <c r="D934" t="s">
        <v>10</v>
      </c>
      <c r="E934" t="s">
        <v>10</v>
      </c>
      <c r="F934" t="b">
        <f t="shared" si="28"/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f t="shared" si="29"/>
        <v>0</v>
      </c>
    </row>
    <row r="935" spans="1:34" hidden="1">
      <c r="A935">
        <v>933</v>
      </c>
      <c r="B935">
        <v>839</v>
      </c>
      <c r="C935">
        <v>847</v>
      </c>
      <c r="D935" t="s">
        <v>46</v>
      </c>
      <c r="E935" t="s">
        <v>46</v>
      </c>
      <c r="F935" t="b">
        <f t="shared" si="28"/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f t="shared" si="29"/>
        <v>0</v>
      </c>
    </row>
    <row r="936" spans="1:34" hidden="1">
      <c r="A936">
        <v>934</v>
      </c>
      <c r="B936">
        <v>840</v>
      </c>
      <c r="C936">
        <v>848</v>
      </c>
      <c r="D936" t="s">
        <v>10</v>
      </c>
      <c r="E936" t="s">
        <v>10</v>
      </c>
      <c r="F936" t="b">
        <f t="shared" si="28"/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f t="shared" si="29"/>
        <v>0</v>
      </c>
    </row>
    <row r="937" spans="1:34" hidden="1">
      <c r="A937">
        <v>935</v>
      </c>
      <c r="B937">
        <v>841</v>
      </c>
      <c r="C937">
        <v>849</v>
      </c>
      <c r="D937" t="s">
        <v>44</v>
      </c>
      <c r="E937" t="s">
        <v>44</v>
      </c>
      <c r="F937" t="b">
        <f t="shared" si="28"/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f t="shared" si="29"/>
        <v>0</v>
      </c>
    </row>
    <row r="938" spans="1:34" hidden="1">
      <c r="A938">
        <v>936</v>
      </c>
      <c r="B938">
        <v>842</v>
      </c>
      <c r="C938">
        <v>850</v>
      </c>
      <c r="D938" t="s">
        <v>4</v>
      </c>
      <c r="E938" t="s">
        <v>4</v>
      </c>
      <c r="F938" t="b">
        <f t="shared" si="28"/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f t="shared" si="29"/>
        <v>0</v>
      </c>
    </row>
    <row r="939" spans="1:34" hidden="1">
      <c r="A939">
        <v>937</v>
      </c>
      <c r="B939">
        <v>843</v>
      </c>
      <c r="C939">
        <v>851</v>
      </c>
      <c r="D939" t="s">
        <v>42</v>
      </c>
      <c r="E939" t="s">
        <v>42</v>
      </c>
      <c r="F939" t="b">
        <f t="shared" si="28"/>
        <v>1</v>
      </c>
      <c r="G939" t="s">
        <v>42</v>
      </c>
      <c r="H939">
        <v>0</v>
      </c>
      <c r="I939">
        <v>0</v>
      </c>
      <c r="J939">
        <v>0</v>
      </c>
      <c r="K939">
        <v>0.13225806451612901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f t="shared" si="29"/>
        <v>0</v>
      </c>
    </row>
    <row r="940" spans="1:34" hidden="1">
      <c r="A940">
        <v>938</v>
      </c>
      <c r="B940">
        <v>844</v>
      </c>
      <c r="C940">
        <v>852</v>
      </c>
      <c r="D940" t="s">
        <v>6</v>
      </c>
      <c r="E940" t="s">
        <v>6</v>
      </c>
      <c r="F940" t="b">
        <f t="shared" si="28"/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f t="shared" si="29"/>
        <v>0</v>
      </c>
    </row>
    <row r="941" spans="1:34" hidden="1">
      <c r="A941">
        <v>939</v>
      </c>
      <c r="B941">
        <v>845</v>
      </c>
      <c r="C941">
        <v>853</v>
      </c>
      <c r="D941" t="s">
        <v>10</v>
      </c>
      <c r="E941" t="s">
        <v>10</v>
      </c>
      <c r="F941" t="b">
        <f t="shared" si="28"/>
        <v>1</v>
      </c>
      <c r="G941" t="s">
        <v>10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0.55679875679875601</v>
      </c>
      <c r="AE941">
        <v>0</v>
      </c>
      <c r="AF941">
        <v>0</v>
      </c>
      <c r="AG941">
        <v>0</v>
      </c>
      <c r="AH941">
        <f t="shared" si="29"/>
        <v>1</v>
      </c>
    </row>
    <row r="942" spans="1:34" hidden="1">
      <c r="A942">
        <v>940</v>
      </c>
      <c r="B942">
        <v>846</v>
      </c>
      <c r="C942">
        <v>854</v>
      </c>
      <c r="D942" t="s">
        <v>1</v>
      </c>
      <c r="E942" t="s">
        <v>46</v>
      </c>
      <c r="F942" t="b">
        <f t="shared" si="28"/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f t="shared" si="29"/>
        <v>0</v>
      </c>
    </row>
    <row r="943" spans="1:34" hidden="1">
      <c r="A943">
        <v>941</v>
      </c>
      <c r="B943">
        <v>847</v>
      </c>
      <c r="C943">
        <v>855</v>
      </c>
      <c r="D943" t="s">
        <v>42</v>
      </c>
      <c r="E943" t="s">
        <v>42</v>
      </c>
      <c r="F943" t="b">
        <f t="shared" si="28"/>
        <v>1</v>
      </c>
      <c r="G943" t="s">
        <v>42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0.171641791044776</v>
      </c>
      <c r="AF943">
        <v>0</v>
      </c>
      <c r="AG943">
        <v>0</v>
      </c>
      <c r="AH943">
        <f t="shared" si="29"/>
        <v>0</v>
      </c>
    </row>
    <row r="944" spans="1:34" hidden="1">
      <c r="A944">
        <v>942</v>
      </c>
      <c r="B944">
        <v>848</v>
      </c>
      <c r="C944">
        <v>856</v>
      </c>
      <c r="D944" t="s">
        <v>42</v>
      </c>
      <c r="E944" t="s">
        <v>42</v>
      </c>
      <c r="F944" t="b">
        <f t="shared" si="28"/>
        <v>1</v>
      </c>
      <c r="G944" t="s">
        <v>42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0.14698063045955101</v>
      </c>
      <c r="AH944">
        <f t="shared" si="29"/>
        <v>0</v>
      </c>
    </row>
  </sheetData>
  <autoFilter ref="A1:AH944" xr:uid="{AF4CC6E1-95D7-F34A-8822-08A943BB07D4}">
    <filterColumn colId="5">
      <filters>
        <filter val="FALSE"/>
      </filters>
    </filterColumn>
    <filterColumn colId="33">
      <filters>
        <filter val="1"/>
        <filter val="12"/>
        <filter val="13"/>
        <filter val="2"/>
        <filter val="3"/>
        <filter val="4"/>
        <filter val="5"/>
        <filter val="6"/>
        <filter val="7"/>
        <filter val="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JR-CSF Haplotypes - only CD50</vt:lpstr>
      <vt:lpstr>JR-CSF Haplotypes - NO CD50</vt:lpstr>
      <vt:lpstr>JR-CSF Haplotypes Edited</vt:lpstr>
      <vt:lpstr>JR-CSF Haplotypes</vt:lpstr>
      <vt:lpstr>JRCSF Haplotype Counts</vt:lpstr>
      <vt:lpstr>JRCSF Survival Analysis</vt:lpstr>
      <vt:lpstr>sequencing metadata</vt:lpstr>
      <vt:lpstr>Expression</vt:lpstr>
      <vt:lpstr>survival</vt:lpstr>
      <vt:lpstr>JR-CSF Raw 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2024-10-17T14:02:10Z</dcterms:created>
  <dcterms:modified xsi:type="dcterms:W3CDTF">2025-06-10T17:11:44Z</dcterms:modified>
</cp:coreProperties>
</file>