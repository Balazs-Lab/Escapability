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Documents/GitHub/Escapability/Escape Barrier Data and Analysis/escape barrier score/data/"/>
    </mc:Choice>
  </mc:AlternateContent>
  <xr:revisionPtr revIDLastSave="0" documentId="13_ncr:1_{0B9CE35E-D4F8-0D4F-9150-1EE978622AA4}" xr6:coauthVersionLast="47" xr6:coauthVersionMax="47" xr10:uidLastSave="{00000000-0000-0000-0000-000000000000}"/>
  <bookViews>
    <workbookView xWindow="28440" yWindow="2880" windowWidth="39980" windowHeight="20340" xr2:uid="{475633B7-6B96-0B42-840E-0F2F194B55BD}"/>
  </bookViews>
  <sheets>
    <sheet name="Sheet1" sheetId="1" r:id="rId1"/>
    <sheet name="Samples" sheetId="2" r:id="rId2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6" i="1"/>
  <c r="E17" i="1"/>
  <c r="E7" i="1"/>
  <c r="E6" i="1" l="1"/>
  <c r="E5" i="1" l="1"/>
  <c r="E4" i="1"/>
  <c r="E9" i="1"/>
  <c r="E14" i="1" l="1"/>
  <c r="E13" i="1"/>
  <c r="E10" i="1"/>
  <c r="E11" i="1"/>
  <c r="E12" i="1"/>
  <c r="E8" i="1"/>
  <c r="E3" i="1"/>
  <c r="E2" i="1"/>
</calcChain>
</file>

<file path=xl/sharedStrings.xml><?xml version="1.0" encoding="utf-8"?>
<sst xmlns="http://schemas.openxmlformats.org/spreadsheetml/2006/main" count="54" uniqueCount="16">
  <si>
    <t xml:space="preserve">Virus </t>
  </si>
  <si>
    <t xml:space="preserve">Antibody </t>
  </si>
  <si>
    <t>Pathway</t>
  </si>
  <si>
    <t>VRC07</t>
  </si>
  <si>
    <t>A</t>
  </si>
  <si>
    <t>B</t>
  </si>
  <si>
    <t>PathID</t>
  </si>
  <si>
    <t>REJOc</t>
  </si>
  <si>
    <t>JRCSF</t>
  </si>
  <si>
    <t>Frequency</t>
  </si>
  <si>
    <t>N6</t>
  </si>
  <si>
    <t>RV</t>
  </si>
  <si>
    <t>C</t>
  </si>
  <si>
    <t>REJOc+M184I/V</t>
  </si>
  <si>
    <t>PGDM1400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</si>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</sst>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Source Code Pro"/>
    </font>
    <font>
      <sz val="12"/>
      <color theme="1"/>
      <name val="Source Code 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9" fontId="5" fillId="0" borderId="0" xfId="1" applyFont="1"/>
    <xf numFmtId="9" fontId="5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8BA9-5EB5-7442-9D54-7FF11E90551F}">
  <dimension ref="A1:G17"/>
  <sheetViews>
    <sheetView tabSelected="1" zoomScale="127" zoomScaleNormal="127" workbookViewId="0">
      <selection activeCell="A18" sqref="A18"/>
    </sheetView>
  </sheetViews>
  <sheetFormatPr baseColWidth="10" defaultRowHeight="16" x14ac:dyDescent="0.2"/>
  <cols>
    <col min="2" max="2" width="14.33203125" bestFit="1" customWidth="1"/>
    <col min="5" max="5" width="19.1640625" customWidth="1"/>
    <col min="6" max="6" width="16.6640625" bestFit="1" customWidth="1"/>
  </cols>
  <sheetData>
    <row r="1" spans="1:7" x14ac:dyDescent="0.2">
      <c r="A1" s="3" t="s">
        <v>15</v>
      </c>
      <c r="B1" s="3" t="s">
        <v>0</v>
      </c>
      <c r="C1" s="3" t="s">
        <v>1</v>
      </c>
      <c r="D1" s="3" t="s">
        <v>2</v>
      </c>
      <c r="E1" s="3" t="s">
        <v>6</v>
      </c>
      <c r="F1" s="3" t="s">
        <v>9</v>
      </c>
      <c r="G1" s="2"/>
    </row>
    <row r="2" spans="1:7" x14ac:dyDescent="0.2">
      <c r="A2" s="4">
        <v>1</v>
      </c>
      <c r="B2" s="4" t="s">
        <v>7</v>
      </c>
      <c r="C2" s="4" t="s">
        <v>3</v>
      </c>
      <c r="D2" s="4" t="s">
        <v>4</v>
      </c>
      <c r="E2" s="4" t="str">
        <f t="shared" ref="E2:E17" si="0">_xlfn.CONCAT(B2,"-",C2,"-",D2)</f>
        <v>REJOc-VRC07-A</v>
      </c>
      <c r="F2" s="5">
        <v>0.6470588235294118</v>
      </c>
    </row>
    <row r="3" spans="1:7" x14ac:dyDescent="0.2">
      <c r="A3" s="4">
        <v>1</v>
      </c>
      <c r="B3" s="4" t="s">
        <v>7</v>
      </c>
      <c r="C3" s="4" t="s">
        <v>3</v>
      </c>
      <c r="D3" s="4" t="s">
        <v>5</v>
      </c>
      <c r="E3" s="4" t="str">
        <f t="shared" si="0"/>
        <v>REJOc-VRC07-B</v>
      </c>
      <c r="F3" s="5">
        <v>0.35294117647058826</v>
      </c>
    </row>
    <row r="4" spans="1:7" x14ac:dyDescent="0.2">
      <c r="A4" s="4">
        <v>2</v>
      </c>
      <c r="B4" s="4" t="s">
        <v>7</v>
      </c>
      <c r="C4" s="4" t="s">
        <v>10</v>
      </c>
      <c r="D4" s="4" t="s">
        <v>4</v>
      </c>
      <c r="E4" s="4" t="str">
        <f t="shared" si="0"/>
        <v>REJOc-N6-A</v>
      </c>
      <c r="F4" s="6">
        <v>0.58823529411764708</v>
      </c>
    </row>
    <row r="5" spans="1:7" x14ac:dyDescent="0.2">
      <c r="A5" s="4">
        <v>2</v>
      </c>
      <c r="B5" s="4" t="s">
        <v>7</v>
      </c>
      <c r="C5" s="4" t="s">
        <v>10</v>
      </c>
      <c r="D5" s="4" t="s">
        <v>5</v>
      </c>
      <c r="E5" s="4" t="str">
        <f t="shared" si="0"/>
        <v>REJOc-N6-B</v>
      </c>
      <c r="F5" s="6">
        <v>0.41176470588235292</v>
      </c>
    </row>
    <row r="6" spans="1:7" x14ac:dyDescent="0.2">
      <c r="A6" s="4">
        <v>3</v>
      </c>
      <c r="B6" s="4" t="s">
        <v>7</v>
      </c>
      <c r="C6" s="4" t="s">
        <v>14</v>
      </c>
      <c r="D6" s="4" t="s">
        <v>4</v>
      </c>
      <c r="E6" s="4" t="str">
        <f t="shared" si="0"/>
        <v>REJOc-PGDM1400-A</v>
      </c>
      <c r="F6" s="5">
        <v>0.56000000000000005</v>
      </c>
    </row>
    <row r="7" spans="1:7" x14ac:dyDescent="0.2">
      <c r="A7" s="4">
        <v>3</v>
      </c>
      <c r="B7" s="4" t="s">
        <v>7</v>
      </c>
      <c r="C7" s="4" t="s">
        <v>14</v>
      </c>
      <c r="D7" s="4" t="s">
        <v>5</v>
      </c>
      <c r="E7" s="4" t="str">
        <f t="shared" si="0"/>
        <v>REJOc-PGDM1400-B</v>
      </c>
      <c r="F7" s="5">
        <v>0.44</v>
      </c>
    </row>
    <row r="8" spans="1:7" x14ac:dyDescent="0.2">
      <c r="A8" s="4">
        <v>4</v>
      </c>
      <c r="B8" s="4" t="s">
        <v>8</v>
      </c>
      <c r="C8" s="4" t="s">
        <v>3</v>
      </c>
      <c r="D8" s="4" t="s">
        <v>4</v>
      </c>
      <c r="E8" s="4" t="str">
        <f t="shared" si="0"/>
        <v>JRCSF-VRC07-A</v>
      </c>
      <c r="F8" s="6">
        <v>0.6428571428571429</v>
      </c>
    </row>
    <row r="9" spans="1:7" x14ac:dyDescent="0.2">
      <c r="A9" s="4">
        <v>4</v>
      </c>
      <c r="B9" s="4" t="s">
        <v>8</v>
      </c>
      <c r="C9" s="4" t="s">
        <v>3</v>
      </c>
      <c r="D9" s="4" t="s">
        <v>5</v>
      </c>
      <c r="E9" s="4" t="str">
        <f t="shared" si="0"/>
        <v>JRCSF-VRC07-B</v>
      </c>
      <c r="F9" s="6">
        <v>0.35714285714285715</v>
      </c>
    </row>
    <row r="10" spans="1:7" x14ac:dyDescent="0.2">
      <c r="A10" s="4">
        <v>5</v>
      </c>
      <c r="B10" s="4" t="s">
        <v>11</v>
      </c>
      <c r="C10" s="4" t="s">
        <v>3</v>
      </c>
      <c r="D10" s="4" t="s">
        <v>4</v>
      </c>
      <c r="E10" s="4" t="str">
        <f t="shared" si="0"/>
        <v>RV-VRC07-A</v>
      </c>
      <c r="F10" s="6">
        <v>0.55555555555555558</v>
      </c>
    </row>
    <row r="11" spans="1:7" x14ac:dyDescent="0.2">
      <c r="A11" s="4">
        <v>5</v>
      </c>
      <c r="B11" s="4" t="s">
        <v>11</v>
      </c>
      <c r="C11" s="4" t="s">
        <v>3</v>
      </c>
      <c r="D11" s="4" t="s">
        <v>5</v>
      </c>
      <c r="E11" s="4" t="str">
        <f t="shared" si="0"/>
        <v>RV-VRC07-B</v>
      </c>
      <c r="F11" s="6">
        <v>0.33333333333333331</v>
      </c>
    </row>
    <row r="12" spans="1:7" x14ac:dyDescent="0.2">
      <c r="A12" s="4">
        <v>5</v>
      </c>
      <c r="B12" s="4" t="s">
        <v>11</v>
      </c>
      <c r="C12" s="4" t="s">
        <v>3</v>
      </c>
      <c r="D12" s="4" t="s">
        <v>12</v>
      </c>
      <c r="E12" s="4" t="str">
        <f t="shared" si="0"/>
        <v>RV-VRC07-C</v>
      </c>
      <c r="F12" s="6">
        <v>0.1111111111111111</v>
      </c>
    </row>
    <row r="13" spans="1:7" x14ac:dyDescent="0.2">
      <c r="A13" s="4">
        <v>6</v>
      </c>
      <c r="B13" s="4" t="s">
        <v>13</v>
      </c>
      <c r="C13" s="4" t="s">
        <v>3</v>
      </c>
      <c r="D13" s="4" t="s">
        <v>4</v>
      </c>
      <c r="E13" s="4" t="str">
        <f t="shared" si="0"/>
        <v>REJOc+M184I/V-VRC07-A</v>
      </c>
      <c r="F13" s="5">
        <v>0.59</v>
      </c>
    </row>
    <row r="14" spans="1:7" x14ac:dyDescent="0.2">
      <c r="A14" s="4">
        <v>6</v>
      </c>
      <c r="B14" s="4" t="s">
        <v>13</v>
      </c>
      <c r="C14" s="4" t="s">
        <v>3</v>
      </c>
      <c r="D14" s="4" t="s">
        <v>5</v>
      </c>
      <c r="E14" s="4" t="str">
        <f t="shared" si="0"/>
        <v>REJOc+M184I/V-VRC07-B</v>
      </c>
      <c r="F14" s="5">
        <v>0.41</v>
      </c>
    </row>
    <row r="15" spans="1:7" x14ac:dyDescent="0.2">
      <c r="A15" s="4">
        <v>7</v>
      </c>
      <c r="B15" s="4" t="s">
        <v>8</v>
      </c>
      <c r="C15" s="4" t="s">
        <v>10</v>
      </c>
      <c r="D15" s="4" t="s">
        <v>4</v>
      </c>
      <c r="E15" s="4" t="str">
        <f t="shared" si="0"/>
        <v>JRCSF-N6-A</v>
      </c>
      <c r="F15" s="5">
        <v>1</v>
      </c>
    </row>
    <row r="16" spans="1:7" x14ac:dyDescent="0.2">
      <c r="A16" s="4">
        <v>8</v>
      </c>
      <c r="B16" s="4" t="s">
        <v>8</v>
      </c>
      <c r="C16" s="4" t="s">
        <v>14</v>
      </c>
      <c r="D16" s="4" t="s">
        <v>4</v>
      </c>
      <c r="E16" s="4" t="str">
        <f t="shared" si="0"/>
        <v>JRCSF-PGDM1400-A</v>
      </c>
      <c r="F16" s="5">
        <v>0.33</v>
      </c>
    </row>
    <row r="17" spans="1:6" x14ac:dyDescent="0.2">
      <c r="A17" s="4">
        <v>8</v>
      </c>
      <c r="B17" s="4" t="s">
        <v>8</v>
      </c>
      <c r="C17" s="4" t="s">
        <v>14</v>
      </c>
      <c r="D17" s="4" t="s">
        <v>5</v>
      </c>
      <c r="E17" s="4" t="str">
        <f t="shared" si="0"/>
        <v>JRCSF-PGDM1400-B</v>
      </c>
      <c r="F17" s="5">
        <v>0.67</v>
      </c>
    </row>
  </sheetData>
  <autoFilter ref="A1:G1" xr:uid="{747A8BA9-5EB5-7442-9D54-7FF11E90551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3BDD-1D8D-0448-A94B-CF342A786B23}">
  <dimension ref="A1:D1"/>
  <sheetViews>
    <sheetView workbookViewId="0">
      <selection activeCell="F33" sqref="A1:F33"/>
    </sheetView>
  </sheetViews>
  <sheetFormatPr baseColWidth="10" defaultRowHeight="16" x14ac:dyDescent="0.2"/>
  <sheetData>
    <row r="1" spans="1:4" x14ac:dyDescent="0.2">
      <c r="A1" s="1"/>
      <c r="B1" s="1"/>
      <c r="C1" s="1"/>
      <c r="D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2024-12-17T19:51:36Z</dcterms:created>
  <dcterms:modified xsi:type="dcterms:W3CDTF">2025-06-10T16:58:47Z</dcterms:modified>
</cp:coreProperties>
</file>