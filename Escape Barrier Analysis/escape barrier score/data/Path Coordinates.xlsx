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Documents/GitHub/Escapability/Escape Barrier Analysis/escape barrier score/data/"/>
    </mc:Choice>
  </mc:AlternateContent>
  <xr:revisionPtr revIDLastSave="0" documentId="13_ncr:1_{367BBAED-7721-3648-85DB-9FC3AED54D11}" xr6:coauthVersionLast="47" xr6:coauthVersionMax="47" xr10:uidLastSave="{00000000-0000-0000-0000-000000000000}"/>
  <bookViews>
    <workbookView xWindow="21000" yWindow="500" windowWidth="36840" windowHeight="23600" xr2:uid="{475633B7-6B96-0B42-840E-0F2F194B55BD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E38" i="1"/>
  <c r="E37" i="1"/>
  <c r="E36" i="1"/>
  <c r="E35" i="1" l="1"/>
  <c r="E34" i="1"/>
  <c r="E13" i="1" l="1"/>
  <c r="E12" i="1"/>
  <c r="E11" i="1"/>
  <c r="E10" i="1"/>
  <c r="E9" i="1"/>
  <c r="E17" i="1" l="1"/>
  <c r="E16" i="1"/>
  <c r="E15" i="1"/>
  <c r="E14" i="1"/>
  <c r="E21" i="1" l="1"/>
  <c r="E20" i="1"/>
  <c r="E28" i="1" l="1"/>
  <c r="E29" i="1"/>
  <c r="E30" i="1"/>
  <c r="E31" i="1"/>
  <c r="E32" i="1"/>
  <c r="E33" i="1"/>
  <c r="E27" i="1"/>
  <c r="E26" i="1"/>
  <c r="E25" i="1"/>
  <c r="E24" i="1"/>
  <c r="E23" i="1"/>
  <c r="E22" i="1"/>
  <c r="E8" i="1" l="1"/>
  <c r="E3" i="1" l="1"/>
  <c r="E4" i="1"/>
  <c r="E5" i="1"/>
  <c r="E6" i="1"/>
  <c r="E7" i="1"/>
  <c r="E18" i="1"/>
  <c r="E19" i="1"/>
  <c r="E2" i="1"/>
</calcChain>
</file>

<file path=xl/sharedStrings.xml><?xml version="1.0" encoding="utf-8"?>
<sst xmlns="http://schemas.openxmlformats.org/spreadsheetml/2006/main" count="160" uniqueCount="33">
  <si>
    <t xml:space="preserve">Virus </t>
  </si>
  <si>
    <t xml:space="preserve">Antibody </t>
  </si>
  <si>
    <t>Pathway</t>
  </si>
  <si>
    <t>Mutation</t>
  </si>
  <si>
    <t>IC50</t>
  </si>
  <si>
    <t>VRC07</t>
  </si>
  <si>
    <t>WT</t>
  </si>
  <si>
    <t>D279A</t>
  </si>
  <si>
    <t>D279A + N460D</t>
  </si>
  <si>
    <t>GrowthRate</t>
  </si>
  <si>
    <t>N276D + D279A</t>
  </si>
  <si>
    <t>A</t>
  </si>
  <si>
    <t>B</t>
  </si>
  <si>
    <t>PathID</t>
  </si>
  <si>
    <t>REJOc</t>
  </si>
  <si>
    <t>JRCSF</t>
  </si>
  <si>
    <t>N6</t>
  </si>
  <si>
    <t>A281D</t>
  </si>
  <si>
    <t>RV</t>
  </si>
  <si>
    <t>C</t>
  </si>
  <si>
    <t>D279K</t>
  </si>
  <si>
    <t>D279H</t>
  </si>
  <si>
    <t>REJOc+M184I/V</t>
  </si>
  <si>
    <t>D279A N460D</t>
  </si>
  <si>
    <t>N276D D279A</t>
  </si>
  <si>
    <t>PGDM1400</t>
  </si>
  <si>
    <t>N276D + A281D</t>
  </si>
  <si>
    <t>T278K + A281D</t>
  </si>
  <si>
    <t>ID</t>
  </si>
  <si>
    <t>N160K</t>
  </si>
  <si>
    <t>D167G</t>
  </si>
  <si>
    <t>T162X</t>
  </si>
  <si>
    <t>N160X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</si>
</sst>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Source Code Pro"/>
    </font>
    <font>
      <b/>
      <sz val="12"/>
      <color rgb="FF000000"/>
      <name val="Source Code Pro"/>
    </font>
    <font>
      <sz val="12"/>
      <color theme="1"/>
      <name val="Source Code Pro"/>
    </font>
    <font>
      <sz val="12"/>
      <color rgb="FF000000"/>
      <name val="Source Code 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165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8BA9-5EB5-7442-9D54-7FF11E90551F}">
  <dimension ref="A1:H39"/>
  <sheetViews>
    <sheetView tabSelected="1" zoomScale="185" zoomScaleNormal="185" workbookViewId="0">
      <selection activeCell="H10" sqref="H10"/>
    </sheetView>
  </sheetViews>
  <sheetFormatPr baseColWidth="10" defaultRowHeight="16" x14ac:dyDescent="0.2"/>
  <cols>
    <col min="2" max="2" width="15" customWidth="1"/>
    <col min="5" max="5" width="22.5" bestFit="1" customWidth="1"/>
    <col min="6" max="6" width="16.83203125" customWidth="1"/>
    <col min="7" max="7" width="11.5" customWidth="1"/>
  </cols>
  <sheetData>
    <row r="1" spans="1:8" x14ac:dyDescent="0.2">
      <c r="A1" s="1" t="s">
        <v>28</v>
      </c>
      <c r="B1" s="1" t="s">
        <v>0</v>
      </c>
      <c r="C1" s="1" t="s">
        <v>1</v>
      </c>
      <c r="D1" s="1" t="s">
        <v>2</v>
      </c>
      <c r="E1" s="1" t="s">
        <v>13</v>
      </c>
      <c r="F1" s="1" t="s">
        <v>3</v>
      </c>
      <c r="G1" s="1" t="s">
        <v>4</v>
      </c>
      <c r="H1" s="2" t="s">
        <v>9</v>
      </c>
    </row>
    <row r="2" spans="1:8" x14ac:dyDescent="0.2">
      <c r="A2" s="3">
        <v>1</v>
      </c>
      <c r="B2" s="3" t="s">
        <v>14</v>
      </c>
      <c r="C2" s="3" t="s">
        <v>5</v>
      </c>
      <c r="D2" s="3" t="s">
        <v>11</v>
      </c>
      <c r="E2" s="3" t="str">
        <f t="shared" ref="E2:E33" si="0">_xlfn.CONCAT(B2,"-",C2,"-",D2)</f>
        <v>REJOc-VRC07-A</v>
      </c>
      <c r="F2" s="3" t="s">
        <v>6</v>
      </c>
      <c r="G2" s="4">
        <v>2.75E-2</v>
      </c>
      <c r="H2" s="5">
        <v>1</v>
      </c>
    </row>
    <row r="3" spans="1:8" x14ac:dyDescent="0.2">
      <c r="A3" s="3">
        <v>1</v>
      </c>
      <c r="B3" s="3" t="s">
        <v>14</v>
      </c>
      <c r="C3" s="3" t="s">
        <v>5</v>
      </c>
      <c r="D3" s="3" t="s">
        <v>11</v>
      </c>
      <c r="E3" s="3" t="str">
        <f t="shared" si="0"/>
        <v>REJOc-VRC07-A</v>
      </c>
      <c r="F3" s="3" t="s">
        <v>7</v>
      </c>
      <c r="G3" s="4">
        <v>1.4139999999999999</v>
      </c>
      <c r="H3" s="5">
        <v>2.36</v>
      </c>
    </row>
    <row r="4" spans="1:8" x14ac:dyDescent="0.2">
      <c r="A4" s="3">
        <v>1</v>
      </c>
      <c r="B4" s="3" t="s">
        <v>14</v>
      </c>
      <c r="C4" s="3" t="s">
        <v>5</v>
      </c>
      <c r="D4" s="3" t="s">
        <v>11</v>
      </c>
      <c r="E4" s="3" t="str">
        <f t="shared" si="0"/>
        <v>REJOc-VRC07-A</v>
      </c>
      <c r="F4" s="3" t="s">
        <v>23</v>
      </c>
      <c r="G4" s="4">
        <v>200</v>
      </c>
      <c r="H4" s="5">
        <v>3.14</v>
      </c>
    </row>
    <row r="5" spans="1:8" x14ac:dyDescent="0.2">
      <c r="A5" s="3">
        <v>1</v>
      </c>
      <c r="B5" s="3" t="s">
        <v>14</v>
      </c>
      <c r="C5" s="3" t="s">
        <v>5</v>
      </c>
      <c r="D5" s="3" t="s">
        <v>12</v>
      </c>
      <c r="E5" s="3" t="str">
        <f t="shared" si="0"/>
        <v>REJOc-VRC07-B</v>
      </c>
      <c r="F5" s="3" t="s">
        <v>6</v>
      </c>
      <c r="G5" s="4">
        <v>2.75E-2</v>
      </c>
      <c r="H5" s="5">
        <v>1</v>
      </c>
    </row>
    <row r="6" spans="1:8" x14ac:dyDescent="0.2">
      <c r="A6" s="3">
        <v>1</v>
      </c>
      <c r="B6" s="3" t="s">
        <v>14</v>
      </c>
      <c r="C6" s="3" t="s">
        <v>5</v>
      </c>
      <c r="D6" s="3" t="s">
        <v>12</v>
      </c>
      <c r="E6" s="3" t="str">
        <f t="shared" si="0"/>
        <v>REJOc-VRC07-B</v>
      </c>
      <c r="F6" s="3" t="s">
        <v>7</v>
      </c>
      <c r="G6" s="4">
        <v>1.4139999999999999</v>
      </c>
      <c r="H6" s="5">
        <v>2.36</v>
      </c>
    </row>
    <row r="7" spans="1:8" x14ac:dyDescent="0.2">
      <c r="A7" s="3">
        <v>1</v>
      </c>
      <c r="B7" s="3" t="s">
        <v>14</v>
      </c>
      <c r="C7" s="3" t="s">
        <v>5</v>
      </c>
      <c r="D7" s="3" t="s">
        <v>12</v>
      </c>
      <c r="E7" s="3" t="str">
        <f t="shared" si="0"/>
        <v>REJOc-VRC07-B</v>
      </c>
      <c r="F7" s="3" t="s">
        <v>24</v>
      </c>
      <c r="G7" s="4">
        <v>200</v>
      </c>
      <c r="H7" s="5">
        <v>1.67</v>
      </c>
    </row>
    <row r="8" spans="1:8" x14ac:dyDescent="0.2">
      <c r="A8" s="3">
        <v>2</v>
      </c>
      <c r="B8" s="3" t="s">
        <v>14</v>
      </c>
      <c r="C8" s="3" t="s">
        <v>16</v>
      </c>
      <c r="D8" s="3" t="s">
        <v>11</v>
      </c>
      <c r="E8" s="3" t="str">
        <f t="shared" si="0"/>
        <v>REJOc-N6-A</v>
      </c>
      <c r="F8" s="3" t="s">
        <v>6</v>
      </c>
      <c r="G8" s="4">
        <v>4.9500000000000002E-2</v>
      </c>
      <c r="H8" s="5">
        <v>1</v>
      </c>
    </row>
    <row r="9" spans="1:8" x14ac:dyDescent="0.2">
      <c r="A9" s="3">
        <v>2</v>
      </c>
      <c r="B9" s="3" t="s">
        <v>14</v>
      </c>
      <c r="C9" s="3" t="s">
        <v>16</v>
      </c>
      <c r="D9" s="3" t="s">
        <v>11</v>
      </c>
      <c r="E9" s="3" t="str">
        <f t="shared" si="0"/>
        <v>REJOc-N6-A</v>
      </c>
      <c r="F9" s="3" t="s">
        <v>17</v>
      </c>
      <c r="G9" s="4">
        <v>68.680000000000007</v>
      </c>
      <c r="H9" s="6">
        <v>2.46</v>
      </c>
    </row>
    <row r="10" spans="1:8" x14ac:dyDescent="0.2">
      <c r="A10" s="3">
        <v>2</v>
      </c>
      <c r="B10" s="3" t="s">
        <v>14</v>
      </c>
      <c r="C10" s="3" t="s">
        <v>16</v>
      </c>
      <c r="D10" s="3" t="s">
        <v>11</v>
      </c>
      <c r="E10" s="3" t="str">
        <f t="shared" si="0"/>
        <v>REJOc-N6-A</v>
      </c>
      <c r="F10" s="3" t="s">
        <v>26</v>
      </c>
      <c r="G10" s="4">
        <v>55.66</v>
      </c>
      <c r="H10" s="5">
        <v>2.2000000000000002</v>
      </c>
    </row>
    <row r="11" spans="1:8" x14ac:dyDescent="0.2">
      <c r="A11" s="3">
        <v>2</v>
      </c>
      <c r="B11" s="3" t="s">
        <v>14</v>
      </c>
      <c r="C11" s="3" t="s">
        <v>16</v>
      </c>
      <c r="D11" s="3" t="s">
        <v>12</v>
      </c>
      <c r="E11" s="3" t="str">
        <f t="shared" si="0"/>
        <v>REJOc-N6-B</v>
      </c>
      <c r="F11" s="3" t="s">
        <v>6</v>
      </c>
      <c r="G11" s="4">
        <v>4.9500000000000002E-2</v>
      </c>
      <c r="H11" s="5">
        <v>1</v>
      </c>
    </row>
    <row r="12" spans="1:8" x14ac:dyDescent="0.2">
      <c r="A12" s="3">
        <v>2</v>
      </c>
      <c r="B12" s="3" t="s">
        <v>14</v>
      </c>
      <c r="C12" s="3" t="s">
        <v>16</v>
      </c>
      <c r="D12" s="3" t="s">
        <v>12</v>
      </c>
      <c r="E12" s="3" t="str">
        <f t="shared" si="0"/>
        <v>REJOc-N6-B</v>
      </c>
      <c r="F12" s="3" t="s">
        <v>17</v>
      </c>
      <c r="G12" s="4">
        <v>68.680000000000007</v>
      </c>
      <c r="H12" s="6">
        <v>2.46</v>
      </c>
    </row>
    <row r="13" spans="1:8" x14ac:dyDescent="0.2">
      <c r="A13" s="3">
        <v>2</v>
      </c>
      <c r="B13" s="3" t="s">
        <v>14</v>
      </c>
      <c r="C13" s="3" t="s">
        <v>16</v>
      </c>
      <c r="D13" s="3" t="s">
        <v>12</v>
      </c>
      <c r="E13" s="3" t="str">
        <f t="shared" si="0"/>
        <v>REJOc-N6-B</v>
      </c>
      <c r="F13" s="3" t="s">
        <v>27</v>
      </c>
      <c r="G13" s="4">
        <v>200</v>
      </c>
      <c r="H13" s="5">
        <v>1.92</v>
      </c>
    </row>
    <row r="14" spans="1:8" x14ac:dyDescent="0.2">
      <c r="A14" s="3">
        <v>3</v>
      </c>
      <c r="B14" s="3" t="s">
        <v>14</v>
      </c>
      <c r="C14" s="3" t="s">
        <v>25</v>
      </c>
      <c r="D14" s="3" t="s">
        <v>11</v>
      </c>
      <c r="E14" s="3" t="str">
        <f t="shared" si="0"/>
        <v>REJOc-PGDM1400-A</v>
      </c>
      <c r="F14" s="3" t="s">
        <v>6</v>
      </c>
      <c r="G14" s="4">
        <v>0.3679</v>
      </c>
      <c r="H14" s="5">
        <v>1</v>
      </c>
    </row>
    <row r="15" spans="1:8" ht="17" x14ac:dyDescent="0.2">
      <c r="A15" s="3">
        <v>3</v>
      </c>
      <c r="B15" s="3" t="s">
        <v>14</v>
      </c>
      <c r="C15" s="3" t="s">
        <v>25</v>
      </c>
      <c r="D15" s="3" t="s">
        <v>11</v>
      </c>
      <c r="E15" s="3" t="str">
        <f t="shared" si="0"/>
        <v>REJOc-PGDM1400-A</v>
      </c>
      <c r="F15" s="7" t="s">
        <v>29</v>
      </c>
      <c r="G15" s="4">
        <v>55.78</v>
      </c>
      <c r="H15" s="5">
        <v>0.72</v>
      </c>
    </row>
    <row r="16" spans="1:8" x14ac:dyDescent="0.2">
      <c r="A16" s="3">
        <v>3</v>
      </c>
      <c r="B16" s="3" t="s">
        <v>14</v>
      </c>
      <c r="C16" s="3" t="s">
        <v>25</v>
      </c>
      <c r="D16" s="3" t="s">
        <v>12</v>
      </c>
      <c r="E16" s="3" t="str">
        <f t="shared" si="0"/>
        <v>REJOc-PGDM1400-B</v>
      </c>
      <c r="F16" s="3" t="s">
        <v>6</v>
      </c>
      <c r="G16" s="4">
        <v>0.36969999999999997</v>
      </c>
      <c r="H16" s="5">
        <v>1</v>
      </c>
    </row>
    <row r="17" spans="1:8" ht="17" x14ac:dyDescent="0.2">
      <c r="A17" s="3">
        <v>3</v>
      </c>
      <c r="B17" s="3" t="s">
        <v>14</v>
      </c>
      <c r="C17" s="3" t="s">
        <v>25</v>
      </c>
      <c r="D17" s="3" t="s">
        <v>12</v>
      </c>
      <c r="E17" s="3" t="str">
        <f t="shared" si="0"/>
        <v>REJOc-PGDM1400-B</v>
      </c>
      <c r="F17" s="7" t="s">
        <v>30</v>
      </c>
      <c r="G17" s="4">
        <v>81.41</v>
      </c>
      <c r="H17" s="5">
        <v>0.82</v>
      </c>
    </row>
    <row r="18" spans="1:8" x14ac:dyDescent="0.2">
      <c r="A18" s="3">
        <v>4</v>
      </c>
      <c r="B18" s="3" t="s">
        <v>15</v>
      </c>
      <c r="C18" s="3" t="s">
        <v>5</v>
      </c>
      <c r="D18" s="3" t="s">
        <v>11</v>
      </c>
      <c r="E18" s="3" t="str">
        <f t="shared" si="0"/>
        <v>JRCSF-VRC07-A</v>
      </c>
      <c r="F18" s="3" t="s">
        <v>6</v>
      </c>
      <c r="G18" s="4">
        <v>8.3599999999999994E-2</v>
      </c>
      <c r="H18" s="5">
        <v>1</v>
      </c>
    </row>
    <row r="19" spans="1:8" x14ac:dyDescent="0.2">
      <c r="A19" s="3">
        <v>4</v>
      </c>
      <c r="B19" s="3" t="s">
        <v>15</v>
      </c>
      <c r="C19" s="3" t="s">
        <v>5</v>
      </c>
      <c r="D19" s="3" t="s">
        <v>11</v>
      </c>
      <c r="E19" s="3" t="str">
        <f t="shared" si="0"/>
        <v>JRCSF-VRC07-A</v>
      </c>
      <c r="F19" s="3" t="s">
        <v>7</v>
      </c>
      <c r="G19" s="4">
        <v>200</v>
      </c>
      <c r="H19" s="6">
        <v>2.3199999999999998</v>
      </c>
    </row>
    <row r="20" spans="1:8" x14ac:dyDescent="0.2">
      <c r="A20" s="3">
        <v>4</v>
      </c>
      <c r="B20" s="3" t="s">
        <v>15</v>
      </c>
      <c r="C20" s="3" t="s">
        <v>5</v>
      </c>
      <c r="D20" s="3" t="s">
        <v>12</v>
      </c>
      <c r="E20" s="3" t="str">
        <f t="shared" si="0"/>
        <v>JRCSF-VRC07-B</v>
      </c>
      <c r="F20" s="3" t="s">
        <v>6</v>
      </c>
      <c r="G20" s="4">
        <v>8.3599999999999994E-2</v>
      </c>
      <c r="H20" s="5">
        <v>1</v>
      </c>
    </row>
    <row r="21" spans="1:8" x14ac:dyDescent="0.2">
      <c r="A21" s="3">
        <v>4</v>
      </c>
      <c r="B21" s="3" t="s">
        <v>15</v>
      </c>
      <c r="C21" s="3" t="s">
        <v>5</v>
      </c>
      <c r="D21" s="3" t="s">
        <v>12</v>
      </c>
      <c r="E21" s="3" t="str">
        <f t="shared" si="0"/>
        <v>JRCSF-VRC07-B</v>
      </c>
      <c r="F21" s="3" t="s">
        <v>21</v>
      </c>
      <c r="G21" s="4">
        <v>200</v>
      </c>
      <c r="H21" s="6">
        <v>1.59</v>
      </c>
    </row>
    <row r="22" spans="1:8" x14ac:dyDescent="0.2">
      <c r="A22" s="3">
        <v>5</v>
      </c>
      <c r="B22" s="3" t="s">
        <v>18</v>
      </c>
      <c r="C22" s="3" t="s">
        <v>5</v>
      </c>
      <c r="D22" s="3" t="s">
        <v>11</v>
      </c>
      <c r="E22" s="3" t="str">
        <f t="shared" si="0"/>
        <v>RV-VRC07-A</v>
      </c>
      <c r="F22" s="3" t="s">
        <v>6</v>
      </c>
      <c r="G22" s="4">
        <v>2.3699999999999999E-2</v>
      </c>
      <c r="H22" s="5">
        <v>1.17</v>
      </c>
    </row>
    <row r="23" spans="1:8" x14ac:dyDescent="0.2">
      <c r="A23" s="3">
        <v>5</v>
      </c>
      <c r="B23" s="3" t="s">
        <v>18</v>
      </c>
      <c r="C23" s="3" t="s">
        <v>5</v>
      </c>
      <c r="D23" s="3" t="s">
        <v>11</v>
      </c>
      <c r="E23" s="3" t="str">
        <f t="shared" si="0"/>
        <v>RV-VRC07-A</v>
      </c>
      <c r="F23" s="3" t="s">
        <v>7</v>
      </c>
      <c r="G23" s="4">
        <v>200</v>
      </c>
      <c r="H23" s="5">
        <v>2.89</v>
      </c>
    </row>
    <row r="24" spans="1:8" x14ac:dyDescent="0.2">
      <c r="A24" s="3">
        <v>5</v>
      </c>
      <c r="B24" s="3" t="s">
        <v>18</v>
      </c>
      <c r="C24" s="3" t="s">
        <v>5</v>
      </c>
      <c r="D24" s="3" t="s">
        <v>12</v>
      </c>
      <c r="E24" s="3" t="str">
        <f t="shared" si="0"/>
        <v>RV-VRC07-B</v>
      </c>
      <c r="F24" s="3" t="s">
        <v>6</v>
      </c>
      <c r="G24" s="4">
        <v>2.3699999999999999E-2</v>
      </c>
      <c r="H24" s="5">
        <v>1.17</v>
      </c>
    </row>
    <row r="25" spans="1:8" x14ac:dyDescent="0.2">
      <c r="A25" s="3">
        <v>5</v>
      </c>
      <c r="B25" s="3" t="s">
        <v>18</v>
      </c>
      <c r="C25" s="3" t="s">
        <v>5</v>
      </c>
      <c r="D25" s="3" t="s">
        <v>12</v>
      </c>
      <c r="E25" s="3" t="str">
        <f t="shared" si="0"/>
        <v>RV-VRC07-B</v>
      </c>
      <c r="F25" s="3" t="s">
        <v>20</v>
      </c>
      <c r="G25" s="4">
        <v>200</v>
      </c>
      <c r="H25" s="8">
        <v>2.4300000000000002</v>
      </c>
    </row>
    <row r="26" spans="1:8" x14ac:dyDescent="0.2">
      <c r="A26" s="3">
        <v>5</v>
      </c>
      <c r="B26" s="3" t="s">
        <v>18</v>
      </c>
      <c r="C26" s="3" t="s">
        <v>5</v>
      </c>
      <c r="D26" s="3" t="s">
        <v>19</v>
      </c>
      <c r="E26" s="3" t="str">
        <f t="shared" si="0"/>
        <v>RV-VRC07-C</v>
      </c>
      <c r="F26" s="3" t="s">
        <v>6</v>
      </c>
      <c r="G26" s="4">
        <v>2.3699999999999999E-2</v>
      </c>
      <c r="H26" s="5">
        <v>1.17</v>
      </c>
    </row>
    <row r="27" spans="1:8" x14ac:dyDescent="0.2">
      <c r="A27" s="3">
        <v>5</v>
      </c>
      <c r="B27" s="3" t="s">
        <v>18</v>
      </c>
      <c r="C27" s="3" t="s">
        <v>5</v>
      </c>
      <c r="D27" s="3" t="s">
        <v>19</v>
      </c>
      <c r="E27" s="3" t="str">
        <f t="shared" si="0"/>
        <v>RV-VRC07-C</v>
      </c>
      <c r="F27" s="3" t="s">
        <v>21</v>
      </c>
      <c r="G27" s="4">
        <v>200</v>
      </c>
      <c r="H27" s="8">
        <v>2.2999999999999998</v>
      </c>
    </row>
    <row r="28" spans="1:8" x14ac:dyDescent="0.2">
      <c r="A28" s="3">
        <v>6</v>
      </c>
      <c r="B28" s="3" t="s">
        <v>22</v>
      </c>
      <c r="C28" s="3" t="s">
        <v>5</v>
      </c>
      <c r="D28" s="3" t="s">
        <v>11</v>
      </c>
      <c r="E28" s="3" t="str">
        <f t="shared" si="0"/>
        <v>REJOc+M184I/V-VRC07-A</v>
      </c>
      <c r="F28" s="3" t="s">
        <v>6</v>
      </c>
      <c r="G28" s="4">
        <v>3.4299999999999997E-2</v>
      </c>
      <c r="H28" s="5">
        <v>1.1200000000000001</v>
      </c>
    </row>
    <row r="29" spans="1:8" x14ac:dyDescent="0.2">
      <c r="A29" s="3">
        <v>6</v>
      </c>
      <c r="B29" s="3" t="s">
        <v>22</v>
      </c>
      <c r="C29" s="3" t="s">
        <v>5</v>
      </c>
      <c r="D29" s="3" t="s">
        <v>11</v>
      </c>
      <c r="E29" s="3" t="str">
        <f t="shared" si="0"/>
        <v>REJOc+M184I/V-VRC07-A</v>
      </c>
      <c r="F29" s="9" t="s">
        <v>7</v>
      </c>
      <c r="G29" s="4">
        <v>1.4650000000000001</v>
      </c>
      <c r="H29" s="5">
        <v>2.6</v>
      </c>
    </row>
    <row r="30" spans="1:8" x14ac:dyDescent="0.2">
      <c r="A30" s="3">
        <v>6</v>
      </c>
      <c r="B30" s="3" t="s">
        <v>22</v>
      </c>
      <c r="C30" s="3" t="s">
        <v>5</v>
      </c>
      <c r="D30" s="3" t="s">
        <v>11</v>
      </c>
      <c r="E30" s="3" t="str">
        <f t="shared" si="0"/>
        <v>REJOc+M184I/V-VRC07-A</v>
      </c>
      <c r="F30" s="3" t="s">
        <v>10</v>
      </c>
      <c r="G30" s="4">
        <v>200</v>
      </c>
      <c r="H30" s="5">
        <v>3.28</v>
      </c>
    </row>
    <row r="31" spans="1:8" ht="16" customHeight="1" x14ac:dyDescent="0.2">
      <c r="A31" s="3">
        <v>6</v>
      </c>
      <c r="B31" s="3" t="s">
        <v>22</v>
      </c>
      <c r="C31" s="3" t="s">
        <v>5</v>
      </c>
      <c r="D31" s="3" t="s">
        <v>12</v>
      </c>
      <c r="E31" s="3" t="str">
        <f t="shared" si="0"/>
        <v>REJOc+M184I/V-VRC07-B</v>
      </c>
      <c r="F31" s="3" t="s">
        <v>6</v>
      </c>
      <c r="G31" s="4">
        <v>3.4299999999999997E-2</v>
      </c>
      <c r="H31" s="5">
        <v>1.1200000000000001</v>
      </c>
    </row>
    <row r="32" spans="1:8" x14ac:dyDescent="0.2">
      <c r="A32" s="3">
        <v>6</v>
      </c>
      <c r="B32" s="3" t="s">
        <v>22</v>
      </c>
      <c r="C32" s="3" t="s">
        <v>5</v>
      </c>
      <c r="D32" s="3" t="s">
        <v>12</v>
      </c>
      <c r="E32" s="3" t="str">
        <f t="shared" si="0"/>
        <v>REJOc+M184I/V-VRC07-B</v>
      </c>
      <c r="F32" s="9" t="s">
        <v>7</v>
      </c>
      <c r="G32" s="4">
        <v>1.4650000000000001</v>
      </c>
      <c r="H32" s="5">
        <v>2.6</v>
      </c>
    </row>
    <row r="33" spans="1:8" x14ac:dyDescent="0.2">
      <c r="A33" s="3">
        <v>6</v>
      </c>
      <c r="B33" s="3" t="s">
        <v>22</v>
      </c>
      <c r="C33" s="3" t="s">
        <v>5</v>
      </c>
      <c r="D33" s="3" t="s">
        <v>12</v>
      </c>
      <c r="E33" s="3" t="str">
        <f t="shared" si="0"/>
        <v>REJOc+M184I/V-VRC07-B</v>
      </c>
      <c r="F33" s="3" t="s">
        <v>8</v>
      </c>
      <c r="G33" s="4">
        <v>200</v>
      </c>
      <c r="H33" s="5">
        <v>6.29</v>
      </c>
    </row>
    <row r="34" spans="1:8" x14ac:dyDescent="0.2">
      <c r="A34" s="3">
        <v>7</v>
      </c>
      <c r="B34" s="3" t="s">
        <v>15</v>
      </c>
      <c r="C34" s="3" t="s">
        <v>16</v>
      </c>
      <c r="D34" s="3" t="s">
        <v>11</v>
      </c>
      <c r="E34" s="3" t="str">
        <f t="shared" ref="E34:E39" si="1">_xlfn.CONCAT(B34,"-",C34,"-",D34)</f>
        <v>JRCSF-N6-A</v>
      </c>
      <c r="F34" s="3" t="s">
        <v>6</v>
      </c>
      <c r="G34" s="10">
        <v>0.27150000000000002</v>
      </c>
      <c r="H34" s="10">
        <v>1</v>
      </c>
    </row>
    <row r="35" spans="1:8" x14ac:dyDescent="0.2">
      <c r="A35" s="3">
        <v>7</v>
      </c>
      <c r="B35" s="3" t="s">
        <v>15</v>
      </c>
      <c r="C35" s="3" t="s">
        <v>16</v>
      </c>
      <c r="D35" s="3" t="s">
        <v>11</v>
      </c>
      <c r="E35" s="3" t="str">
        <f t="shared" si="1"/>
        <v>JRCSF-N6-A</v>
      </c>
      <c r="F35" s="3" t="s">
        <v>17</v>
      </c>
      <c r="G35" s="4">
        <v>6.5359999999999996</v>
      </c>
      <c r="H35" s="5">
        <v>3.4</v>
      </c>
    </row>
    <row r="36" spans="1:8" x14ac:dyDescent="0.2">
      <c r="A36" s="3">
        <v>8</v>
      </c>
      <c r="B36" s="3" t="s">
        <v>15</v>
      </c>
      <c r="C36" s="3" t="s">
        <v>25</v>
      </c>
      <c r="D36" s="3" t="s">
        <v>11</v>
      </c>
      <c r="E36" s="3" t="str">
        <f t="shared" si="1"/>
        <v>JRCSF-PGDM1400-A</v>
      </c>
      <c r="F36" s="3" t="s">
        <v>6</v>
      </c>
      <c r="G36" s="6">
        <v>9.7299999999999998E-2</v>
      </c>
      <c r="H36" s="10">
        <v>1</v>
      </c>
    </row>
    <row r="37" spans="1:8" x14ac:dyDescent="0.2">
      <c r="A37" s="3">
        <v>8</v>
      </c>
      <c r="B37" s="3" t="s">
        <v>15</v>
      </c>
      <c r="C37" s="3" t="s">
        <v>25</v>
      </c>
      <c r="D37" s="3" t="s">
        <v>11</v>
      </c>
      <c r="E37" s="3" t="str">
        <f t="shared" si="1"/>
        <v>JRCSF-PGDM1400-A</v>
      </c>
      <c r="F37" s="3" t="s">
        <v>31</v>
      </c>
      <c r="G37" s="5">
        <v>103.29</v>
      </c>
      <c r="H37" s="5">
        <v>1.06</v>
      </c>
    </row>
    <row r="38" spans="1:8" x14ac:dyDescent="0.2">
      <c r="A38" s="3">
        <v>9</v>
      </c>
      <c r="B38" s="3" t="s">
        <v>15</v>
      </c>
      <c r="C38" s="3" t="s">
        <v>25</v>
      </c>
      <c r="D38" s="3" t="s">
        <v>12</v>
      </c>
      <c r="E38" s="3" t="str">
        <f t="shared" si="1"/>
        <v>JRCSF-PGDM1400-B</v>
      </c>
      <c r="F38" s="3" t="s">
        <v>6</v>
      </c>
      <c r="G38" s="6">
        <v>9.7299999999999998E-2</v>
      </c>
      <c r="H38" s="10">
        <v>1</v>
      </c>
    </row>
    <row r="39" spans="1:8" x14ac:dyDescent="0.2">
      <c r="A39" s="3">
        <v>9</v>
      </c>
      <c r="B39" s="3" t="s">
        <v>15</v>
      </c>
      <c r="C39" s="3" t="s">
        <v>25</v>
      </c>
      <c r="D39" s="3" t="s">
        <v>12</v>
      </c>
      <c r="E39" s="3" t="str">
        <f t="shared" si="1"/>
        <v>JRCSF-PGDM1400-B</v>
      </c>
      <c r="F39" s="3" t="s">
        <v>32</v>
      </c>
      <c r="G39" s="5">
        <v>200</v>
      </c>
      <c r="H39" s="5">
        <v>1</v>
      </c>
    </row>
  </sheetData>
  <autoFilter ref="A1:H1" xr:uid="{747A8BA9-5EB5-7442-9D54-7FF11E9055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2024-12-17T19:51:36Z</dcterms:created>
  <dcterms:modified xsi:type="dcterms:W3CDTF">2025-06-10T17:37:00Z</dcterms:modified>
</cp:coreProperties>
</file>