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itido/Documents/GitHub/Escapability/Escape Barrier Data and Analysis/escape barrier score/data/"/>
    </mc:Choice>
  </mc:AlternateContent>
  <xr:revisionPtr revIDLastSave="0" documentId="13_ncr:1_{9EE2C454-0DC8-1B49-9742-48CF416CA448}" xr6:coauthVersionLast="47" xr6:coauthVersionMax="47" xr10:uidLastSave="{00000000-0000-0000-0000-000000000000}"/>
  <bookViews>
    <workbookView xWindow="21000" yWindow="500" windowWidth="36840" windowHeight="23600" xr2:uid="{475633B7-6B96-0B42-840E-0F2F194B55BD}"/>
  </bookViews>
  <sheets>
    <sheet name="Sheet1" sheetId="1" r:id="rId1"/>
    <sheet name="IC50 Data" sheetId="3" r:id="rId2"/>
    <sheet name="PGDM1400" sheetId="5" r:id="rId3"/>
    <sheet name="Fitness Data" sheetId="4" r:id="rId4"/>
    <sheet name="Sheet2" sheetId="2" r:id="rId5"/>
  </sheets>
  <definedNames>
    <definedName name="_xlnm._FilterDatabase" localSheetId="0" hidden="1">Sheet1!$A$1:$H$1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" l="1"/>
  <c r="G2" i="5"/>
  <c r="E39" i="1"/>
  <c r="E38" i="1"/>
  <c r="E37" i="1"/>
  <c r="E36" i="1"/>
  <c r="E35" i="1" l="1"/>
  <c r="E34" i="1"/>
  <c r="E13" i="1" l="1"/>
  <c r="E12" i="1"/>
  <c r="E11" i="1"/>
  <c r="E10" i="1"/>
  <c r="E9" i="1"/>
  <c r="E17" i="1" l="1"/>
  <c r="E16" i="1"/>
  <c r="E15" i="1"/>
  <c r="E14" i="1"/>
  <c r="E21" i="1" l="1"/>
  <c r="E20" i="1"/>
  <c r="E28" i="1" l="1"/>
  <c r="E29" i="1"/>
  <c r="E30" i="1"/>
  <c r="E31" i="1"/>
  <c r="E32" i="1"/>
  <c r="E33" i="1"/>
  <c r="E27" i="1"/>
  <c r="E26" i="1"/>
  <c r="E25" i="1"/>
  <c r="E24" i="1"/>
  <c r="E23" i="1"/>
  <c r="E22" i="1"/>
  <c r="E8" i="1" l="1"/>
  <c r="E3" i="1" l="1"/>
  <c r="E4" i="1"/>
  <c r="E5" i="1"/>
  <c r="E6" i="1"/>
  <c r="E7" i="1"/>
  <c r="E18" i="1"/>
  <c r="E19" i="1"/>
  <c r="E2" i="1"/>
</calcChain>
</file>

<file path=xl/sharedStrings.xml><?xml version="1.0" encoding="utf-8"?>
<sst xmlns="http://schemas.openxmlformats.org/spreadsheetml/2006/main" count="230" uniqueCount="93">
  <si>
    <t xml:space="preserve">Virus </t>
  </si>
  <si>
    <t xml:space="preserve">Antibody </t>
  </si>
  <si>
    <t>Pathway</t>
  </si>
  <si>
    <t>Mutation</t>
  </si>
  <si>
    <t>IC50</t>
  </si>
  <si>
    <t>VRC07</t>
  </si>
  <si>
    <t>WT</t>
  </si>
  <si>
    <t>D279A</t>
  </si>
  <si>
    <t>D279A + N460D</t>
  </si>
  <si>
    <t>GrowthRate</t>
  </si>
  <si>
    <t>N276D + D279A</t>
  </si>
  <si>
    <t>A</t>
  </si>
  <si>
    <t>B</t>
  </si>
  <si>
    <t>PathID</t>
  </si>
  <si>
    <t>REJOc</t>
  </si>
  <si>
    <t>JRCSF</t>
  </si>
  <si>
    <t>N6</t>
  </si>
  <si>
    <t>A281D</t>
  </si>
  <si>
    <t>RV</t>
  </si>
  <si>
    <t>C</t>
  </si>
  <si>
    <t>D279K</t>
  </si>
  <si>
    <t>D279H</t>
  </si>
  <si>
    <t>REJOc+M184I/V</t>
  </si>
  <si>
    <t>Virus</t>
  </si>
  <si>
    <t>E276K</t>
  </si>
  <si>
    <t>N277D</t>
  </si>
  <si>
    <t>S462N</t>
  </si>
  <si>
    <t>D280A</t>
  </si>
  <si>
    <t>P464T</t>
  </si>
  <si>
    <t>E276K N458D</t>
  </si>
  <si>
    <t>E276K S462N</t>
  </si>
  <si>
    <t>E276K P464S</t>
  </si>
  <si>
    <t>N277D D280A</t>
  </si>
  <si>
    <t>N277D N458D</t>
  </si>
  <si>
    <t>N277D S462N</t>
  </si>
  <si>
    <t>N277D P464S</t>
  </si>
  <si>
    <t>D280A N458D</t>
  </si>
  <si>
    <t>D280A S462N</t>
  </si>
  <si>
    <t>D280A P464S</t>
  </si>
  <si>
    <t>S462N P464S</t>
  </si>
  <si>
    <t>E276K S462N P464T</t>
  </si>
  <si>
    <t>N277D D280A N458D</t>
  </si>
  <si>
    <t>N277D D280A P464T</t>
  </si>
  <si>
    <t>N277D D280A S462N</t>
  </si>
  <si>
    <t>N277D D280A S462N P464T</t>
  </si>
  <si>
    <t>N277D S462N P464T</t>
  </si>
  <si>
    <t>D280A S462N P464S</t>
  </si>
  <si>
    <t>P464L D476H</t>
  </si>
  <si>
    <t>A282D</t>
  </si>
  <si>
    <t>A282K</t>
  </si>
  <si>
    <t>T279K</t>
  </si>
  <si>
    <t>T279K A282D</t>
  </si>
  <si>
    <t>T48N</t>
  </si>
  <si>
    <t>T48N D473N</t>
  </si>
  <si>
    <t>013 - R354K</t>
  </si>
  <si>
    <t>T371K</t>
  </si>
  <si>
    <t>016 - A387T</t>
  </si>
  <si>
    <t>022 - G470E</t>
  </si>
  <si>
    <t>024 - D476H</t>
  </si>
  <si>
    <t>T371K G470E</t>
  </si>
  <si>
    <t>041 - R354K G470E</t>
  </si>
  <si>
    <t>043 - A387T N458D</t>
  </si>
  <si>
    <t>A387T D476H</t>
  </si>
  <si>
    <t>044 - N458D D476H</t>
  </si>
  <si>
    <t>A387T N458D D476H</t>
  </si>
  <si>
    <t>V370I</t>
  </si>
  <si>
    <t>P312S</t>
  </si>
  <si>
    <t>M372T</t>
  </si>
  <si>
    <t>N458D</t>
  </si>
  <si>
    <t>D279A N460D</t>
  </si>
  <si>
    <t>N276D D279A</t>
  </si>
  <si>
    <t>PGDM1400</t>
  </si>
  <si>
    <t>N276D + A281D</t>
  </si>
  <si>
    <t>T278K + A281D</t>
  </si>
  <si>
    <t>ID</t>
  </si>
  <si>
    <t>N160K</t>
  </si>
  <si>
    <t>D167G</t>
  </si>
  <si>
    <t>T162X</t>
  </si>
  <si>
    <t>N160X</t>
  </si>
  <si>
    <t>Env N160K</t>
  </si>
  <si>
    <t>&gt;200</t>
  </si>
  <si>
    <t>ND</t>
  </si>
  <si>
    <t>Env N160Y</t>
  </si>
  <si>
    <t>Env N160S</t>
  </si>
  <si>
    <t>Env T162P</t>
  </si>
  <si>
    <t>Env T162N</t>
  </si>
  <si>
    <t>Mutations</t>
  </si>
  <si>
    <t>Antibody</t>
  </si>
  <si>
    <r>
      <t>IC</t>
    </r>
    <r>
      <rPr>
        <b/>
        <vertAlign val="subscript"/>
        <sz val="12"/>
        <color rgb="FF000000"/>
        <rFont val="Aptos"/>
      </rPr>
      <t>50</t>
    </r>
    <r>
      <rPr>
        <b/>
        <sz val="12"/>
        <color rgb="FF000000"/>
        <rFont val="Aptos"/>
      </rPr>
      <t xml:space="preserve"> (µg/mL)</t>
    </r>
  </si>
  <si>
    <t>Dose-Response Curve Slope</t>
  </si>
  <si>
    <t>Relative fitness</t>
  </si>
  <si>
    <t>Mean IC50</t>
  </si>
  <si>
    <t>Mean Fitness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</si>
</sst>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vertAlign val="subscript"/>
      <sz val="12"/>
      <color rgb="FF000000"/>
      <name val="Aptos"/>
    </font>
    <font>
      <b/>
      <sz val="12"/>
      <color rgb="FF000000"/>
      <name val="Aptos"/>
    </font>
    <font>
      <b/>
      <sz val="12"/>
      <color theme="1"/>
      <name val="Source Code Pro"/>
    </font>
    <font>
      <b/>
      <sz val="12"/>
      <color rgb="FF000000"/>
      <name val="Source Code Pro"/>
    </font>
    <font>
      <sz val="12"/>
      <color theme="1"/>
      <name val="Source Code Pro"/>
    </font>
    <font>
      <sz val="12"/>
      <color rgb="FF000000"/>
      <name val="Source Code Pro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center" wrapText="1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A8BA9-5EB5-7442-9D54-7FF11E90551F}">
  <dimension ref="A1:H39"/>
  <sheetViews>
    <sheetView tabSelected="1" zoomScale="185" zoomScaleNormal="185" workbookViewId="0">
      <selection activeCell="H10" sqref="H10"/>
    </sheetView>
  </sheetViews>
  <sheetFormatPr baseColWidth="10" defaultRowHeight="16" x14ac:dyDescent="0.2"/>
  <cols>
    <col min="2" max="2" width="15" customWidth="1"/>
    <col min="5" max="5" width="22.5" bestFit="1" customWidth="1"/>
    <col min="6" max="6" width="16.83203125" customWidth="1"/>
    <col min="7" max="7" width="11.5" customWidth="1"/>
  </cols>
  <sheetData>
    <row r="1" spans="1:8" x14ac:dyDescent="0.2">
      <c r="A1" s="8" t="s">
        <v>74</v>
      </c>
      <c r="B1" s="8" t="s">
        <v>0</v>
      </c>
      <c r="C1" s="8" t="s">
        <v>1</v>
      </c>
      <c r="D1" s="8" t="s">
        <v>2</v>
      </c>
      <c r="E1" s="8" t="s">
        <v>13</v>
      </c>
      <c r="F1" s="8" t="s">
        <v>3</v>
      </c>
      <c r="G1" s="8" t="s">
        <v>4</v>
      </c>
      <c r="H1" s="9" t="s">
        <v>9</v>
      </c>
    </row>
    <row r="2" spans="1:8" x14ac:dyDescent="0.2">
      <c r="A2" s="10">
        <v>1</v>
      </c>
      <c r="B2" s="10" t="s">
        <v>14</v>
      </c>
      <c r="C2" s="10" t="s">
        <v>5</v>
      </c>
      <c r="D2" s="10" t="s">
        <v>11</v>
      </c>
      <c r="E2" s="10" t="str">
        <f t="shared" ref="E2:E33" si="0">_xlfn.CONCAT(B2,"-",C2,"-",D2)</f>
        <v>REJOc-VRC07-A</v>
      </c>
      <c r="F2" s="10" t="s">
        <v>6</v>
      </c>
      <c r="G2" s="11">
        <v>2.75E-2</v>
      </c>
      <c r="H2" s="12">
        <v>1</v>
      </c>
    </row>
    <row r="3" spans="1:8" x14ac:dyDescent="0.2">
      <c r="A3" s="10">
        <v>1</v>
      </c>
      <c r="B3" s="10" t="s">
        <v>14</v>
      </c>
      <c r="C3" s="10" t="s">
        <v>5</v>
      </c>
      <c r="D3" s="10" t="s">
        <v>11</v>
      </c>
      <c r="E3" s="10" t="str">
        <f t="shared" si="0"/>
        <v>REJOc-VRC07-A</v>
      </c>
      <c r="F3" s="10" t="s">
        <v>7</v>
      </c>
      <c r="G3" s="11">
        <v>1.4139999999999999</v>
      </c>
      <c r="H3" s="12">
        <v>2.36</v>
      </c>
    </row>
    <row r="4" spans="1:8" x14ac:dyDescent="0.2">
      <c r="A4" s="10">
        <v>1</v>
      </c>
      <c r="B4" s="10" t="s">
        <v>14</v>
      </c>
      <c r="C4" s="10" t="s">
        <v>5</v>
      </c>
      <c r="D4" s="10" t="s">
        <v>11</v>
      </c>
      <c r="E4" s="10" t="str">
        <f t="shared" si="0"/>
        <v>REJOc-VRC07-A</v>
      </c>
      <c r="F4" s="10" t="s">
        <v>69</v>
      </c>
      <c r="G4" s="11">
        <v>200</v>
      </c>
      <c r="H4" s="12">
        <v>3.14</v>
      </c>
    </row>
    <row r="5" spans="1:8" x14ac:dyDescent="0.2">
      <c r="A5" s="10">
        <v>1</v>
      </c>
      <c r="B5" s="10" t="s">
        <v>14</v>
      </c>
      <c r="C5" s="10" t="s">
        <v>5</v>
      </c>
      <c r="D5" s="10" t="s">
        <v>12</v>
      </c>
      <c r="E5" s="10" t="str">
        <f t="shared" si="0"/>
        <v>REJOc-VRC07-B</v>
      </c>
      <c r="F5" s="10" t="s">
        <v>6</v>
      </c>
      <c r="G5" s="11">
        <v>2.75E-2</v>
      </c>
      <c r="H5" s="12">
        <v>1</v>
      </c>
    </row>
    <row r="6" spans="1:8" x14ac:dyDescent="0.2">
      <c r="A6" s="10">
        <v>1</v>
      </c>
      <c r="B6" s="10" t="s">
        <v>14</v>
      </c>
      <c r="C6" s="10" t="s">
        <v>5</v>
      </c>
      <c r="D6" s="10" t="s">
        <v>12</v>
      </c>
      <c r="E6" s="10" t="str">
        <f t="shared" si="0"/>
        <v>REJOc-VRC07-B</v>
      </c>
      <c r="F6" s="10" t="s">
        <v>7</v>
      </c>
      <c r="G6" s="11">
        <v>1.4139999999999999</v>
      </c>
      <c r="H6" s="12">
        <v>2.36</v>
      </c>
    </row>
    <row r="7" spans="1:8" x14ac:dyDescent="0.2">
      <c r="A7" s="10">
        <v>1</v>
      </c>
      <c r="B7" s="10" t="s">
        <v>14</v>
      </c>
      <c r="C7" s="10" t="s">
        <v>5</v>
      </c>
      <c r="D7" s="10" t="s">
        <v>12</v>
      </c>
      <c r="E7" s="10" t="str">
        <f t="shared" si="0"/>
        <v>REJOc-VRC07-B</v>
      </c>
      <c r="F7" s="10" t="s">
        <v>70</v>
      </c>
      <c r="G7" s="11">
        <v>200</v>
      </c>
      <c r="H7" s="12">
        <v>1.67</v>
      </c>
    </row>
    <row r="8" spans="1:8" x14ac:dyDescent="0.2">
      <c r="A8" s="10">
        <v>2</v>
      </c>
      <c r="B8" s="10" t="s">
        <v>14</v>
      </c>
      <c r="C8" s="10" t="s">
        <v>16</v>
      </c>
      <c r="D8" s="10" t="s">
        <v>11</v>
      </c>
      <c r="E8" s="10" t="str">
        <f t="shared" si="0"/>
        <v>REJOc-N6-A</v>
      </c>
      <c r="F8" s="10" t="s">
        <v>6</v>
      </c>
      <c r="G8" s="11">
        <v>4.9500000000000002E-2</v>
      </c>
      <c r="H8" s="12">
        <v>1</v>
      </c>
    </row>
    <row r="9" spans="1:8" x14ac:dyDescent="0.2">
      <c r="A9" s="10">
        <v>2</v>
      </c>
      <c r="B9" s="10" t="s">
        <v>14</v>
      </c>
      <c r="C9" s="10" t="s">
        <v>16</v>
      </c>
      <c r="D9" s="10" t="s">
        <v>11</v>
      </c>
      <c r="E9" s="10" t="str">
        <f t="shared" si="0"/>
        <v>REJOc-N6-A</v>
      </c>
      <c r="F9" s="10" t="s">
        <v>17</v>
      </c>
      <c r="G9" s="11">
        <v>68.680000000000007</v>
      </c>
      <c r="H9" s="13">
        <v>2.46</v>
      </c>
    </row>
    <row r="10" spans="1:8" x14ac:dyDescent="0.2">
      <c r="A10" s="10">
        <v>2</v>
      </c>
      <c r="B10" s="10" t="s">
        <v>14</v>
      </c>
      <c r="C10" s="10" t="s">
        <v>16</v>
      </c>
      <c r="D10" s="10" t="s">
        <v>11</v>
      </c>
      <c r="E10" s="10" t="str">
        <f t="shared" si="0"/>
        <v>REJOc-N6-A</v>
      </c>
      <c r="F10" s="10" t="s">
        <v>72</v>
      </c>
      <c r="G10" s="11">
        <v>55.66</v>
      </c>
      <c r="H10" s="12">
        <v>2.2000000000000002</v>
      </c>
    </row>
    <row r="11" spans="1:8" x14ac:dyDescent="0.2">
      <c r="A11" s="10">
        <v>2</v>
      </c>
      <c r="B11" s="10" t="s">
        <v>14</v>
      </c>
      <c r="C11" s="10" t="s">
        <v>16</v>
      </c>
      <c r="D11" s="10" t="s">
        <v>12</v>
      </c>
      <c r="E11" s="10" t="str">
        <f t="shared" si="0"/>
        <v>REJOc-N6-B</v>
      </c>
      <c r="F11" s="10" t="s">
        <v>6</v>
      </c>
      <c r="G11" s="11">
        <v>4.9500000000000002E-2</v>
      </c>
      <c r="H11" s="12">
        <v>1</v>
      </c>
    </row>
    <row r="12" spans="1:8" x14ac:dyDescent="0.2">
      <c r="A12" s="10">
        <v>2</v>
      </c>
      <c r="B12" s="10" t="s">
        <v>14</v>
      </c>
      <c r="C12" s="10" t="s">
        <v>16</v>
      </c>
      <c r="D12" s="10" t="s">
        <v>12</v>
      </c>
      <c r="E12" s="10" t="str">
        <f t="shared" si="0"/>
        <v>REJOc-N6-B</v>
      </c>
      <c r="F12" s="10" t="s">
        <v>17</v>
      </c>
      <c r="G12" s="11">
        <v>68.680000000000007</v>
      </c>
      <c r="H12" s="13">
        <v>2.46</v>
      </c>
    </row>
    <row r="13" spans="1:8" x14ac:dyDescent="0.2">
      <c r="A13" s="10">
        <v>2</v>
      </c>
      <c r="B13" s="10" t="s">
        <v>14</v>
      </c>
      <c r="C13" s="10" t="s">
        <v>16</v>
      </c>
      <c r="D13" s="10" t="s">
        <v>12</v>
      </c>
      <c r="E13" s="10" t="str">
        <f t="shared" si="0"/>
        <v>REJOc-N6-B</v>
      </c>
      <c r="F13" s="10" t="s">
        <v>73</v>
      </c>
      <c r="G13" s="11">
        <v>200</v>
      </c>
      <c r="H13" s="12">
        <v>1.92</v>
      </c>
    </row>
    <row r="14" spans="1:8" x14ac:dyDescent="0.2">
      <c r="A14" s="10">
        <v>3</v>
      </c>
      <c r="B14" s="10" t="s">
        <v>14</v>
      </c>
      <c r="C14" s="10" t="s">
        <v>71</v>
      </c>
      <c r="D14" s="10" t="s">
        <v>11</v>
      </c>
      <c r="E14" s="10" t="str">
        <f t="shared" si="0"/>
        <v>REJOc-PGDM1400-A</v>
      </c>
      <c r="F14" s="10" t="s">
        <v>6</v>
      </c>
      <c r="G14" s="11">
        <v>0.3679</v>
      </c>
      <c r="H14" s="12">
        <v>1</v>
      </c>
    </row>
    <row r="15" spans="1:8" ht="17" x14ac:dyDescent="0.2">
      <c r="A15" s="10">
        <v>3</v>
      </c>
      <c r="B15" s="10" t="s">
        <v>14</v>
      </c>
      <c r="C15" s="10" t="s">
        <v>71</v>
      </c>
      <c r="D15" s="10" t="s">
        <v>11</v>
      </c>
      <c r="E15" s="10" t="str">
        <f t="shared" si="0"/>
        <v>REJOc-PGDM1400-A</v>
      </c>
      <c r="F15" s="14" t="s">
        <v>75</v>
      </c>
      <c r="G15" s="11">
        <v>55.78</v>
      </c>
      <c r="H15" s="12">
        <v>0.72</v>
      </c>
    </row>
    <row r="16" spans="1:8" x14ac:dyDescent="0.2">
      <c r="A16" s="10">
        <v>3</v>
      </c>
      <c r="B16" s="10" t="s">
        <v>14</v>
      </c>
      <c r="C16" s="10" t="s">
        <v>71</v>
      </c>
      <c r="D16" s="10" t="s">
        <v>12</v>
      </c>
      <c r="E16" s="10" t="str">
        <f t="shared" si="0"/>
        <v>REJOc-PGDM1400-B</v>
      </c>
      <c r="F16" s="10" t="s">
        <v>6</v>
      </c>
      <c r="G16" s="11">
        <v>0.36969999999999997</v>
      </c>
      <c r="H16" s="12">
        <v>1</v>
      </c>
    </row>
    <row r="17" spans="1:8" ht="17" x14ac:dyDescent="0.2">
      <c r="A17" s="10">
        <v>3</v>
      </c>
      <c r="B17" s="10" t="s">
        <v>14</v>
      </c>
      <c r="C17" s="10" t="s">
        <v>71</v>
      </c>
      <c r="D17" s="10" t="s">
        <v>12</v>
      </c>
      <c r="E17" s="10" t="str">
        <f t="shared" si="0"/>
        <v>REJOc-PGDM1400-B</v>
      </c>
      <c r="F17" s="14" t="s">
        <v>76</v>
      </c>
      <c r="G17" s="11">
        <v>81.41</v>
      </c>
      <c r="H17" s="12">
        <v>0.82</v>
      </c>
    </row>
    <row r="18" spans="1:8" x14ac:dyDescent="0.2">
      <c r="A18" s="10">
        <v>4</v>
      </c>
      <c r="B18" s="10" t="s">
        <v>15</v>
      </c>
      <c r="C18" s="10" t="s">
        <v>5</v>
      </c>
      <c r="D18" s="10" t="s">
        <v>11</v>
      </c>
      <c r="E18" s="10" t="str">
        <f t="shared" si="0"/>
        <v>JRCSF-VRC07-A</v>
      </c>
      <c r="F18" s="10" t="s">
        <v>6</v>
      </c>
      <c r="G18" s="11">
        <v>8.3599999999999994E-2</v>
      </c>
      <c r="H18" s="12">
        <v>1</v>
      </c>
    </row>
    <row r="19" spans="1:8" x14ac:dyDescent="0.2">
      <c r="A19" s="10">
        <v>4</v>
      </c>
      <c r="B19" s="10" t="s">
        <v>15</v>
      </c>
      <c r="C19" s="10" t="s">
        <v>5</v>
      </c>
      <c r="D19" s="10" t="s">
        <v>11</v>
      </c>
      <c r="E19" s="10" t="str">
        <f t="shared" si="0"/>
        <v>JRCSF-VRC07-A</v>
      </c>
      <c r="F19" s="10" t="s">
        <v>7</v>
      </c>
      <c r="G19" s="11">
        <v>200</v>
      </c>
      <c r="H19" s="13">
        <v>2.3199999999999998</v>
      </c>
    </row>
    <row r="20" spans="1:8" x14ac:dyDescent="0.2">
      <c r="A20" s="10">
        <v>4</v>
      </c>
      <c r="B20" s="10" t="s">
        <v>15</v>
      </c>
      <c r="C20" s="10" t="s">
        <v>5</v>
      </c>
      <c r="D20" s="10" t="s">
        <v>12</v>
      </c>
      <c r="E20" s="10" t="str">
        <f t="shared" si="0"/>
        <v>JRCSF-VRC07-B</v>
      </c>
      <c r="F20" s="10" t="s">
        <v>6</v>
      </c>
      <c r="G20" s="11">
        <v>8.3599999999999994E-2</v>
      </c>
      <c r="H20" s="12">
        <v>1</v>
      </c>
    </row>
    <row r="21" spans="1:8" x14ac:dyDescent="0.2">
      <c r="A21" s="10">
        <v>4</v>
      </c>
      <c r="B21" s="10" t="s">
        <v>15</v>
      </c>
      <c r="C21" s="10" t="s">
        <v>5</v>
      </c>
      <c r="D21" s="10" t="s">
        <v>12</v>
      </c>
      <c r="E21" s="10" t="str">
        <f t="shared" si="0"/>
        <v>JRCSF-VRC07-B</v>
      </c>
      <c r="F21" s="10" t="s">
        <v>21</v>
      </c>
      <c r="G21" s="11">
        <v>200</v>
      </c>
      <c r="H21" s="13">
        <v>1.59</v>
      </c>
    </row>
    <row r="22" spans="1:8" x14ac:dyDescent="0.2">
      <c r="A22" s="10">
        <v>5</v>
      </c>
      <c r="B22" s="10" t="s">
        <v>18</v>
      </c>
      <c r="C22" s="10" t="s">
        <v>5</v>
      </c>
      <c r="D22" s="10" t="s">
        <v>11</v>
      </c>
      <c r="E22" s="10" t="str">
        <f t="shared" si="0"/>
        <v>RV-VRC07-A</v>
      </c>
      <c r="F22" s="10" t="s">
        <v>6</v>
      </c>
      <c r="G22" s="11">
        <v>2.3699999999999999E-2</v>
      </c>
      <c r="H22" s="12">
        <v>1.17</v>
      </c>
    </row>
    <row r="23" spans="1:8" x14ac:dyDescent="0.2">
      <c r="A23" s="10">
        <v>5</v>
      </c>
      <c r="B23" s="10" t="s">
        <v>18</v>
      </c>
      <c r="C23" s="10" t="s">
        <v>5</v>
      </c>
      <c r="D23" s="10" t="s">
        <v>11</v>
      </c>
      <c r="E23" s="10" t="str">
        <f t="shared" si="0"/>
        <v>RV-VRC07-A</v>
      </c>
      <c r="F23" s="10" t="s">
        <v>7</v>
      </c>
      <c r="G23" s="11">
        <v>200</v>
      </c>
      <c r="H23" s="12">
        <v>2.89</v>
      </c>
    </row>
    <row r="24" spans="1:8" x14ac:dyDescent="0.2">
      <c r="A24" s="10">
        <v>5</v>
      </c>
      <c r="B24" s="10" t="s">
        <v>18</v>
      </c>
      <c r="C24" s="10" t="s">
        <v>5</v>
      </c>
      <c r="D24" s="10" t="s">
        <v>12</v>
      </c>
      <c r="E24" s="10" t="str">
        <f t="shared" si="0"/>
        <v>RV-VRC07-B</v>
      </c>
      <c r="F24" s="10" t="s">
        <v>6</v>
      </c>
      <c r="G24" s="11">
        <v>2.3699999999999999E-2</v>
      </c>
      <c r="H24" s="12">
        <v>1.17</v>
      </c>
    </row>
    <row r="25" spans="1:8" x14ac:dyDescent="0.2">
      <c r="A25" s="10">
        <v>5</v>
      </c>
      <c r="B25" s="10" t="s">
        <v>18</v>
      </c>
      <c r="C25" s="10" t="s">
        <v>5</v>
      </c>
      <c r="D25" s="10" t="s">
        <v>12</v>
      </c>
      <c r="E25" s="10" t="str">
        <f t="shared" si="0"/>
        <v>RV-VRC07-B</v>
      </c>
      <c r="F25" s="10" t="s">
        <v>20</v>
      </c>
      <c r="G25" s="11">
        <v>200</v>
      </c>
      <c r="H25" s="15">
        <v>2.4300000000000002</v>
      </c>
    </row>
    <row r="26" spans="1:8" x14ac:dyDescent="0.2">
      <c r="A26" s="10">
        <v>5</v>
      </c>
      <c r="B26" s="10" t="s">
        <v>18</v>
      </c>
      <c r="C26" s="10" t="s">
        <v>5</v>
      </c>
      <c r="D26" s="10" t="s">
        <v>19</v>
      </c>
      <c r="E26" s="10" t="str">
        <f t="shared" si="0"/>
        <v>RV-VRC07-C</v>
      </c>
      <c r="F26" s="10" t="s">
        <v>6</v>
      </c>
      <c r="G26" s="11">
        <v>2.3699999999999999E-2</v>
      </c>
      <c r="H26" s="12">
        <v>1.17</v>
      </c>
    </row>
    <row r="27" spans="1:8" x14ac:dyDescent="0.2">
      <c r="A27" s="10">
        <v>5</v>
      </c>
      <c r="B27" s="10" t="s">
        <v>18</v>
      </c>
      <c r="C27" s="10" t="s">
        <v>5</v>
      </c>
      <c r="D27" s="10" t="s">
        <v>19</v>
      </c>
      <c r="E27" s="10" t="str">
        <f t="shared" si="0"/>
        <v>RV-VRC07-C</v>
      </c>
      <c r="F27" s="10" t="s">
        <v>21</v>
      </c>
      <c r="G27" s="11">
        <v>200</v>
      </c>
      <c r="H27" s="15">
        <v>2.2999999999999998</v>
      </c>
    </row>
    <row r="28" spans="1:8" x14ac:dyDescent="0.2">
      <c r="A28" s="10">
        <v>6</v>
      </c>
      <c r="B28" s="10" t="s">
        <v>22</v>
      </c>
      <c r="C28" s="10" t="s">
        <v>5</v>
      </c>
      <c r="D28" s="10" t="s">
        <v>11</v>
      </c>
      <c r="E28" s="10" t="str">
        <f t="shared" si="0"/>
        <v>REJOc+M184I/V-VRC07-A</v>
      </c>
      <c r="F28" s="10" t="s">
        <v>6</v>
      </c>
      <c r="G28" s="11">
        <v>3.4299999999999997E-2</v>
      </c>
      <c r="H28" s="12">
        <v>1.1200000000000001</v>
      </c>
    </row>
    <row r="29" spans="1:8" x14ac:dyDescent="0.2">
      <c r="A29" s="10">
        <v>6</v>
      </c>
      <c r="B29" s="10" t="s">
        <v>22</v>
      </c>
      <c r="C29" s="10" t="s">
        <v>5</v>
      </c>
      <c r="D29" s="10" t="s">
        <v>11</v>
      </c>
      <c r="E29" s="10" t="str">
        <f t="shared" si="0"/>
        <v>REJOc+M184I/V-VRC07-A</v>
      </c>
      <c r="F29" s="16" t="s">
        <v>7</v>
      </c>
      <c r="G29" s="11">
        <v>1.4650000000000001</v>
      </c>
      <c r="H29" s="12">
        <v>2.6</v>
      </c>
    </row>
    <row r="30" spans="1:8" x14ac:dyDescent="0.2">
      <c r="A30" s="10">
        <v>6</v>
      </c>
      <c r="B30" s="10" t="s">
        <v>22</v>
      </c>
      <c r="C30" s="10" t="s">
        <v>5</v>
      </c>
      <c r="D30" s="10" t="s">
        <v>11</v>
      </c>
      <c r="E30" s="10" t="str">
        <f t="shared" si="0"/>
        <v>REJOc+M184I/V-VRC07-A</v>
      </c>
      <c r="F30" s="10" t="s">
        <v>10</v>
      </c>
      <c r="G30" s="11">
        <v>200</v>
      </c>
      <c r="H30" s="12">
        <v>3.28</v>
      </c>
    </row>
    <row r="31" spans="1:8" ht="16" customHeight="1" x14ac:dyDescent="0.2">
      <c r="A31" s="10">
        <v>6</v>
      </c>
      <c r="B31" s="10" t="s">
        <v>22</v>
      </c>
      <c r="C31" s="10" t="s">
        <v>5</v>
      </c>
      <c r="D31" s="10" t="s">
        <v>12</v>
      </c>
      <c r="E31" s="10" t="str">
        <f t="shared" si="0"/>
        <v>REJOc+M184I/V-VRC07-B</v>
      </c>
      <c r="F31" s="10" t="s">
        <v>6</v>
      </c>
      <c r="G31" s="11">
        <v>3.4299999999999997E-2</v>
      </c>
      <c r="H31" s="12">
        <v>1.1200000000000001</v>
      </c>
    </row>
    <row r="32" spans="1:8" x14ac:dyDescent="0.2">
      <c r="A32" s="10">
        <v>6</v>
      </c>
      <c r="B32" s="10" t="s">
        <v>22</v>
      </c>
      <c r="C32" s="10" t="s">
        <v>5</v>
      </c>
      <c r="D32" s="10" t="s">
        <v>12</v>
      </c>
      <c r="E32" s="10" t="str">
        <f t="shared" si="0"/>
        <v>REJOc+M184I/V-VRC07-B</v>
      </c>
      <c r="F32" s="16" t="s">
        <v>7</v>
      </c>
      <c r="G32" s="11">
        <v>1.4650000000000001</v>
      </c>
      <c r="H32" s="12">
        <v>2.6</v>
      </c>
    </row>
    <row r="33" spans="1:8" x14ac:dyDescent="0.2">
      <c r="A33" s="10">
        <v>6</v>
      </c>
      <c r="B33" s="10" t="s">
        <v>22</v>
      </c>
      <c r="C33" s="10" t="s">
        <v>5</v>
      </c>
      <c r="D33" s="10" t="s">
        <v>12</v>
      </c>
      <c r="E33" s="10" t="str">
        <f t="shared" si="0"/>
        <v>REJOc+M184I/V-VRC07-B</v>
      </c>
      <c r="F33" s="10" t="s">
        <v>8</v>
      </c>
      <c r="G33" s="11">
        <v>200</v>
      </c>
      <c r="H33" s="12">
        <v>6.29</v>
      </c>
    </row>
    <row r="34" spans="1:8" x14ac:dyDescent="0.2">
      <c r="A34" s="10">
        <v>7</v>
      </c>
      <c r="B34" s="10" t="s">
        <v>15</v>
      </c>
      <c r="C34" s="10" t="s">
        <v>16</v>
      </c>
      <c r="D34" s="10" t="s">
        <v>11</v>
      </c>
      <c r="E34" s="10" t="str">
        <f t="shared" ref="E34:E39" si="1">_xlfn.CONCAT(B34,"-",C34,"-",D34)</f>
        <v>JRCSF-N6-A</v>
      </c>
      <c r="F34" s="10" t="s">
        <v>6</v>
      </c>
      <c r="G34" s="17">
        <v>0.27150000000000002</v>
      </c>
      <c r="H34" s="17">
        <v>1</v>
      </c>
    </row>
    <row r="35" spans="1:8" x14ac:dyDescent="0.2">
      <c r="A35" s="10">
        <v>7</v>
      </c>
      <c r="B35" s="10" t="s">
        <v>15</v>
      </c>
      <c r="C35" s="10" t="s">
        <v>16</v>
      </c>
      <c r="D35" s="10" t="s">
        <v>11</v>
      </c>
      <c r="E35" s="10" t="str">
        <f t="shared" si="1"/>
        <v>JRCSF-N6-A</v>
      </c>
      <c r="F35" s="10" t="s">
        <v>17</v>
      </c>
      <c r="G35" s="11">
        <v>6.5359999999999996</v>
      </c>
      <c r="H35" s="12">
        <v>3.4</v>
      </c>
    </row>
    <row r="36" spans="1:8" x14ac:dyDescent="0.2">
      <c r="A36" s="10">
        <v>8</v>
      </c>
      <c r="B36" s="10" t="s">
        <v>15</v>
      </c>
      <c r="C36" s="10" t="s">
        <v>71</v>
      </c>
      <c r="D36" s="10" t="s">
        <v>11</v>
      </c>
      <c r="E36" s="10" t="str">
        <f t="shared" si="1"/>
        <v>JRCSF-PGDM1400-A</v>
      </c>
      <c r="F36" s="10" t="s">
        <v>6</v>
      </c>
      <c r="G36" s="13">
        <v>9.7299999999999998E-2</v>
      </c>
      <c r="H36" s="17">
        <v>1</v>
      </c>
    </row>
    <row r="37" spans="1:8" x14ac:dyDescent="0.2">
      <c r="A37" s="10">
        <v>8</v>
      </c>
      <c r="B37" s="10" t="s">
        <v>15</v>
      </c>
      <c r="C37" s="10" t="s">
        <v>71</v>
      </c>
      <c r="D37" s="10" t="s">
        <v>11</v>
      </c>
      <c r="E37" s="10" t="str">
        <f t="shared" si="1"/>
        <v>JRCSF-PGDM1400-A</v>
      </c>
      <c r="F37" s="10" t="s">
        <v>77</v>
      </c>
      <c r="G37" s="12">
        <v>103.29</v>
      </c>
      <c r="H37" s="12">
        <v>1.06</v>
      </c>
    </row>
    <row r="38" spans="1:8" x14ac:dyDescent="0.2">
      <c r="A38" s="10">
        <v>9</v>
      </c>
      <c r="B38" s="10" t="s">
        <v>15</v>
      </c>
      <c r="C38" s="10" t="s">
        <v>71</v>
      </c>
      <c r="D38" s="10" t="s">
        <v>12</v>
      </c>
      <c r="E38" s="10" t="str">
        <f t="shared" si="1"/>
        <v>JRCSF-PGDM1400-B</v>
      </c>
      <c r="F38" s="10" t="s">
        <v>6</v>
      </c>
      <c r="G38" s="13">
        <v>9.7299999999999998E-2</v>
      </c>
      <c r="H38" s="17">
        <v>1</v>
      </c>
    </row>
    <row r="39" spans="1:8" x14ac:dyDescent="0.2">
      <c r="A39" s="10">
        <v>9</v>
      </c>
      <c r="B39" s="10" t="s">
        <v>15</v>
      </c>
      <c r="C39" s="10" t="s">
        <v>71</v>
      </c>
      <c r="D39" s="10" t="s">
        <v>12</v>
      </c>
      <c r="E39" s="10" t="str">
        <f t="shared" si="1"/>
        <v>JRCSF-PGDM1400-B</v>
      </c>
      <c r="F39" s="10" t="s">
        <v>78</v>
      </c>
      <c r="G39" s="12">
        <v>200</v>
      </c>
      <c r="H39" s="12">
        <v>1</v>
      </c>
    </row>
  </sheetData>
  <autoFilter ref="A1:H1" xr:uid="{747A8BA9-5EB5-7442-9D54-7FF11E90551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449AF-AF7E-2846-8984-8D0CB5AB7593}">
  <dimension ref="A1:B47"/>
  <sheetViews>
    <sheetView workbookViewId="0">
      <selection activeCell="G32" sqref="G32"/>
    </sheetView>
  </sheetViews>
  <sheetFormatPr baseColWidth="10" defaultRowHeight="16" x14ac:dyDescent="0.2"/>
  <cols>
    <col min="1" max="1" width="24.5" bestFit="1" customWidth="1"/>
  </cols>
  <sheetData>
    <row r="1" spans="1:2" x14ac:dyDescent="0.2">
      <c r="A1" s="2" t="s">
        <v>23</v>
      </c>
      <c r="B1" s="2" t="s">
        <v>5</v>
      </c>
    </row>
    <row r="2" spans="1:2" x14ac:dyDescent="0.2">
      <c r="A2" s="2" t="s">
        <v>6</v>
      </c>
      <c r="B2">
        <v>2.1999999999999999E-2</v>
      </c>
    </row>
    <row r="3" spans="1:2" x14ac:dyDescent="0.2">
      <c r="A3" s="2" t="s">
        <v>24</v>
      </c>
      <c r="B3">
        <v>0.08</v>
      </c>
    </row>
    <row r="4" spans="1:2" x14ac:dyDescent="0.2">
      <c r="A4" s="2" t="s">
        <v>68</v>
      </c>
      <c r="B4">
        <v>1.9E-2</v>
      </c>
    </row>
    <row r="5" spans="1:2" x14ac:dyDescent="0.2">
      <c r="A5" s="2" t="s">
        <v>25</v>
      </c>
      <c r="B5">
        <v>1.4999999999999999E-2</v>
      </c>
    </row>
    <row r="6" spans="1:2" x14ac:dyDescent="0.2">
      <c r="A6" s="2" t="s">
        <v>26</v>
      </c>
      <c r="B6">
        <v>0.20399999999999999</v>
      </c>
    </row>
    <row r="7" spans="1:2" x14ac:dyDescent="0.2">
      <c r="A7" s="2" t="s">
        <v>27</v>
      </c>
      <c r="B7">
        <v>2</v>
      </c>
    </row>
    <row r="8" spans="1:2" x14ac:dyDescent="0.2">
      <c r="A8" s="2" t="s">
        <v>28</v>
      </c>
      <c r="B8">
        <v>5.0000000000000001E-3</v>
      </c>
    </row>
    <row r="9" spans="1:2" x14ac:dyDescent="0.2">
      <c r="A9" s="2" t="s">
        <v>29</v>
      </c>
      <c r="B9">
        <v>0.109</v>
      </c>
    </row>
    <row r="10" spans="1:2" x14ac:dyDescent="0.2">
      <c r="A10" s="2" t="s">
        <v>30</v>
      </c>
      <c r="B10">
        <v>0.1517</v>
      </c>
    </row>
    <row r="11" spans="1:2" x14ac:dyDescent="0.2">
      <c r="A11" s="2" t="s">
        <v>31</v>
      </c>
      <c r="B11">
        <v>0.40050000000000002</v>
      </c>
    </row>
    <row r="12" spans="1:2" x14ac:dyDescent="0.2">
      <c r="A12" s="2" t="s">
        <v>32</v>
      </c>
      <c r="B12">
        <v>22.5</v>
      </c>
    </row>
    <row r="13" spans="1:2" x14ac:dyDescent="0.2">
      <c r="A13" s="2" t="s">
        <v>33</v>
      </c>
      <c r="B13">
        <v>2.1999999999999999E-2</v>
      </c>
    </row>
    <row r="14" spans="1:2" x14ac:dyDescent="0.2">
      <c r="A14" s="2" t="s">
        <v>34</v>
      </c>
      <c r="B14">
        <v>2.1999999999999999E-2</v>
      </c>
    </row>
    <row r="15" spans="1:2" x14ac:dyDescent="0.2">
      <c r="A15" s="2" t="s">
        <v>35</v>
      </c>
      <c r="B15">
        <v>5.6000000000000001E-2</v>
      </c>
    </row>
    <row r="16" spans="1:2" x14ac:dyDescent="0.2">
      <c r="A16" s="2" t="s">
        <v>36</v>
      </c>
      <c r="B16">
        <v>200</v>
      </c>
    </row>
    <row r="17" spans="1:2" x14ac:dyDescent="0.2">
      <c r="A17" s="2" t="s">
        <v>37</v>
      </c>
      <c r="B17">
        <v>1.276</v>
      </c>
    </row>
    <row r="18" spans="1:2" x14ac:dyDescent="0.2">
      <c r="A18" s="2" t="s">
        <v>38</v>
      </c>
      <c r="B18">
        <v>0.58899999999999997</v>
      </c>
    </row>
    <row r="19" spans="1:2" x14ac:dyDescent="0.2">
      <c r="A19" s="2" t="s">
        <v>39</v>
      </c>
      <c r="B19">
        <v>0.23699999999999999</v>
      </c>
    </row>
    <row r="20" spans="1:2" x14ac:dyDescent="0.2">
      <c r="A20" s="2" t="s">
        <v>40</v>
      </c>
      <c r="B20">
        <v>0.436</v>
      </c>
    </row>
    <row r="21" spans="1:2" x14ac:dyDescent="0.2">
      <c r="A21" s="2" t="s">
        <v>41</v>
      </c>
      <c r="B21">
        <v>200</v>
      </c>
    </row>
    <row r="22" spans="1:2" x14ac:dyDescent="0.2">
      <c r="A22" s="2" t="s">
        <v>42</v>
      </c>
      <c r="B22">
        <v>200</v>
      </c>
    </row>
    <row r="23" spans="1:2" x14ac:dyDescent="0.2">
      <c r="A23" s="2" t="s">
        <v>43</v>
      </c>
      <c r="B23">
        <v>200</v>
      </c>
    </row>
    <row r="24" spans="1:2" x14ac:dyDescent="0.2">
      <c r="A24" s="2" t="s">
        <v>44</v>
      </c>
      <c r="B24">
        <v>200</v>
      </c>
    </row>
    <row r="25" spans="1:2" x14ac:dyDescent="0.2">
      <c r="A25" s="2" t="s">
        <v>45</v>
      </c>
      <c r="B25">
        <v>200</v>
      </c>
    </row>
    <row r="26" spans="1:2" x14ac:dyDescent="0.2">
      <c r="A26" s="2" t="s">
        <v>46</v>
      </c>
      <c r="B26">
        <v>0.38700000000000001</v>
      </c>
    </row>
    <row r="27" spans="1:2" x14ac:dyDescent="0.2">
      <c r="A27" s="2" t="s">
        <v>47</v>
      </c>
      <c r="B27">
        <v>0.04</v>
      </c>
    </row>
    <row r="28" spans="1:2" x14ac:dyDescent="0.2">
      <c r="A28" s="2" t="s">
        <v>48</v>
      </c>
      <c r="B28">
        <v>2.8000000000000001E-2</v>
      </c>
    </row>
    <row r="29" spans="1:2" x14ac:dyDescent="0.2">
      <c r="A29" s="2" t="s">
        <v>49</v>
      </c>
      <c r="B29">
        <v>0.247</v>
      </c>
    </row>
    <row r="30" spans="1:2" x14ac:dyDescent="0.2">
      <c r="A30" s="2" t="s">
        <v>50</v>
      </c>
      <c r="B30">
        <v>8.9999999999999993E-3</v>
      </c>
    </row>
    <row r="31" spans="1:2" x14ac:dyDescent="0.2">
      <c r="A31" s="2" t="s">
        <v>51</v>
      </c>
      <c r="B31">
        <v>8.0000000000000002E-3</v>
      </c>
    </row>
    <row r="32" spans="1:2" x14ac:dyDescent="0.2">
      <c r="A32" s="2" t="s">
        <v>52</v>
      </c>
      <c r="B32">
        <v>8.0000000000000002E-3</v>
      </c>
    </row>
    <row r="33" spans="1:2" x14ac:dyDescent="0.2">
      <c r="A33" s="2" t="s">
        <v>53</v>
      </c>
    </row>
    <row r="34" spans="1:2" x14ac:dyDescent="0.2">
      <c r="A34" s="2" t="s">
        <v>54</v>
      </c>
      <c r="B34">
        <v>1.0330000000000001E-2</v>
      </c>
    </row>
    <row r="35" spans="1:2" x14ac:dyDescent="0.2">
      <c r="A35" s="2" t="s">
        <v>55</v>
      </c>
      <c r="B35">
        <v>1.1379999999999999E-2</v>
      </c>
    </row>
    <row r="36" spans="1:2" x14ac:dyDescent="0.2">
      <c r="A36" s="2" t="s">
        <v>56</v>
      </c>
      <c r="B36">
        <v>2.512E-2</v>
      </c>
    </row>
    <row r="37" spans="1:2" x14ac:dyDescent="0.2">
      <c r="A37" s="2" t="s">
        <v>57</v>
      </c>
      <c r="B37">
        <v>1.8669999999999999E-2</v>
      </c>
    </row>
    <row r="38" spans="1:2" x14ac:dyDescent="0.2">
      <c r="A38" s="2" t="s">
        <v>58</v>
      </c>
      <c r="B38">
        <v>7.0999999999999994E-2</v>
      </c>
    </row>
    <row r="39" spans="1:2" x14ac:dyDescent="0.2">
      <c r="A39" s="2" t="s">
        <v>59</v>
      </c>
    </row>
    <row r="40" spans="1:2" x14ac:dyDescent="0.2">
      <c r="A40" s="2" t="s">
        <v>60</v>
      </c>
      <c r="B40">
        <v>1.069E-2</v>
      </c>
    </row>
    <row r="41" spans="1:2" x14ac:dyDescent="0.2">
      <c r="A41" s="2" t="s">
        <v>61</v>
      </c>
      <c r="B41">
        <v>5.7280000000000005E-4</v>
      </c>
    </row>
    <row r="42" spans="1:2" x14ac:dyDescent="0.2">
      <c r="A42" s="2" t="s">
        <v>62</v>
      </c>
    </row>
    <row r="43" spans="1:2" x14ac:dyDescent="0.2">
      <c r="A43" s="2" t="s">
        <v>63</v>
      </c>
      <c r="B43">
        <v>1.6840000000000001E-2</v>
      </c>
    </row>
    <row r="44" spans="1:2" x14ac:dyDescent="0.2">
      <c r="A44" s="2" t="s">
        <v>64</v>
      </c>
    </row>
    <row r="45" spans="1:2" x14ac:dyDescent="0.2">
      <c r="A45" s="2" t="s">
        <v>65</v>
      </c>
      <c r="B45">
        <v>4.5360000000000001E-3</v>
      </c>
    </row>
    <row r="46" spans="1:2" x14ac:dyDescent="0.2">
      <c r="A46" s="2" t="s">
        <v>66</v>
      </c>
      <c r="B46">
        <v>2.06E-2</v>
      </c>
    </row>
    <row r="47" spans="1:2" x14ac:dyDescent="0.2">
      <c r="A47" s="2" t="s">
        <v>67</v>
      </c>
      <c r="B47">
        <v>1.617E-2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5403C-869C-114F-AEE9-920C6F0C4A56}">
  <dimension ref="A1:H6"/>
  <sheetViews>
    <sheetView workbookViewId="0">
      <selection activeCell="G2" sqref="G2:H2"/>
    </sheetView>
  </sheetViews>
  <sheetFormatPr baseColWidth="10" defaultRowHeight="16" x14ac:dyDescent="0.2"/>
  <sheetData>
    <row r="1" spans="1:8" ht="69" thickBot="1" x14ac:dyDescent="0.25">
      <c r="A1" s="5" t="s">
        <v>86</v>
      </c>
      <c r="B1" s="5" t="s">
        <v>87</v>
      </c>
      <c r="C1" s="5" t="s">
        <v>88</v>
      </c>
      <c r="D1" s="5" t="s">
        <v>89</v>
      </c>
      <c r="E1" s="6" t="s">
        <v>90</v>
      </c>
      <c r="G1" s="7" t="s">
        <v>91</v>
      </c>
      <c r="H1" s="7" t="s">
        <v>92</v>
      </c>
    </row>
    <row r="2" spans="1:8" ht="34" x14ac:dyDescent="0.2">
      <c r="A2" s="3" t="s">
        <v>79</v>
      </c>
      <c r="B2" s="3" t="s">
        <v>71</v>
      </c>
      <c r="C2" s="3">
        <v>200</v>
      </c>
      <c r="D2" s="3" t="s">
        <v>81</v>
      </c>
      <c r="E2" s="4">
        <v>1.04</v>
      </c>
      <c r="G2">
        <f>AVERAGE(C2:C4)</f>
        <v>103.29</v>
      </c>
      <c r="H2">
        <f>AVERAGE(E2:E4)</f>
        <v>1.0633333333333332</v>
      </c>
    </row>
    <row r="3" spans="1:8" ht="34" x14ac:dyDescent="0.2">
      <c r="A3" s="3" t="s">
        <v>82</v>
      </c>
      <c r="B3" s="3" t="s">
        <v>71</v>
      </c>
      <c r="C3" s="3">
        <v>63.35</v>
      </c>
      <c r="D3" s="3">
        <v>1.173</v>
      </c>
      <c r="E3" s="4">
        <v>1.1399999999999999</v>
      </c>
    </row>
    <row r="4" spans="1:8" ht="34" x14ac:dyDescent="0.2">
      <c r="A4" s="3" t="s">
        <v>83</v>
      </c>
      <c r="B4" s="3" t="s">
        <v>71</v>
      </c>
      <c r="C4" s="3">
        <v>46.52</v>
      </c>
      <c r="D4" s="3">
        <v>0.46899999999999997</v>
      </c>
      <c r="E4" s="4">
        <v>1.01</v>
      </c>
    </row>
    <row r="5" spans="1:8" ht="34" x14ac:dyDescent="0.2">
      <c r="A5" s="3" t="s">
        <v>84</v>
      </c>
      <c r="B5" s="3" t="s">
        <v>71</v>
      </c>
      <c r="C5" s="3" t="s">
        <v>80</v>
      </c>
      <c r="D5" s="3" t="s">
        <v>81</v>
      </c>
      <c r="E5" s="4">
        <v>0.99</v>
      </c>
    </row>
    <row r="6" spans="1:8" ht="34" x14ac:dyDescent="0.2">
      <c r="A6" s="3" t="s">
        <v>85</v>
      </c>
      <c r="B6" s="3" t="s">
        <v>71</v>
      </c>
      <c r="C6" s="3" t="s">
        <v>80</v>
      </c>
      <c r="D6" s="3" t="s">
        <v>81</v>
      </c>
      <c r="E6" s="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004EE-4219-AE43-86F6-24305E4BDE0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1A97-1FCA-1946-85EC-0F6954E98595}">
  <dimension ref="A1:D1"/>
  <sheetViews>
    <sheetView workbookViewId="0">
      <selection activeCell="F57" sqref="F57"/>
    </sheetView>
  </sheetViews>
  <sheetFormatPr baseColWidth="10" defaultRowHeight="16" x14ac:dyDescent="0.2"/>
  <cols>
    <col min="1" max="1" width="13.83203125" customWidth="1"/>
  </cols>
  <sheetData>
    <row r="1" spans="1:4" x14ac:dyDescent="0.2">
      <c r="A1" s="1"/>
      <c r="B1" s="1"/>
      <c r="C1" s="1"/>
      <c r="D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IC50 Data</vt:lpstr>
      <vt:lpstr>PGDM1400</vt:lpstr>
      <vt:lpstr>Fitness 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Nitido, Adam Douglas</dc:creator>
  <cp:lastModifiedBy>Nitido, Adam Douglas</cp:lastModifiedBy>
  <dcterms:created xsi:type="dcterms:W3CDTF">2024-12-17T19:51:36Z</dcterms:created>
  <dcterms:modified xsi:type="dcterms:W3CDTF">2025-06-10T16:57:34Z</dcterms:modified>
</cp:coreProperties>
</file>